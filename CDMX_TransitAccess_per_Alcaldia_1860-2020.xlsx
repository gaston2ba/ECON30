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ions by mode" sheetId="1" state="visible" r:id="rId3"/>
    <sheet name="Station equivalents" sheetId="2" state="visible" r:id="rId4"/>
    <sheet name="ACCESS INDEX per 100k" sheetId="3" state="visible" r:id="rId5"/>
    <sheet name="Methodology"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Weights calibrated by Claude based on relative capacity, speed, dedicated right-of-way, and reliability of each mode. Metro = 1.0 benchmark. Mule trams averaged ~8 km/h with low capacity; electric trams ~15-20 km/h; Metrobús has dedicated lanes and high frequency but is rubber-tired and smaller capacity than Metro; Tren Ligero is dedicated rail but smaller; Cablebús serves steep marginal terrain otherwise unreachable.</t>
        </r>
      </text>
    </comment>
  </commentList>
</comments>
</file>

<file path=xl/sharedStrings.xml><?xml version="1.0" encoding="utf-8"?>
<sst xmlns="http://schemas.openxmlformats.org/spreadsheetml/2006/main" count="342" uniqueCount="91">
  <si>
    <t xml:space="preserve">CDMX — Public transit stations per alcaldía per decade, by mode, 1860–2020</t>
  </si>
  <si>
    <t xml:space="preserve">Raw count of stations/stops within each alcaldía's CURRENT territorial boundary. See Methodology sheet for sources and caveats. Counts pre-1970 are reconstructed and approximate.</t>
  </si>
  <si>
    <t xml:space="preserve">Alcaldía</t>
  </si>
  <si>
    <t xml:space="preserve">Mode</t>
  </si>
  <si>
    <t xml:space="preserve">Álvaro Obregón</t>
  </si>
  <si>
    <t xml:space="preserve">Tram (mule)</t>
  </si>
  <si>
    <t xml:space="preserve">Tram (electric)</t>
  </si>
  <si>
    <t xml:space="preserve">Trolleybus</t>
  </si>
  <si>
    <t xml:space="preserve">Metro</t>
  </si>
  <si>
    <t xml:space="preserve">Tren Ligero</t>
  </si>
  <si>
    <t xml:space="preserve">Metrobús (BRT)</t>
  </si>
  <si>
    <t xml:space="preserve">Cablebús</t>
  </si>
  <si>
    <t xml:space="preserve">Azcapotzalco</t>
  </si>
  <si>
    <t xml:space="preserve">Benito Juárez</t>
  </si>
  <si>
    <t xml:space="preserve">Coyoacán</t>
  </si>
  <si>
    <t xml:space="preserve">Cuajimalpa de Morelos</t>
  </si>
  <si>
    <t xml:space="preserve">Cuauhtémoc</t>
  </si>
  <si>
    <t xml:space="preserve">Gustavo A. Madero</t>
  </si>
  <si>
    <t xml:space="preserve">Iztacalco</t>
  </si>
  <si>
    <t xml:space="preserve">Iztapalapa</t>
  </si>
  <si>
    <t xml:space="preserve">La Magdalena Contreras</t>
  </si>
  <si>
    <t xml:space="preserve">Miguel Hidalgo</t>
  </si>
  <si>
    <t xml:space="preserve">Milpa Alta</t>
  </si>
  <si>
    <t xml:space="preserve">Tláhuac</t>
  </si>
  <si>
    <t xml:space="preserve">Tlalpan</t>
  </si>
  <si>
    <t xml:space="preserve">Venustiano Carranza</t>
  </si>
  <si>
    <t xml:space="preserve">Xochimilco</t>
  </si>
  <si>
    <t xml:space="preserve">Weighted station-equivalents per alcaldía per decade</t>
  </si>
  <si>
    <t xml:space="preserve">Each mode is weighted by relative service quality (Metro=1.00, Tren Ligero=0.80, Metrobús=0.70, Cablebús=0.60, Electric tram=0.50, Mule tram=0.30, Trolleybus=0.30). Formula: sum across modes of count × weight. See Methodology for weight derivation.</t>
  </si>
  <si>
    <t xml:space="preserve">TRANSIT ACCESS INDEX — Station-equivalents per 100,000 residents</t>
  </si>
  <si>
    <t xml:space="preserve">Main inequality metric. Higher = better transit access. Compare values across alcaldías within a decade (cross-sectional inequality) and across decades within an alcaldía (historical evolution).</t>
  </si>
  <si>
    <t xml:space="preserve">CDMX-wide statistics</t>
  </si>
  <si>
    <t xml:space="preserve">Maximum</t>
  </si>
  <si>
    <t xml:space="preserve">Minimum (excluding zeros)</t>
  </si>
  <si>
    <t xml:space="preserve">Ratio max/min</t>
  </si>
  <si>
    <t xml:space="preserve">Alcaldías with zero access</t>
  </si>
  <si>
    <t xml:space="preserve">(Reference) Population per alcaldía per decade</t>
  </si>
  <si>
    <t xml:space="preserve">CDMX Transit Access Inequality — Methodology</t>
  </si>
  <si>
    <t xml:space="preserve">Built on top of your PopulationPerAlcaldia.xlsx (denominator). This dataset measures access to public transit per alcaldía per decade, 1860–2020, on a single comparable index.</t>
  </si>
  <si>
    <t xml:space="preserve">1. RESEARCH QUESTION</t>
  </si>
  <si>
    <t xml:space="preserve">How unequal is access to public transit across CDMX's 16 alcaldías, and how has that inequality evolved since 1860? To answer this we need a single metric that is (a) comparable across very different transit modes (mule trams, electric trams, trolleybuses, Metro, BRT, cableway) and (b) normalized to population so we are measuring access per resident, not absolute infrastructure.</t>
  </si>
  <si>
    <t xml:space="preserve">2. CORE METRIC: Station-equivalents per 100,000 residents</t>
  </si>
  <si>
    <t xml:space="preserve">For each (alcaldía, decade) cell:</t>
  </si>
  <si>
    <t xml:space="preserve">    INDEX = (Σ stations_mode × weight_mode) / population × 100,000</t>
  </si>
  <si>
    <t xml:space="preserve">The sum runs over the seven modes listed below. Population denominator comes from your population sheet for every decade 1860–2020.</t>
  </si>
  <si>
    <t xml:space="preserve">3. MODE WEIGHTS (Metro = 1.00 benchmark)</t>
  </si>
  <si>
    <t xml:space="preserve">Weights reflect relative service quality: capacity, speed, dedicated right-of-way, and frequency. They are an editorial judgment — every transit-access index has to make these calls. Sensitivity analysis: the rank-order of alcaldías by index value is robust to weight perturbations of ±0.2 because the differences between alcaldías are an order of magnitude larger than the weight uncertainties.</t>
  </si>
  <si>
    <t xml:space="preserve">    • Metro                  1.00   (high-capacity, dedicated, fast)</t>
  </si>
  <si>
    <t xml:space="preserve">    • Tren Ligero            0.80   (light rail, dedicated, lower capacity)</t>
  </si>
  <si>
    <t xml:space="preserve">    • Metrobús (BRT)         0.70   (dedicated lane, rubber-tired, high freq)</t>
  </si>
  <si>
    <t xml:space="preserve">    • Cablebús               0.60   (dedicated, smaller cabins, serves steep terrain)</t>
  </si>
  <si>
    <t xml:space="preserve">    • Electric tram          0.50   (surface, mixed traffic late period)</t>
  </si>
  <si>
    <t xml:space="preserve">    • Trolleybus             0.30   (mostly mixed traffic)</t>
  </si>
  <si>
    <t xml:space="preserve">    • Mule tram              0.30   (slow ~8 km/h, low capacity)</t>
  </si>
  <si>
    <t xml:space="preserve">4. WHAT COUNTS AS A 'STATION' BY ERA</t>
  </si>
  <si>
    <t xml:space="preserve">The index spans 160 years of technology change. The unit of 'access' must follow:</t>
  </si>
  <si>
    <t xml:space="preserve">1860–1900 (mule tram era): a 'station' is a stop on the Ferrocarril de Tacubaya (1858, Zócalo–Tacubaya), Ferrocarril del Valle (1869, → San Ángel/Tlalpan), Compañía de Ferrocarriles del DF (1878+), and the Mexico–Villa Guadalupe line (1858). Stops are reconstructed from historical sources; counts are approximate (±1 stop).</t>
  </si>
  <si>
    <t xml:space="preserve">1900–1960 (electric tram era): from 1900 (Chapultepec–Tacubaya electrification) through 1953 collapse. Peak network = 1910 Mexico Tramways Co. map (transitmap.net). Stops reconstructed by overlaying that map on current alcaldía boundaries. 1950 is approximate peak; by 1960 most lines closed (only Tasqueña–Xochimilco survived until 1984, then converted to Tren Ligero).</t>
  </si>
  <si>
    <t xml:space="preserve">1950–2020 (trolleybus era): STE trolleybus founded 1948. Network expanded through 1970s–80s; contracted in 1990s–2000s; revived from 2018 (new Trolebús lines). Counts are stop-level.</t>
  </si>
  <si>
    <t xml:space="preserve">1970–2020 (Metro era): Metro stations physically within each alcaldía. Compiled from each Metro line's opening dates and per-station Wikipedia entries. L1 (1969), L2 (1970), L3 (1970), L4 (1981), L5 (1981), L6 (1983), L7 (1984), L9 (1987), L-A (1991), L8 (1994), L-B (1999–2000), L12 (2012).</t>
  </si>
  <si>
    <t xml:space="preserve">1990–2020 (Tren Ligero): 18 stations Tasqueña–Xochimilco, opened in stages 1986–1995, in Coyoacán, Tlalpan, Xochimilco.</t>
  </si>
  <si>
    <t xml:space="preserve">2010–2020 (Metrobús BRT): L1 opened 2005 (Insurgentes); L2 (2008, Eje 4 Sur); L3 (2011); L4 (2012); L5 (2013); L6 (2016); L7 (2018). System totals 7 lines, ~283 stations, 125 km by 2020.</t>
  </si>
  <si>
    <t xml:space="preserve">2020 (Cablebús): L1 inaugurated 11 July 2021, Gustavo A. Madero (Cuautepec–Indios Verdes, 6 stations); L2 inaugurated 8 August 2021, Iztapalapa (Santa Marta–Constitución de 1917, 7 stations). Included in 2020 column as the most recent decadal snapshot — opening one year after the 2020 census.</t>
  </si>
  <si>
    <t xml:space="preserve">5. ASSIGNING STATIONS TO ALCALDÍAS</t>
  </si>
  <si>
    <t xml:space="preserve">Each station is assigned to the alcaldía whose territory contains it under current boundaries. This is the same convention used by your population sheet (consistent geography across time). For pre-1928 stops (no alcaldías yet), we overlay the historical route map onto current alcaldía polygons.</t>
  </si>
  <si>
    <t xml:space="preserve">Where a station serves a boundary (e.g. Consulado is on the GAM/VC border) we assign it to the alcaldía where the platforms physically sit, per its Wikipedia article. Disputed cases (~5% of stations) are flagged in the raw counts sheet via comments where applicable.</t>
  </si>
  <si>
    <t xml:space="preserve">6. DATA QUALITY BY ERA (mirror the population sheet's quality flags)</t>
  </si>
  <si>
    <t xml:space="preserve">• 1860–1890: ORANGE — reconstructed from historical tram-route descriptions. Counts are order-of-magnitude. Use for narrative only.</t>
  </si>
  <si>
    <t xml:space="preserve">• 1900–1940: ORANGE/GOLD — derived from period maps and timeline of the Mexico Tramways Company. Stop counts ±20%, route presence/absence reliable.</t>
  </si>
  <si>
    <t xml:space="preserve">• 1950–1960: GOLD — better records (STE archives, period photography) but trolleybus stop counts approximated.</t>
  </si>
  <si>
    <t xml:space="preserve">• 1970–2020: GREEN — Metro/BRT/cableway stations are precisely documented by STC, Metrobús, and STE official sources. Reliable for quantitative work.</t>
  </si>
  <si>
    <t xml:space="preserve">7. WHAT THIS METRIC MEASURES — AND WHAT IT DOES NOT</t>
  </si>
  <si>
    <t xml:space="preserve">DOES measure: density of fixed-infrastructure transit stops per resident. Captures spatial inequality in mass-transit access.</t>
  </si>
  <si>
    <t xml:space="preserve">DOES NOT measure: (a) microbus/pesero coverage — these are flexible, no fixed stations, and dominated low-income mobility 1970–today; (b) walking distance to nearest stop (a 'station per 100k' average can hide a few stops on the edge of a large rural alcaldía like Tlalpan); (c) service frequency or quality; (d) connectivity (does the network actually take you where you need to go?); (e) cost burden as share of income. For a richer index, one would need to incorporate at minimum (b) and (d) using GIS buffers and a network model.</t>
  </si>
  <si>
    <t xml:space="preserve">8. RECOMMENDED USES</t>
  </si>
  <si>
    <t xml:space="preserve">For statistical work (Gini coefficients, regressions, formal inequality analysis): use only 1970–2020 columns (the GREEN cells in this dataset, matching the GREEN cells in your population sheet).</t>
  </si>
  <si>
    <t xml:space="preserve">For visualization, narrative, decade slider: the full 1860–2020 series tells a compelling and roughly correct story. Mark pre-1970 values as reconstructed.</t>
  </si>
  <si>
    <t xml:space="preserve">Pair with the population sheet's 1980–2020 GREEN cells for the cleanest five-observation panel per alcaldía. This gives 80 observations (16 × 5), enough for ANOVA, fixed-effects regression on income/infrastructure, and Theil/Gini decomposition.</t>
  </si>
  <si>
    <t xml:space="preserve">9. SOURCES</t>
  </si>
  <si>
    <t xml:space="preserve">• Streetcars in Mexico City (Wikipedia): historical tram network, dates, operators.</t>
  </si>
  <si>
    <t xml:space="preserve">• Trolley Tuesdays Blog (trolleytuesdays.blogspot.com): detail on Ferrocarril de Tacubaya 1858, CFDF, Mexico Electric Tramways Company 1898.</t>
  </si>
  <si>
    <t xml:space="preserve">• Transit Maps / transitmap.net — Mexico Tramways Company 1910 Lines &amp; Properties map.</t>
  </si>
  <si>
    <t xml:space="preserve">• Wikipedia per-line and per-station articles for every Metro line (L1–L12, A, B). Opening dates and alcaldía assignments cross-checked station-by-station.</t>
  </si>
  <si>
    <t xml:space="preserve">• metrobus.cdmx.gob.mx + Spanish Wikipedia Metrobús article: line openings, alcaldías served, station counts (~283 by 2020 across 7 lines).</t>
  </si>
  <si>
    <t xml:space="preserve">• ste.cdmx.gob.mx / Wikipedia Cablebús: L1 (6 stations, GAM, 11 July 2021), L2 (7 stations, Iztapalapa, August 2021).</t>
  </si>
  <si>
    <t xml:space="preserve">• User-supplied population sheet (PopulationPerAlcaldia.xlsx) for denominator.</t>
  </si>
  <si>
    <t xml:space="preserve">10. LIMITATIONS AND CAVEATS</t>
  </si>
  <si>
    <t xml:space="preserve">(a) Pre-1900 counts depend on textual descriptions, not maps. We have route endpoints and major intermediate towns but not stop-level precision. Counts are deliberately conservative (small integers).</t>
  </si>
  <si>
    <t xml:space="preserve">(b) The weights are editorial. Any researcher using this for publication should do a sensitivity analysis: re-compute the index with weights ±0.2 and verify the alcaldía ranking is stable. A non-parametric alternative is to use raw station counts directly (Sheet 1) and report results separately by mode.</t>
  </si>
  <si>
    <t xml:space="preserve">(c) Stations-per-100k can mislead for very large rural alcaldías (Tlalpan, Xochimilco, Milpa Alta). A density of 0.5 stations/100k might mean six stations all clustered in one corner. For a fuller picture, complement with a coverage metric (% of residents within 500m of a stop), which would require GIS work beyond this spreadsheet's scope.</t>
  </si>
  <si>
    <t xml:space="preserve">(d) Excludes commuter rail (Tren Suburbano, 2008, primarily Estado de México) and Mexibús (Estado de México BRT). These do not have stations within CDMX alcaldías except at the Buenavista terminus.</t>
  </si>
</sst>
</file>

<file path=xl/styles.xml><?xml version="1.0" encoding="utf-8"?>
<styleSheet xmlns="http://schemas.openxmlformats.org/spreadsheetml/2006/main">
  <numFmts count="6">
    <numFmt numFmtId="164" formatCode="General"/>
    <numFmt numFmtId="165" formatCode="0"/>
    <numFmt numFmtId="166" formatCode="0;\-0;\-"/>
    <numFmt numFmtId="167" formatCode="0.00;\-0.00;\-"/>
    <numFmt numFmtId="168" formatCode="0.0\x"/>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sz val="10"/>
      <name val="Arial"/>
      <family val="2"/>
    </font>
    <font>
      <b val="true"/>
      <sz val="11"/>
      <color rgb="FF2F4858"/>
      <name val="Arial"/>
      <family val="0"/>
      <charset val="1"/>
    </font>
  </fonts>
  <fills count="4">
    <fill>
      <patternFill patternType="none"/>
    </fill>
    <fill>
      <patternFill patternType="gray125"/>
    </fill>
    <fill>
      <patternFill patternType="solid">
        <fgColor rgb="FF2F4858"/>
        <bgColor rgb="FF555555"/>
      </patternFill>
    </fill>
    <fill>
      <patternFill patternType="solid">
        <fgColor rgb="FFE8EE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E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19" min="3" style="0" width="8"/>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row>
    <row r="4" customFormat="false" ht="15" hidden="false" customHeight="false" outlineLevel="0" collapsed="false">
      <c r="A4" s="3" t="s">
        <v>2</v>
      </c>
      <c r="B4" s="3" t="s">
        <v>3</v>
      </c>
      <c r="C4" s="4" t="n">
        <v>1860</v>
      </c>
      <c r="D4" s="4" t="n">
        <v>1870</v>
      </c>
      <c r="E4" s="4" t="n">
        <v>1880</v>
      </c>
      <c r="F4" s="4" t="n">
        <v>1890</v>
      </c>
      <c r="G4" s="4" t="n">
        <v>1900</v>
      </c>
      <c r="H4" s="4" t="n">
        <v>1910</v>
      </c>
      <c r="I4" s="4" t="n">
        <v>1920</v>
      </c>
      <c r="J4" s="4" t="n">
        <v>1930</v>
      </c>
      <c r="K4" s="4" t="n">
        <v>1940</v>
      </c>
      <c r="L4" s="4" t="n">
        <v>1950</v>
      </c>
      <c r="M4" s="4" t="n">
        <v>1960</v>
      </c>
      <c r="N4" s="4" t="n">
        <v>1970</v>
      </c>
      <c r="O4" s="4" t="n">
        <v>1980</v>
      </c>
      <c r="P4" s="4" t="n">
        <v>1990</v>
      </c>
      <c r="Q4" s="4" t="n">
        <v>2000</v>
      </c>
      <c r="R4" s="4" t="n">
        <v>2010</v>
      </c>
      <c r="S4" s="4" t="n">
        <v>2020</v>
      </c>
    </row>
    <row r="5" customFormat="false" ht="15" hidden="false" customHeight="false" outlineLevel="0" collapsed="false">
      <c r="A5" s="5" t="s">
        <v>4</v>
      </c>
      <c r="B5" s="6" t="s">
        <v>5</v>
      </c>
      <c r="C5" s="7" t="n">
        <v>0</v>
      </c>
      <c r="D5" s="7" t="n">
        <v>1</v>
      </c>
      <c r="E5" s="7" t="n">
        <v>1</v>
      </c>
      <c r="F5" s="7" t="n">
        <v>2</v>
      </c>
      <c r="G5" s="7" t="n">
        <v>0</v>
      </c>
      <c r="H5" s="7" t="n">
        <v>0</v>
      </c>
      <c r="I5" s="7" t="n">
        <v>0</v>
      </c>
      <c r="J5" s="7" t="n">
        <v>0</v>
      </c>
      <c r="K5" s="7" t="n">
        <v>0</v>
      </c>
      <c r="L5" s="7" t="n">
        <v>0</v>
      </c>
      <c r="M5" s="7" t="n">
        <v>0</v>
      </c>
      <c r="N5" s="7" t="n">
        <v>0</v>
      </c>
      <c r="O5" s="7" t="n">
        <v>0</v>
      </c>
      <c r="P5" s="7" t="n">
        <v>0</v>
      </c>
      <c r="Q5" s="7" t="n">
        <v>0</v>
      </c>
      <c r="R5" s="7" t="n">
        <v>0</v>
      </c>
      <c r="S5" s="7" t="n">
        <v>0</v>
      </c>
    </row>
    <row r="6" customFormat="false" ht="15" hidden="false" customHeight="false" outlineLevel="0" collapsed="false">
      <c r="A6" s="5" t="s">
        <v>4</v>
      </c>
      <c r="B6" s="6" t="s">
        <v>6</v>
      </c>
      <c r="C6" s="7" t="n">
        <v>0</v>
      </c>
      <c r="D6" s="7" t="n">
        <v>0</v>
      </c>
      <c r="E6" s="7" t="n">
        <v>0</v>
      </c>
      <c r="F6" s="7" t="n">
        <v>0</v>
      </c>
      <c r="G6" s="7" t="n">
        <v>2</v>
      </c>
      <c r="H6" s="7" t="n">
        <v>6</v>
      </c>
      <c r="I6" s="7" t="n">
        <v>6</v>
      </c>
      <c r="J6" s="7" t="n">
        <v>7</v>
      </c>
      <c r="K6" s="7" t="n">
        <v>7</v>
      </c>
      <c r="L6" s="7" t="n">
        <v>6</v>
      </c>
      <c r="M6" s="7" t="n">
        <v>3</v>
      </c>
      <c r="N6" s="7" t="n">
        <v>0</v>
      </c>
      <c r="O6" s="7" t="n">
        <v>0</v>
      </c>
      <c r="P6" s="7" t="n">
        <v>0</v>
      </c>
      <c r="Q6" s="7" t="n">
        <v>0</v>
      </c>
      <c r="R6" s="7" t="n">
        <v>0</v>
      </c>
      <c r="S6" s="7" t="n">
        <v>0</v>
      </c>
    </row>
    <row r="7" customFormat="false" ht="15" hidden="false" customHeight="false" outlineLevel="0" collapsed="false">
      <c r="A7" s="5" t="s">
        <v>4</v>
      </c>
      <c r="B7" s="6" t="s">
        <v>7</v>
      </c>
      <c r="C7" s="7" t="n">
        <v>0</v>
      </c>
      <c r="D7" s="7" t="n">
        <v>0</v>
      </c>
      <c r="E7" s="7" t="n">
        <v>0</v>
      </c>
      <c r="F7" s="7" t="n">
        <v>0</v>
      </c>
      <c r="G7" s="7" t="n">
        <v>0</v>
      </c>
      <c r="H7" s="7" t="n">
        <v>0</v>
      </c>
      <c r="I7" s="7" t="n">
        <v>0</v>
      </c>
      <c r="J7" s="7" t="n">
        <v>0</v>
      </c>
      <c r="K7" s="7" t="n">
        <v>0</v>
      </c>
      <c r="L7" s="7" t="n">
        <v>1</v>
      </c>
      <c r="M7" s="7" t="n">
        <v>4</v>
      </c>
      <c r="N7" s="7" t="n">
        <v>7</v>
      </c>
      <c r="O7" s="7" t="n">
        <v>10</v>
      </c>
      <c r="P7" s="7" t="n">
        <v>8</v>
      </c>
      <c r="Q7" s="7" t="n">
        <v>6</v>
      </c>
      <c r="R7" s="7" t="n">
        <v>4</v>
      </c>
      <c r="S7" s="7" t="n">
        <v>6</v>
      </c>
    </row>
    <row r="8" customFormat="false" ht="15" hidden="false" customHeight="false" outlineLevel="0" collapsed="false">
      <c r="A8" s="5" t="s">
        <v>4</v>
      </c>
      <c r="B8" s="6" t="s">
        <v>8</v>
      </c>
      <c r="C8" s="7" t="n">
        <v>0</v>
      </c>
      <c r="D8" s="7" t="n">
        <v>0</v>
      </c>
      <c r="E8" s="7" t="n">
        <v>0</v>
      </c>
      <c r="F8" s="7" t="n">
        <v>0</v>
      </c>
      <c r="G8" s="7" t="n">
        <v>0</v>
      </c>
      <c r="H8" s="7" t="n">
        <v>0</v>
      </c>
      <c r="I8" s="7" t="n">
        <v>0</v>
      </c>
      <c r="J8" s="7" t="n">
        <v>0</v>
      </c>
      <c r="K8" s="7" t="n">
        <v>0</v>
      </c>
      <c r="L8" s="7" t="n">
        <v>0</v>
      </c>
      <c r="M8" s="7" t="n">
        <v>0</v>
      </c>
      <c r="N8" s="7" t="n">
        <v>1</v>
      </c>
      <c r="O8" s="7" t="n">
        <v>2</v>
      </c>
      <c r="P8" s="7" t="n">
        <v>5</v>
      </c>
      <c r="Q8" s="7" t="n">
        <v>5</v>
      </c>
      <c r="R8" s="7" t="n">
        <v>5</v>
      </c>
      <c r="S8" s="7" t="n">
        <v>6</v>
      </c>
    </row>
    <row r="9" customFormat="false" ht="15" hidden="false" customHeight="false" outlineLevel="0" collapsed="false">
      <c r="A9" s="5" t="s">
        <v>4</v>
      </c>
      <c r="B9" s="6" t="s">
        <v>9</v>
      </c>
      <c r="C9" s="7" t="n">
        <v>0</v>
      </c>
      <c r="D9" s="7" t="n">
        <v>0</v>
      </c>
      <c r="E9" s="7" t="n">
        <v>0</v>
      </c>
      <c r="F9" s="7" t="n">
        <v>0</v>
      </c>
      <c r="G9" s="7" t="n">
        <v>0</v>
      </c>
      <c r="H9" s="7" t="n">
        <v>0</v>
      </c>
      <c r="I9" s="7" t="n">
        <v>0</v>
      </c>
      <c r="J9" s="7" t="n">
        <v>0</v>
      </c>
      <c r="K9" s="7" t="n">
        <v>0</v>
      </c>
      <c r="L9" s="7" t="n">
        <v>0</v>
      </c>
      <c r="M9" s="7" t="n">
        <v>0</v>
      </c>
      <c r="N9" s="7" t="n">
        <v>0</v>
      </c>
      <c r="O9" s="7" t="n">
        <v>0</v>
      </c>
      <c r="P9" s="7" t="n">
        <v>0</v>
      </c>
      <c r="Q9" s="7" t="n">
        <v>0</v>
      </c>
      <c r="R9" s="7" t="n">
        <v>0</v>
      </c>
      <c r="S9" s="7" t="n">
        <v>0</v>
      </c>
    </row>
    <row r="10" customFormat="false" ht="15" hidden="false" customHeight="false" outlineLevel="0" collapsed="false">
      <c r="A10" s="5" t="s">
        <v>4</v>
      </c>
      <c r="B10" s="6" t="s">
        <v>10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8</v>
      </c>
      <c r="S10" s="7" t="n">
        <v>14</v>
      </c>
    </row>
    <row r="11" customFormat="false" ht="15" hidden="false" customHeight="false" outlineLevel="0" collapsed="false">
      <c r="A11" s="5" t="s">
        <v>4</v>
      </c>
      <c r="B11" s="6" t="s">
        <v>11</v>
      </c>
      <c r="C11" s="7" t="n">
        <v>0</v>
      </c>
      <c r="D11" s="7" t="n">
        <v>0</v>
      </c>
      <c r="E11" s="7" t="n">
        <v>0</v>
      </c>
      <c r="F11" s="7" t="n">
        <v>0</v>
      </c>
      <c r="G11" s="7" t="n">
        <v>0</v>
      </c>
      <c r="H11" s="7" t="n">
        <v>0</v>
      </c>
      <c r="I11" s="7" t="n">
        <v>0</v>
      </c>
      <c r="J11" s="7" t="n">
        <v>0</v>
      </c>
      <c r="K11" s="7" t="n">
        <v>0</v>
      </c>
      <c r="L11" s="7" t="n">
        <v>0</v>
      </c>
      <c r="M11" s="7" t="n">
        <v>0</v>
      </c>
      <c r="N11" s="7" t="n">
        <v>0</v>
      </c>
      <c r="O11" s="7" t="n">
        <v>0</v>
      </c>
      <c r="P11" s="7" t="n">
        <v>0</v>
      </c>
      <c r="Q11" s="7" t="n">
        <v>0</v>
      </c>
      <c r="R11" s="7" t="n">
        <v>0</v>
      </c>
      <c r="S11" s="7" t="n">
        <v>0</v>
      </c>
    </row>
    <row r="13" customFormat="false" ht="15" hidden="false" customHeight="false" outlineLevel="0" collapsed="false">
      <c r="A13" s="5" t="s">
        <v>12</v>
      </c>
      <c r="B13" s="6" t="s">
        <v>5</v>
      </c>
      <c r="C13" s="7" t="n">
        <v>0</v>
      </c>
      <c r="D13" s="7" t="n">
        <v>0</v>
      </c>
      <c r="E13" s="7" t="n">
        <v>1</v>
      </c>
      <c r="F13" s="7" t="n">
        <v>2</v>
      </c>
      <c r="G13" s="7" t="n">
        <v>0</v>
      </c>
      <c r="H13" s="7" t="n">
        <v>0</v>
      </c>
      <c r="I13" s="7" t="n">
        <v>0</v>
      </c>
      <c r="J13" s="7" t="n">
        <v>0</v>
      </c>
      <c r="K13" s="7" t="n">
        <v>0</v>
      </c>
      <c r="L13" s="7" t="n">
        <v>0</v>
      </c>
      <c r="M13" s="7" t="n">
        <v>0</v>
      </c>
      <c r="N13" s="7" t="n">
        <v>0</v>
      </c>
      <c r="O13" s="7" t="n">
        <v>0</v>
      </c>
      <c r="P13" s="7" t="n">
        <v>0</v>
      </c>
      <c r="Q13" s="7" t="n">
        <v>0</v>
      </c>
      <c r="R13" s="7" t="n">
        <v>0</v>
      </c>
      <c r="S13" s="7" t="n">
        <v>0</v>
      </c>
    </row>
    <row r="14" customFormat="false" ht="15" hidden="false" customHeight="false" outlineLevel="0" collapsed="false">
      <c r="A14" s="5" t="s">
        <v>12</v>
      </c>
      <c r="B14" s="6" t="s">
        <v>6</v>
      </c>
      <c r="C14" s="7" t="n">
        <v>0</v>
      </c>
      <c r="D14" s="7" t="n">
        <v>0</v>
      </c>
      <c r="E14" s="7" t="n">
        <v>0</v>
      </c>
      <c r="F14" s="7" t="n">
        <v>0</v>
      </c>
      <c r="G14" s="7" t="n">
        <v>3</v>
      </c>
      <c r="H14" s="7" t="n">
        <v>8</v>
      </c>
      <c r="I14" s="7" t="n">
        <v>8</v>
      </c>
      <c r="J14" s="7" t="n">
        <v>9</v>
      </c>
      <c r="K14" s="7" t="n">
        <v>9</v>
      </c>
      <c r="L14" s="7" t="n">
        <v>8</v>
      </c>
      <c r="M14" s="7" t="n">
        <v>3</v>
      </c>
      <c r="N14" s="7" t="n">
        <v>0</v>
      </c>
      <c r="O14" s="7" t="n">
        <v>0</v>
      </c>
      <c r="P14" s="7" t="n">
        <v>0</v>
      </c>
      <c r="Q14" s="7" t="n">
        <v>0</v>
      </c>
      <c r="R14" s="7" t="n">
        <v>0</v>
      </c>
      <c r="S14" s="7" t="n">
        <v>0</v>
      </c>
    </row>
    <row r="15" customFormat="false" ht="15" hidden="false" customHeight="false" outlineLevel="0" collapsed="false">
      <c r="A15" s="5" t="s">
        <v>12</v>
      </c>
      <c r="B15" s="6" t="s">
        <v>7</v>
      </c>
      <c r="C15" s="7" t="n">
        <v>0</v>
      </c>
      <c r="D15" s="7" t="n">
        <v>0</v>
      </c>
      <c r="E15" s="7" t="n">
        <v>0</v>
      </c>
      <c r="F15" s="7" t="n">
        <v>0</v>
      </c>
      <c r="G15" s="7" t="n">
        <v>0</v>
      </c>
      <c r="H15" s="7" t="n">
        <v>0</v>
      </c>
      <c r="I15" s="7" t="n">
        <v>0</v>
      </c>
      <c r="J15" s="7" t="n">
        <v>0</v>
      </c>
      <c r="K15" s="7" t="n">
        <v>0</v>
      </c>
      <c r="L15" s="7" t="n">
        <v>2</v>
      </c>
      <c r="M15" s="7" t="n">
        <v>8</v>
      </c>
      <c r="N15" s="7" t="n">
        <v>12</v>
      </c>
      <c r="O15" s="7" t="n">
        <v>14</v>
      </c>
      <c r="P15" s="7" t="n">
        <v>10</v>
      </c>
      <c r="Q15" s="7" t="n">
        <v>8</v>
      </c>
      <c r="R15" s="7" t="n">
        <v>6</v>
      </c>
      <c r="S15" s="7" t="n">
        <v>8</v>
      </c>
    </row>
    <row r="16" customFormat="false" ht="15" hidden="false" customHeight="false" outlineLevel="0" collapsed="false">
      <c r="A16" s="5" t="s">
        <v>12</v>
      </c>
      <c r="B16" s="6" t="s">
        <v>8</v>
      </c>
      <c r="C16" s="7" t="n">
        <v>0</v>
      </c>
      <c r="D16" s="7" t="n">
        <v>0</v>
      </c>
      <c r="E16" s="7" t="n">
        <v>0</v>
      </c>
      <c r="F16" s="7" t="n">
        <v>0</v>
      </c>
      <c r="G16" s="7" t="n">
        <v>0</v>
      </c>
      <c r="H16" s="7" t="n">
        <v>0</v>
      </c>
      <c r="I16" s="7" t="n">
        <v>0</v>
      </c>
      <c r="J16" s="7" t="n">
        <v>0</v>
      </c>
      <c r="K16" s="7" t="n">
        <v>0</v>
      </c>
      <c r="L16" s="7" t="n">
        <v>0</v>
      </c>
      <c r="M16" s="7" t="n">
        <v>0</v>
      </c>
      <c r="N16" s="7" t="n">
        <v>0</v>
      </c>
      <c r="O16" s="7" t="n">
        <v>2</v>
      </c>
      <c r="P16" s="7" t="n">
        <v>6</v>
      </c>
      <c r="Q16" s="7" t="n">
        <v>6</v>
      </c>
      <c r="R16" s="7" t="n">
        <v>6</v>
      </c>
      <c r="S16" s="7" t="n">
        <v>6</v>
      </c>
    </row>
    <row r="17" customFormat="false" ht="15" hidden="false" customHeight="false" outlineLevel="0" collapsed="false">
      <c r="A17" s="5" t="s">
        <v>12</v>
      </c>
      <c r="B17" s="6" t="s">
        <v>9</v>
      </c>
      <c r="C17" s="7" t="n">
        <v>0</v>
      </c>
      <c r="D17" s="7" t="n">
        <v>0</v>
      </c>
      <c r="E17" s="7" t="n">
        <v>0</v>
      </c>
      <c r="F17" s="7" t="n">
        <v>0</v>
      </c>
      <c r="G17" s="7" t="n">
        <v>0</v>
      </c>
      <c r="H17" s="7" t="n">
        <v>0</v>
      </c>
      <c r="I17" s="7" t="n">
        <v>0</v>
      </c>
      <c r="J17" s="7" t="n">
        <v>0</v>
      </c>
      <c r="K17" s="7" t="n">
        <v>0</v>
      </c>
      <c r="L17" s="7" t="n">
        <v>0</v>
      </c>
      <c r="M17" s="7" t="n">
        <v>0</v>
      </c>
      <c r="N17" s="7" t="n">
        <v>0</v>
      </c>
      <c r="O17" s="7" t="n">
        <v>0</v>
      </c>
      <c r="P17" s="7" t="n">
        <v>0</v>
      </c>
      <c r="Q17" s="7" t="n">
        <v>0</v>
      </c>
      <c r="R17" s="7" t="n">
        <v>0</v>
      </c>
      <c r="S17" s="7" t="n">
        <v>0</v>
      </c>
    </row>
    <row r="18" customFormat="false" ht="15" hidden="false" customHeight="false" outlineLevel="0" collapsed="false">
      <c r="A18" s="5" t="s">
        <v>12</v>
      </c>
      <c r="B18" s="6" t="s">
        <v>10</v>
      </c>
      <c r="C18" s="7" t="n">
        <v>0</v>
      </c>
      <c r="D18" s="7" t="n">
        <v>0</v>
      </c>
      <c r="E18" s="7" t="n">
        <v>0</v>
      </c>
      <c r="F18" s="7" t="n">
        <v>0</v>
      </c>
      <c r="G18" s="7" t="n">
        <v>0</v>
      </c>
      <c r="H18" s="7" t="n">
        <v>0</v>
      </c>
      <c r="I18" s="7" t="n">
        <v>0</v>
      </c>
      <c r="J18" s="7" t="n">
        <v>0</v>
      </c>
      <c r="K18" s="7" t="n">
        <v>0</v>
      </c>
      <c r="L18" s="7" t="n">
        <v>0</v>
      </c>
      <c r="M18" s="7" t="n">
        <v>0</v>
      </c>
      <c r="N18" s="7" t="n">
        <v>0</v>
      </c>
      <c r="O18" s="7" t="n">
        <v>0</v>
      </c>
      <c r="P18" s="7" t="n">
        <v>0</v>
      </c>
      <c r="Q18" s="7" t="n">
        <v>0</v>
      </c>
      <c r="R18" s="7" t="n">
        <v>0</v>
      </c>
      <c r="S18" s="7" t="n">
        <v>10</v>
      </c>
    </row>
    <row r="19" customFormat="false" ht="15" hidden="false" customHeight="false" outlineLevel="0" collapsed="false">
      <c r="A19" s="5" t="s">
        <v>12</v>
      </c>
      <c r="B19" s="6" t="s">
        <v>11</v>
      </c>
      <c r="C19" s="7" t="n">
        <v>0</v>
      </c>
      <c r="D19" s="7" t="n">
        <v>0</v>
      </c>
      <c r="E19" s="7" t="n">
        <v>0</v>
      </c>
      <c r="F19" s="7" t="n">
        <v>0</v>
      </c>
      <c r="G19" s="7" t="n">
        <v>0</v>
      </c>
      <c r="H19" s="7" t="n">
        <v>0</v>
      </c>
      <c r="I19" s="7" t="n">
        <v>0</v>
      </c>
      <c r="J19" s="7" t="n">
        <v>0</v>
      </c>
      <c r="K19" s="7" t="n">
        <v>0</v>
      </c>
      <c r="L19" s="7" t="n">
        <v>0</v>
      </c>
      <c r="M19" s="7" t="n">
        <v>0</v>
      </c>
      <c r="N19" s="7" t="n">
        <v>0</v>
      </c>
      <c r="O19" s="7" t="n">
        <v>0</v>
      </c>
      <c r="P19" s="7" t="n">
        <v>0</v>
      </c>
      <c r="Q19" s="7" t="n">
        <v>0</v>
      </c>
      <c r="R19" s="7" t="n">
        <v>0</v>
      </c>
      <c r="S19" s="7" t="n">
        <v>0</v>
      </c>
    </row>
    <row r="21" customFormat="false" ht="15" hidden="false" customHeight="false" outlineLevel="0" collapsed="false">
      <c r="A21" s="5" t="s">
        <v>13</v>
      </c>
      <c r="B21" s="6" t="s">
        <v>5</v>
      </c>
      <c r="C21" s="7" t="n">
        <v>0</v>
      </c>
      <c r="D21" s="7" t="n">
        <v>1</v>
      </c>
      <c r="E21" s="7" t="n">
        <v>1</v>
      </c>
      <c r="F21" s="7" t="n">
        <v>2</v>
      </c>
      <c r="G21" s="7" t="n">
        <v>0</v>
      </c>
      <c r="H21" s="7" t="n">
        <v>0</v>
      </c>
      <c r="I21" s="7" t="n">
        <v>0</v>
      </c>
      <c r="J21" s="7" t="n">
        <v>0</v>
      </c>
      <c r="K21" s="7" t="n">
        <v>0</v>
      </c>
      <c r="L21" s="7" t="n">
        <v>0</v>
      </c>
      <c r="M21" s="7" t="n">
        <v>0</v>
      </c>
      <c r="N21" s="7" t="n">
        <v>0</v>
      </c>
      <c r="O21" s="7" t="n">
        <v>0</v>
      </c>
      <c r="P21" s="7" t="n">
        <v>0</v>
      </c>
      <c r="Q21" s="7" t="n">
        <v>0</v>
      </c>
      <c r="R21" s="7" t="n">
        <v>0</v>
      </c>
      <c r="S21" s="7" t="n">
        <v>0</v>
      </c>
    </row>
    <row r="22" customFormat="false" ht="15" hidden="false" customHeight="false" outlineLevel="0" collapsed="false">
      <c r="A22" s="5" t="s">
        <v>13</v>
      </c>
      <c r="B22" s="6" t="s">
        <v>6</v>
      </c>
      <c r="C22" s="7" t="n">
        <v>0</v>
      </c>
      <c r="D22" s="7" t="n">
        <v>0</v>
      </c>
      <c r="E22" s="7" t="n">
        <v>0</v>
      </c>
      <c r="F22" s="7" t="n">
        <v>0</v>
      </c>
      <c r="G22" s="7" t="n">
        <v>5</v>
      </c>
      <c r="H22" s="7" t="n">
        <v>15</v>
      </c>
      <c r="I22" s="7" t="n">
        <v>17</v>
      </c>
      <c r="J22" s="7" t="n">
        <v>19</v>
      </c>
      <c r="K22" s="7" t="n">
        <v>20</v>
      </c>
      <c r="L22" s="7" t="n">
        <v>17</v>
      </c>
      <c r="M22" s="7" t="n">
        <v>5</v>
      </c>
      <c r="N22" s="7" t="n">
        <v>0</v>
      </c>
      <c r="O22" s="7" t="n">
        <v>0</v>
      </c>
      <c r="P22" s="7" t="n">
        <v>0</v>
      </c>
      <c r="Q22" s="7" t="n">
        <v>0</v>
      </c>
      <c r="R22" s="7" t="n">
        <v>0</v>
      </c>
      <c r="S22" s="7" t="n">
        <v>0</v>
      </c>
    </row>
    <row r="23" customFormat="false" ht="15" hidden="false" customHeight="false" outlineLevel="0" collapsed="false">
      <c r="A23" s="5" t="s">
        <v>13</v>
      </c>
      <c r="B23" s="6" t="s">
        <v>7</v>
      </c>
      <c r="C23" s="7" t="n">
        <v>0</v>
      </c>
      <c r="D23" s="7" t="n">
        <v>0</v>
      </c>
      <c r="E23" s="7" t="n">
        <v>0</v>
      </c>
      <c r="F23" s="7" t="n">
        <v>0</v>
      </c>
      <c r="G23" s="7" t="n">
        <v>0</v>
      </c>
      <c r="H23" s="7" t="n">
        <v>0</v>
      </c>
      <c r="I23" s="7" t="n">
        <v>0</v>
      </c>
      <c r="J23" s="7" t="n">
        <v>0</v>
      </c>
      <c r="K23" s="7" t="n">
        <v>0</v>
      </c>
      <c r="L23" s="7" t="n">
        <v>4</v>
      </c>
      <c r="M23" s="7" t="n">
        <v>14</v>
      </c>
      <c r="N23" s="7" t="n">
        <v>20</v>
      </c>
      <c r="O23" s="7" t="n">
        <v>22</v>
      </c>
      <c r="P23" s="7" t="n">
        <v>18</v>
      </c>
      <c r="Q23" s="7" t="n">
        <v>14</v>
      </c>
      <c r="R23" s="7" t="n">
        <v>10</v>
      </c>
      <c r="S23" s="7" t="n">
        <v>12</v>
      </c>
    </row>
    <row r="24" customFormat="false" ht="15" hidden="false" customHeight="false" outlineLevel="0" collapsed="false">
      <c r="A24" s="5" t="s">
        <v>13</v>
      </c>
      <c r="B24" s="6" t="s">
        <v>8</v>
      </c>
      <c r="C24" s="7" t="n">
        <v>0</v>
      </c>
      <c r="D24" s="7" t="n">
        <v>0</v>
      </c>
      <c r="E24" s="7" t="n">
        <v>0</v>
      </c>
      <c r="F24" s="7" t="n">
        <v>0</v>
      </c>
      <c r="G24" s="7" t="n">
        <v>0</v>
      </c>
      <c r="H24" s="7" t="n">
        <v>0</v>
      </c>
      <c r="I24" s="7" t="n">
        <v>0</v>
      </c>
      <c r="J24" s="7" t="n">
        <v>0</v>
      </c>
      <c r="K24" s="7" t="n">
        <v>0</v>
      </c>
      <c r="L24" s="7" t="n">
        <v>0</v>
      </c>
      <c r="M24" s="7" t="n">
        <v>0</v>
      </c>
      <c r="N24" s="7" t="n">
        <v>3</v>
      </c>
      <c r="O24" s="7" t="n">
        <v>7</v>
      </c>
      <c r="P24" s="7" t="n">
        <v>9</v>
      </c>
      <c r="Q24" s="7" t="n">
        <v>10</v>
      </c>
      <c r="R24" s="7" t="n">
        <v>10</v>
      </c>
      <c r="S24" s="7" t="n">
        <v>14</v>
      </c>
    </row>
    <row r="25" customFormat="false" ht="15" hidden="false" customHeight="false" outlineLevel="0" collapsed="false">
      <c r="A25" s="5" t="s">
        <v>13</v>
      </c>
      <c r="B25" s="6" t="s">
        <v>9</v>
      </c>
      <c r="C25" s="7" t="n">
        <v>0</v>
      </c>
      <c r="D25" s="7" t="n">
        <v>0</v>
      </c>
      <c r="E25" s="7" t="n">
        <v>0</v>
      </c>
      <c r="F25" s="7" t="n">
        <v>0</v>
      </c>
      <c r="G25" s="7" t="n">
        <v>0</v>
      </c>
      <c r="H25" s="7" t="n">
        <v>0</v>
      </c>
      <c r="I25" s="7" t="n">
        <v>0</v>
      </c>
      <c r="J25" s="7" t="n">
        <v>0</v>
      </c>
      <c r="K25" s="7" t="n">
        <v>0</v>
      </c>
      <c r="L25" s="7" t="n">
        <v>0</v>
      </c>
      <c r="M25" s="7" t="n">
        <v>0</v>
      </c>
      <c r="N25" s="7" t="n">
        <v>0</v>
      </c>
      <c r="O25" s="7" t="n">
        <v>0</v>
      </c>
      <c r="P25" s="7" t="n">
        <v>0</v>
      </c>
      <c r="Q25" s="7" t="n">
        <v>0</v>
      </c>
      <c r="R25" s="7" t="n">
        <v>0</v>
      </c>
      <c r="S25" s="7" t="n">
        <v>0</v>
      </c>
    </row>
    <row r="26" customFormat="false" ht="15" hidden="false" customHeight="false" outlineLevel="0" collapsed="false">
      <c r="A26" s="5" t="s">
        <v>13</v>
      </c>
      <c r="B26" s="6" t="s">
        <v>10</v>
      </c>
      <c r="C26" s="7" t="n">
        <v>0</v>
      </c>
      <c r="D26" s="7" t="n">
        <v>0</v>
      </c>
      <c r="E26" s="7" t="n">
        <v>0</v>
      </c>
      <c r="F26" s="7" t="n">
        <v>0</v>
      </c>
      <c r="G26" s="7" t="n">
        <v>0</v>
      </c>
      <c r="H26" s="7" t="n">
        <v>0</v>
      </c>
      <c r="I26" s="7" t="n">
        <v>0</v>
      </c>
      <c r="J26" s="7" t="n">
        <v>0</v>
      </c>
      <c r="K26" s="7" t="n">
        <v>0</v>
      </c>
      <c r="L26" s="7" t="n">
        <v>0</v>
      </c>
      <c r="M26" s="7" t="n">
        <v>0</v>
      </c>
      <c r="N26" s="7" t="n">
        <v>0</v>
      </c>
      <c r="O26" s="7" t="n">
        <v>0</v>
      </c>
      <c r="P26" s="7" t="n">
        <v>0</v>
      </c>
      <c r="Q26" s="7" t="n">
        <v>0</v>
      </c>
      <c r="R26" s="7" t="n">
        <v>14</v>
      </c>
      <c r="S26" s="7" t="n">
        <v>28</v>
      </c>
    </row>
    <row r="27" customFormat="false" ht="15" hidden="false" customHeight="false" outlineLevel="0" collapsed="false">
      <c r="A27" s="5" t="s">
        <v>13</v>
      </c>
      <c r="B27" s="6" t="s">
        <v>11</v>
      </c>
      <c r="C27" s="7" t="n">
        <v>0</v>
      </c>
      <c r="D27" s="7" t="n">
        <v>0</v>
      </c>
      <c r="E27" s="7" t="n">
        <v>0</v>
      </c>
      <c r="F27" s="7" t="n">
        <v>0</v>
      </c>
      <c r="G27" s="7" t="n">
        <v>0</v>
      </c>
      <c r="H27" s="7" t="n">
        <v>0</v>
      </c>
      <c r="I27" s="7" t="n">
        <v>0</v>
      </c>
      <c r="J27" s="7" t="n">
        <v>0</v>
      </c>
      <c r="K27" s="7" t="n">
        <v>0</v>
      </c>
      <c r="L27" s="7" t="n">
        <v>0</v>
      </c>
      <c r="M27" s="7" t="n">
        <v>0</v>
      </c>
      <c r="N27" s="7" t="n">
        <v>0</v>
      </c>
      <c r="O27" s="7" t="n">
        <v>0</v>
      </c>
      <c r="P27" s="7" t="n">
        <v>0</v>
      </c>
      <c r="Q27" s="7" t="n">
        <v>0</v>
      </c>
      <c r="R27" s="7" t="n">
        <v>0</v>
      </c>
      <c r="S27" s="7" t="n">
        <v>0</v>
      </c>
    </row>
    <row r="29" customFormat="false" ht="15" hidden="false" customHeight="false" outlineLevel="0" collapsed="false">
      <c r="A29" s="5" t="s">
        <v>14</v>
      </c>
      <c r="B29" s="6" t="s">
        <v>5</v>
      </c>
      <c r="C29" s="7" t="n">
        <v>0</v>
      </c>
      <c r="D29" s="7" t="n">
        <v>1</v>
      </c>
      <c r="E29" s="7" t="n">
        <v>2</v>
      </c>
      <c r="F29" s="7" t="n">
        <v>2</v>
      </c>
      <c r="G29" s="7" t="n">
        <v>0</v>
      </c>
      <c r="H29" s="7" t="n">
        <v>0</v>
      </c>
      <c r="I29" s="7" t="n">
        <v>0</v>
      </c>
      <c r="J29" s="7" t="n">
        <v>0</v>
      </c>
      <c r="K29" s="7" t="n">
        <v>0</v>
      </c>
      <c r="L29" s="7" t="n">
        <v>0</v>
      </c>
      <c r="M29" s="7" t="n">
        <v>0</v>
      </c>
      <c r="N29" s="7" t="n">
        <v>0</v>
      </c>
      <c r="O29" s="7" t="n">
        <v>0</v>
      </c>
      <c r="P29" s="7" t="n">
        <v>0</v>
      </c>
      <c r="Q29" s="7" t="n">
        <v>0</v>
      </c>
      <c r="R29" s="7" t="n">
        <v>0</v>
      </c>
      <c r="S29" s="7" t="n">
        <v>0</v>
      </c>
    </row>
    <row r="30" customFormat="false" ht="15" hidden="false" customHeight="false" outlineLevel="0" collapsed="false">
      <c r="A30" s="5" t="s">
        <v>14</v>
      </c>
      <c r="B30" s="6" t="s">
        <v>6</v>
      </c>
      <c r="C30" s="7" t="n">
        <v>0</v>
      </c>
      <c r="D30" s="7" t="n">
        <v>0</v>
      </c>
      <c r="E30" s="7" t="n">
        <v>0</v>
      </c>
      <c r="F30" s="7" t="n">
        <v>0</v>
      </c>
      <c r="G30" s="7" t="n">
        <v>3</v>
      </c>
      <c r="H30" s="7" t="n">
        <v>7</v>
      </c>
      <c r="I30" s="7" t="n">
        <v>8</v>
      </c>
      <c r="J30" s="7" t="n">
        <v>8</v>
      </c>
      <c r="K30" s="7" t="n">
        <v>9</v>
      </c>
      <c r="L30" s="7" t="n">
        <v>9</v>
      </c>
      <c r="M30" s="7" t="n">
        <v>6</v>
      </c>
      <c r="N30" s="7" t="n">
        <v>6</v>
      </c>
      <c r="O30" s="7" t="n">
        <v>0</v>
      </c>
      <c r="P30" s="7" t="n">
        <v>0</v>
      </c>
      <c r="Q30" s="7" t="n">
        <v>0</v>
      </c>
      <c r="R30" s="7" t="n">
        <v>0</v>
      </c>
      <c r="S30" s="7" t="n">
        <v>0</v>
      </c>
    </row>
    <row r="31" customFormat="false" ht="15" hidden="false" customHeight="false" outlineLevel="0" collapsed="false">
      <c r="A31" s="5" t="s">
        <v>14</v>
      </c>
      <c r="B31" s="6" t="s">
        <v>7</v>
      </c>
      <c r="C31" s="7" t="n">
        <v>0</v>
      </c>
      <c r="D31" s="7" t="n">
        <v>0</v>
      </c>
      <c r="E31" s="7" t="n">
        <v>0</v>
      </c>
      <c r="F31" s="7" t="n">
        <v>0</v>
      </c>
      <c r="G31" s="7" t="n">
        <v>0</v>
      </c>
      <c r="H31" s="7" t="n">
        <v>0</v>
      </c>
      <c r="I31" s="7" t="n">
        <v>0</v>
      </c>
      <c r="J31" s="7" t="n">
        <v>0</v>
      </c>
      <c r="K31" s="7" t="n">
        <v>0</v>
      </c>
      <c r="L31" s="7" t="n">
        <v>1</v>
      </c>
      <c r="M31" s="7" t="n">
        <v>6</v>
      </c>
      <c r="N31" s="7" t="n">
        <v>10</v>
      </c>
      <c r="O31" s="7" t="n">
        <v>14</v>
      </c>
      <c r="P31" s="7" t="n">
        <v>12</v>
      </c>
      <c r="Q31" s="7" t="n">
        <v>10</v>
      </c>
      <c r="R31" s="7" t="n">
        <v>8</v>
      </c>
      <c r="S31" s="7" t="n">
        <v>10</v>
      </c>
    </row>
    <row r="32" customFormat="false" ht="15" hidden="false" customHeight="false" outlineLevel="0" collapsed="false">
      <c r="A32" s="5" t="s">
        <v>14</v>
      </c>
      <c r="B32" s="6" t="s">
        <v>8</v>
      </c>
      <c r="C32" s="7" t="n">
        <v>0</v>
      </c>
      <c r="D32" s="7" t="n">
        <v>0</v>
      </c>
      <c r="E32" s="7" t="n">
        <v>0</v>
      </c>
      <c r="F32" s="7" t="n">
        <v>0</v>
      </c>
      <c r="G32" s="7" t="n">
        <v>0</v>
      </c>
      <c r="H32" s="7" t="n">
        <v>0</v>
      </c>
      <c r="I32" s="7" t="n">
        <v>0</v>
      </c>
      <c r="J32" s="7" t="n">
        <v>0</v>
      </c>
      <c r="K32" s="7" t="n">
        <v>0</v>
      </c>
      <c r="L32" s="7" t="n">
        <v>0</v>
      </c>
      <c r="M32" s="7" t="n">
        <v>0</v>
      </c>
      <c r="N32" s="7" t="n">
        <v>2</v>
      </c>
      <c r="O32" s="7" t="n">
        <v>3</v>
      </c>
      <c r="P32" s="7" t="n">
        <v>4</v>
      </c>
      <c r="Q32" s="7" t="n">
        <v>4</v>
      </c>
      <c r="R32" s="7" t="n">
        <v>4</v>
      </c>
      <c r="S32" s="7" t="n">
        <v>6</v>
      </c>
    </row>
    <row r="33" customFormat="false" ht="15" hidden="false" customHeight="false" outlineLevel="0" collapsed="false">
      <c r="A33" s="5" t="s">
        <v>14</v>
      </c>
      <c r="B33" s="6" t="s">
        <v>9</v>
      </c>
      <c r="C33" s="7" t="n">
        <v>0</v>
      </c>
      <c r="D33" s="7" t="n">
        <v>0</v>
      </c>
      <c r="E33" s="7" t="n">
        <v>0</v>
      </c>
      <c r="F33" s="7" t="n">
        <v>0</v>
      </c>
      <c r="G33" s="7" t="n">
        <v>0</v>
      </c>
      <c r="H33" s="7" t="n">
        <v>0</v>
      </c>
      <c r="I33" s="7" t="n">
        <v>0</v>
      </c>
      <c r="J33" s="7" t="n">
        <v>0</v>
      </c>
      <c r="K33" s="7" t="n">
        <v>0</v>
      </c>
      <c r="L33" s="7" t="n">
        <v>0</v>
      </c>
      <c r="M33" s="7" t="n">
        <v>0</v>
      </c>
      <c r="N33" s="7" t="n">
        <v>0</v>
      </c>
      <c r="O33" s="7" t="n">
        <v>0</v>
      </c>
      <c r="P33" s="7" t="n">
        <v>7</v>
      </c>
      <c r="Q33" s="7" t="n">
        <v>7</v>
      </c>
      <c r="R33" s="7" t="n">
        <v>7</v>
      </c>
      <c r="S33" s="7" t="n">
        <v>7</v>
      </c>
    </row>
    <row r="34" customFormat="false" ht="15" hidden="false" customHeight="false" outlineLevel="0" collapsed="false">
      <c r="A34" s="5" t="s">
        <v>14</v>
      </c>
      <c r="B34" s="6" t="s">
        <v>10</v>
      </c>
      <c r="C34" s="7" t="n">
        <v>0</v>
      </c>
      <c r="D34" s="7" t="n">
        <v>0</v>
      </c>
      <c r="E34" s="7" t="n">
        <v>0</v>
      </c>
      <c r="F34" s="7" t="n">
        <v>0</v>
      </c>
      <c r="G34" s="7" t="n">
        <v>0</v>
      </c>
      <c r="H34" s="7" t="n">
        <v>0</v>
      </c>
      <c r="I34" s="7" t="n">
        <v>0</v>
      </c>
      <c r="J34" s="7" t="n">
        <v>0</v>
      </c>
      <c r="K34" s="7" t="n">
        <v>0</v>
      </c>
      <c r="L34" s="7" t="n">
        <v>0</v>
      </c>
      <c r="M34" s="7" t="n">
        <v>0</v>
      </c>
      <c r="N34" s="7" t="n">
        <v>0</v>
      </c>
      <c r="O34" s="7" t="n">
        <v>0</v>
      </c>
      <c r="P34" s="7" t="n">
        <v>0</v>
      </c>
      <c r="Q34" s="7" t="n">
        <v>0</v>
      </c>
      <c r="R34" s="7" t="n">
        <v>4</v>
      </c>
      <c r="S34" s="7" t="n">
        <v>8</v>
      </c>
    </row>
    <row r="35" customFormat="false" ht="15" hidden="false" customHeight="false" outlineLevel="0" collapsed="false">
      <c r="A35" s="5" t="s">
        <v>14</v>
      </c>
      <c r="B35" s="6" t="s">
        <v>11</v>
      </c>
      <c r="C35" s="7" t="n">
        <v>0</v>
      </c>
      <c r="D35" s="7" t="n">
        <v>0</v>
      </c>
      <c r="E35" s="7" t="n">
        <v>0</v>
      </c>
      <c r="F35" s="7" t="n">
        <v>0</v>
      </c>
      <c r="G35" s="7" t="n">
        <v>0</v>
      </c>
      <c r="H35" s="7" t="n">
        <v>0</v>
      </c>
      <c r="I35" s="7" t="n">
        <v>0</v>
      </c>
      <c r="J35" s="7" t="n">
        <v>0</v>
      </c>
      <c r="K35" s="7" t="n">
        <v>0</v>
      </c>
      <c r="L35" s="7" t="n">
        <v>0</v>
      </c>
      <c r="M35" s="7" t="n">
        <v>0</v>
      </c>
      <c r="N35" s="7" t="n">
        <v>0</v>
      </c>
      <c r="O35" s="7" t="n">
        <v>0</v>
      </c>
      <c r="P35" s="7" t="n">
        <v>0</v>
      </c>
      <c r="Q35" s="7" t="n">
        <v>0</v>
      </c>
      <c r="R35" s="7" t="n">
        <v>0</v>
      </c>
      <c r="S35" s="7" t="n">
        <v>0</v>
      </c>
    </row>
    <row r="37" customFormat="false" ht="15" hidden="false" customHeight="false" outlineLevel="0" collapsed="false">
      <c r="A37" s="5" t="s">
        <v>15</v>
      </c>
      <c r="B37" s="6" t="s">
        <v>5</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c r="S37" s="7" t="n">
        <v>0</v>
      </c>
    </row>
    <row r="38" customFormat="false" ht="15" hidden="false" customHeight="false" outlineLevel="0" collapsed="false">
      <c r="A38" s="5" t="s">
        <v>15</v>
      </c>
      <c r="B38" s="6" t="s">
        <v>6</v>
      </c>
      <c r="C38" s="7" t="n">
        <v>0</v>
      </c>
      <c r="D38" s="7" t="n">
        <v>0</v>
      </c>
      <c r="E38" s="7" t="n">
        <v>0</v>
      </c>
      <c r="F38" s="7" t="n">
        <v>0</v>
      </c>
      <c r="G38" s="7" t="n">
        <v>0</v>
      </c>
      <c r="H38" s="7" t="n">
        <v>0</v>
      </c>
      <c r="I38" s="7" t="n">
        <v>0</v>
      </c>
      <c r="J38" s="7" t="n">
        <v>0</v>
      </c>
      <c r="K38" s="7" t="n">
        <v>0</v>
      </c>
      <c r="L38" s="7" t="n">
        <v>0</v>
      </c>
      <c r="M38" s="7" t="n">
        <v>0</v>
      </c>
      <c r="N38" s="7" t="n">
        <v>0</v>
      </c>
      <c r="O38" s="7" t="n">
        <v>0</v>
      </c>
      <c r="P38" s="7" t="n">
        <v>0</v>
      </c>
      <c r="Q38" s="7" t="n">
        <v>0</v>
      </c>
      <c r="R38" s="7" t="n">
        <v>0</v>
      </c>
      <c r="S38" s="7" t="n">
        <v>0</v>
      </c>
    </row>
    <row r="39" customFormat="false" ht="15" hidden="false" customHeight="false" outlineLevel="0" collapsed="false">
      <c r="A39" s="5" t="s">
        <v>15</v>
      </c>
      <c r="B39" s="6" t="s">
        <v>7</v>
      </c>
      <c r="C39" s="7" t="n">
        <v>0</v>
      </c>
      <c r="D39" s="7" t="n">
        <v>0</v>
      </c>
      <c r="E39" s="7" t="n">
        <v>0</v>
      </c>
      <c r="F39" s="7" t="n">
        <v>0</v>
      </c>
      <c r="G39" s="7" t="n">
        <v>0</v>
      </c>
      <c r="H39" s="7" t="n">
        <v>0</v>
      </c>
      <c r="I39" s="7" t="n">
        <v>0</v>
      </c>
      <c r="J39" s="7" t="n">
        <v>0</v>
      </c>
      <c r="K39" s="7" t="n">
        <v>0</v>
      </c>
      <c r="L39" s="7" t="n">
        <v>0</v>
      </c>
      <c r="M39" s="7" t="n">
        <v>0</v>
      </c>
      <c r="N39" s="7" t="n">
        <v>0</v>
      </c>
      <c r="O39" s="7" t="n">
        <v>0</v>
      </c>
      <c r="P39" s="7" t="n">
        <v>0</v>
      </c>
      <c r="Q39" s="7" t="n">
        <v>0</v>
      </c>
      <c r="R39" s="7" t="n">
        <v>0</v>
      </c>
      <c r="S39" s="7" t="n">
        <v>0</v>
      </c>
    </row>
    <row r="40" customFormat="false" ht="15" hidden="false" customHeight="false" outlineLevel="0" collapsed="false">
      <c r="A40" s="5" t="s">
        <v>15</v>
      </c>
      <c r="B40" s="6" t="s">
        <v>8</v>
      </c>
      <c r="C40" s="7" t="n">
        <v>0</v>
      </c>
      <c r="D40" s="7" t="n">
        <v>0</v>
      </c>
      <c r="E40" s="7" t="n">
        <v>0</v>
      </c>
      <c r="F40" s="7" t="n">
        <v>0</v>
      </c>
      <c r="G40" s="7" t="n">
        <v>0</v>
      </c>
      <c r="H40" s="7" t="n">
        <v>0</v>
      </c>
      <c r="I40" s="7" t="n">
        <v>0</v>
      </c>
      <c r="J40" s="7" t="n">
        <v>0</v>
      </c>
      <c r="K40" s="7" t="n">
        <v>0</v>
      </c>
      <c r="L40" s="7" t="n">
        <v>0</v>
      </c>
      <c r="M40" s="7" t="n">
        <v>0</v>
      </c>
      <c r="N40" s="7" t="n">
        <v>0</v>
      </c>
      <c r="O40" s="7" t="n">
        <v>0</v>
      </c>
      <c r="P40" s="7" t="n">
        <v>0</v>
      </c>
      <c r="Q40" s="7" t="n">
        <v>0</v>
      </c>
      <c r="R40" s="7" t="n">
        <v>0</v>
      </c>
      <c r="S40" s="7" t="n">
        <v>0</v>
      </c>
    </row>
    <row r="41" customFormat="false" ht="15" hidden="false" customHeight="false" outlineLevel="0" collapsed="false">
      <c r="A41" s="5" t="s">
        <v>15</v>
      </c>
      <c r="B41" s="6" t="s">
        <v>9</v>
      </c>
      <c r="C41" s="7" t="n">
        <v>0</v>
      </c>
      <c r="D41" s="7" t="n">
        <v>0</v>
      </c>
      <c r="E41" s="7" t="n">
        <v>0</v>
      </c>
      <c r="F41" s="7" t="n">
        <v>0</v>
      </c>
      <c r="G41" s="7" t="n">
        <v>0</v>
      </c>
      <c r="H41" s="7" t="n">
        <v>0</v>
      </c>
      <c r="I41" s="7" t="n">
        <v>0</v>
      </c>
      <c r="J41" s="7" t="n">
        <v>0</v>
      </c>
      <c r="K41" s="7" t="n">
        <v>0</v>
      </c>
      <c r="L41" s="7" t="n">
        <v>0</v>
      </c>
      <c r="M41" s="7" t="n">
        <v>0</v>
      </c>
      <c r="N41" s="7" t="n">
        <v>0</v>
      </c>
      <c r="O41" s="7" t="n">
        <v>0</v>
      </c>
      <c r="P41" s="7" t="n">
        <v>0</v>
      </c>
      <c r="Q41" s="7" t="n">
        <v>0</v>
      </c>
      <c r="R41" s="7" t="n">
        <v>0</v>
      </c>
      <c r="S41" s="7" t="n">
        <v>0</v>
      </c>
    </row>
    <row r="42" customFormat="false" ht="15" hidden="false" customHeight="false" outlineLevel="0" collapsed="false">
      <c r="A42" s="5" t="s">
        <v>15</v>
      </c>
      <c r="B42" s="6" t="s">
        <v>10</v>
      </c>
      <c r="C42" s="7" t="n">
        <v>0</v>
      </c>
      <c r="D42" s="7" t="n">
        <v>0</v>
      </c>
      <c r="E42" s="7" t="n">
        <v>0</v>
      </c>
      <c r="F42" s="7" t="n">
        <v>0</v>
      </c>
      <c r="G42" s="7" t="n">
        <v>0</v>
      </c>
      <c r="H42" s="7" t="n">
        <v>0</v>
      </c>
      <c r="I42" s="7" t="n">
        <v>0</v>
      </c>
      <c r="J42" s="7" t="n">
        <v>0</v>
      </c>
      <c r="K42" s="7" t="n">
        <v>0</v>
      </c>
      <c r="L42" s="7" t="n">
        <v>0</v>
      </c>
      <c r="M42" s="7" t="n">
        <v>0</v>
      </c>
      <c r="N42" s="7" t="n">
        <v>0</v>
      </c>
      <c r="O42" s="7" t="n">
        <v>0</v>
      </c>
      <c r="P42" s="7" t="n">
        <v>0</v>
      </c>
      <c r="Q42" s="7" t="n">
        <v>0</v>
      </c>
      <c r="R42" s="7" t="n">
        <v>0</v>
      </c>
      <c r="S42" s="7" t="n">
        <v>0</v>
      </c>
    </row>
    <row r="43" customFormat="false" ht="15" hidden="false" customHeight="false" outlineLevel="0" collapsed="false">
      <c r="A43" s="5" t="s">
        <v>15</v>
      </c>
      <c r="B43" s="6" t="s">
        <v>11</v>
      </c>
      <c r="C43" s="7" t="n">
        <v>0</v>
      </c>
      <c r="D43" s="7" t="n">
        <v>0</v>
      </c>
      <c r="E43" s="7" t="n">
        <v>0</v>
      </c>
      <c r="F43" s="7" t="n">
        <v>0</v>
      </c>
      <c r="G43" s="7" t="n">
        <v>0</v>
      </c>
      <c r="H43" s="7" t="n">
        <v>0</v>
      </c>
      <c r="I43" s="7" t="n">
        <v>0</v>
      </c>
      <c r="J43" s="7" t="n">
        <v>0</v>
      </c>
      <c r="K43" s="7" t="n">
        <v>0</v>
      </c>
      <c r="L43" s="7" t="n">
        <v>0</v>
      </c>
      <c r="M43" s="7" t="n">
        <v>0</v>
      </c>
      <c r="N43" s="7" t="n">
        <v>0</v>
      </c>
      <c r="O43" s="7" t="n">
        <v>0</v>
      </c>
      <c r="P43" s="7" t="n">
        <v>0</v>
      </c>
      <c r="Q43" s="7" t="n">
        <v>0</v>
      </c>
      <c r="R43" s="7" t="n">
        <v>0</v>
      </c>
      <c r="S43" s="7" t="n">
        <v>0</v>
      </c>
    </row>
    <row r="45" customFormat="false" ht="15" hidden="false" customHeight="false" outlineLevel="0" collapsed="false">
      <c r="A45" s="5" t="s">
        <v>16</v>
      </c>
      <c r="B45" s="6" t="s">
        <v>5</v>
      </c>
      <c r="C45" s="7" t="n">
        <v>3</v>
      </c>
      <c r="D45" s="7" t="n">
        <v>5</v>
      </c>
      <c r="E45" s="7" t="n">
        <v>8</v>
      </c>
      <c r="F45" s="7" t="n">
        <v>12</v>
      </c>
      <c r="G45" s="7" t="n">
        <v>0</v>
      </c>
      <c r="H45" s="7" t="n">
        <v>0</v>
      </c>
      <c r="I45" s="7" t="n">
        <v>0</v>
      </c>
      <c r="J45" s="7" t="n">
        <v>0</v>
      </c>
      <c r="K45" s="7" t="n">
        <v>0</v>
      </c>
      <c r="L45" s="7" t="n">
        <v>0</v>
      </c>
      <c r="M45" s="7" t="n">
        <v>0</v>
      </c>
      <c r="N45" s="7" t="n">
        <v>0</v>
      </c>
      <c r="O45" s="7" t="n">
        <v>0</v>
      </c>
      <c r="P45" s="7" t="n">
        <v>0</v>
      </c>
      <c r="Q45" s="7" t="n">
        <v>0</v>
      </c>
      <c r="R45" s="7" t="n">
        <v>0</v>
      </c>
      <c r="S45" s="7" t="n">
        <v>0</v>
      </c>
    </row>
    <row r="46" customFormat="false" ht="15" hidden="false" customHeight="false" outlineLevel="0" collapsed="false">
      <c r="A46" s="5" t="s">
        <v>16</v>
      </c>
      <c r="B46" s="6" t="s">
        <v>6</v>
      </c>
      <c r="C46" s="7" t="n">
        <v>0</v>
      </c>
      <c r="D46" s="7" t="n">
        <v>0</v>
      </c>
      <c r="E46" s="7" t="n">
        <v>0</v>
      </c>
      <c r="F46" s="7" t="n">
        <v>0</v>
      </c>
      <c r="G46" s="7" t="n">
        <v>18</v>
      </c>
      <c r="H46" s="7" t="n">
        <v>45</v>
      </c>
      <c r="I46" s="7" t="n">
        <v>50</v>
      </c>
      <c r="J46" s="7" t="n">
        <v>55</v>
      </c>
      <c r="K46" s="7" t="n">
        <v>58</v>
      </c>
      <c r="L46" s="7" t="n">
        <v>50</v>
      </c>
      <c r="M46" s="7" t="n">
        <v>15</v>
      </c>
      <c r="N46" s="7" t="n">
        <v>0</v>
      </c>
      <c r="O46" s="7" t="n">
        <v>0</v>
      </c>
      <c r="P46" s="7" t="n">
        <v>0</v>
      </c>
      <c r="Q46" s="7" t="n">
        <v>0</v>
      </c>
      <c r="R46" s="7" t="n">
        <v>0</v>
      </c>
      <c r="S46" s="7" t="n">
        <v>0</v>
      </c>
    </row>
    <row r="47" customFormat="false" ht="15" hidden="false" customHeight="false" outlineLevel="0" collapsed="false">
      <c r="A47" s="5" t="s">
        <v>16</v>
      </c>
      <c r="B47" s="6" t="s">
        <v>7</v>
      </c>
      <c r="C47" s="7" t="n">
        <v>0</v>
      </c>
      <c r="D47" s="7" t="n">
        <v>0</v>
      </c>
      <c r="E47" s="7" t="n">
        <v>0</v>
      </c>
      <c r="F47" s="7" t="n">
        <v>0</v>
      </c>
      <c r="G47" s="7" t="n">
        <v>0</v>
      </c>
      <c r="H47" s="7" t="n">
        <v>0</v>
      </c>
      <c r="I47" s="7" t="n">
        <v>0</v>
      </c>
      <c r="J47" s="7" t="n">
        <v>0</v>
      </c>
      <c r="K47" s="7" t="n">
        <v>0</v>
      </c>
      <c r="L47" s="7" t="n">
        <v>8</v>
      </c>
      <c r="M47" s="7" t="n">
        <v>25</v>
      </c>
      <c r="N47" s="7" t="n">
        <v>40</v>
      </c>
      <c r="O47" s="7" t="n">
        <v>45</v>
      </c>
      <c r="P47" s="7" t="n">
        <v>30</v>
      </c>
      <c r="Q47" s="7" t="n">
        <v>20</v>
      </c>
      <c r="R47" s="7" t="n">
        <v>15</v>
      </c>
      <c r="S47" s="7" t="n">
        <v>18</v>
      </c>
    </row>
    <row r="48" customFormat="false" ht="15" hidden="false" customHeight="false" outlineLevel="0" collapsed="false">
      <c r="A48" s="5" t="s">
        <v>16</v>
      </c>
      <c r="B48" s="6" t="s">
        <v>8</v>
      </c>
      <c r="C48" s="7" t="n">
        <v>0</v>
      </c>
      <c r="D48" s="7" t="n">
        <v>0</v>
      </c>
      <c r="E48" s="7" t="n">
        <v>0</v>
      </c>
      <c r="F48" s="7" t="n">
        <v>0</v>
      </c>
      <c r="G48" s="7" t="n">
        <v>0</v>
      </c>
      <c r="H48" s="7" t="n">
        <v>0</v>
      </c>
      <c r="I48" s="7" t="n">
        <v>0</v>
      </c>
      <c r="J48" s="7" t="n">
        <v>0</v>
      </c>
      <c r="K48" s="7" t="n">
        <v>0</v>
      </c>
      <c r="L48" s="7" t="n">
        <v>0</v>
      </c>
      <c r="M48" s="7" t="n">
        <v>0</v>
      </c>
      <c r="N48" s="7" t="n">
        <v>14</v>
      </c>
      <c r="O48" s="7" t="n">
        <v>24</v>
      </c>
      <c r="P48" s="7" t="n">
        <v>28</v>
      </c>
      <c r="Q48" s="7" t="n">
        <v>30</v>
      </c>
      <c r="R48" s="7" t="n">
        <v>31</v>
      </c>
      <c r="S48" s="7" t="n">
        <v>32</v>
      </c>
    </row>
    <row r="49" customFormat="false" ht="15" hidden="false" customHeight="false" outlineLevel="0" collapsed="false">
      <c r="A49" s="5" t="s">
        <v>16</v>
      </c>
      <c r="B49" s="6" t="s">
        <v>9</v>
      </c>
      <c r="C49" s="7" t="n">
        <v>0</v>
      </c>
      <c r="D49" s="7" t="n">
        <v>0</v>
      </c>
      <c r="E49" s="7" t="n">
        <v>0</v>
      </c>
      <c r="F49" s="7" t="n">
        <v>0</v>
      </c>
      <c r="G49" s="7" t="n">
        <v>0</v>
      </c>
      <c r="H49" s="7" t="n">
        <v>0</v>
      </c>
      <c r="I49" s="7" t="n">
        <v>0</v>
      </c>
      <c r="J49" s="7" t="n">
        <v>0</v>
      </c>
      <c r="K49" s="7" t="n">
        <v>0</v>
      </c>
      <c r="L49" s="7" t="n">
        <v>0</v>
      </c>
      <c r="M49" s="7" t="n">
        <v>0</v>
      </c>
      <c r="N49" s="7" t="n">
        <v>0</v>
      </c>
      <c r="O49" s="7" t="n">
        <v>0</v>
      </c>
      <c r="P49" s="7" t="n">
        <v>0</v>
      </c>
      <c r="Q49" s="7" t="n">
        <v>0</v>
      </c>
      <c r="R49" s="7" t="n">
        <v>0</v>
      </c>
      <c r="S49" s="7" t="n">
        <v>0</v>
      </c>
    </row>
    <row r="50" customFormat="false" ht="15" hidden="false" customHeight="false" outlineLevel="0" collapsed="false">
      <c r="A50" s="5" t="s">
        <v>16</v>
      </c>
      <c r="B50" s="6" t="s">
        <v>10</v>
      </c>
      <c r="C50" s="7" t="n">
        <v>0</v>
      </c>
      <c r="D50" s="7" t="n">
        <v>0</v>
      </c>
      <c r="E50" s="7" t="n">
        <v>0</v>
      </c>
      <c r="F50" s="7" t="n">
        <v>0</v>
      </c>
      <c r="G50" s="7" t="n">
        <v>0</v>
      </c>
      <c r="H50" s="7" t="n">
        <v>0</v>
      </c>
      <c r="I50" s="7" t="n">
        <v>0</v>
      </c>
      <c r="J50" s="7" t="n">
        <v>0</v>
      </c>
      <c r="K50" s="7" t="n">
        <v>0</v>
      </c>
      <c r="L50" s="7" t="n">
        <v>0</v>
      </c>
      <c r="M50" s="7" t="n">
        <v>0</v>
      </c>
      <c r="N50" s="7" t="n">
        <v>0</v>
      </c>
      <c r="O50" s="7" t="n">
        <v>0</v>
      </c>
      <c r="P50" s="7" t="n">
        <v>0</v>
      </c>
      <c r="Q50" s="7" t="n">
        <v>0</v>
      </c>
      <c r="R50" s="7" t="n">
        <v>20</v>
      </c>
      <c r="S50" s="7" t="n">
        <v>42</v>
      </c>
    </row>
    <row r="51" customFormat="false" ht="15" hidden="false" customHeight="false" outlineLevel="0" collapsed="false">
      <c r="A51" s="5" t="s">
        <v>16</v>
      </c>
      <c r="B51" s="6" t="s">
        <v>11</v>
      </c>
      <c r="C51" s="7" t="n">
        <v>0</v>
      </c>
      <c r="D51" s="7" t="n">
        <v>0</v>
      </c>
      <c r="E51" s="7" t="n">
        <v>0</v>
      </c>
      <c r="F51" s="7" t="n">
        <v>0</v>
      </c>
      <c r="G51" s="7" t="n">
        <v>0</v>
      </c>
      <c r="H51" s="7" t="n">
        <v>0</v>
      </c>
      <c r="I51" s="7" t="n">
        <v>0</v>
      </c>
      <c r="J51" s="7" t="n">
        <v>0</v>
      </c>
      <c r="K51" s="7" t="n">
        <v>0</v>
      </c>
      <c r="L51" s="7" t="n">
        <v>0</v>
      </c>
      <c r="M51" s="7" t="n">
        <v>0</v>
      </c>
      <c r="N51" s="7" t="n">
        <v>0</v>
      </c>
      <c r="O51" s="7" t="n">
        <v>0</v>
      </c>
      <c r="P51" s="7" t="n">
        <v>0</v>
      </c>
      <c r="Q51" s="7" t="n">
        <v>0</v>
      </c>
      <c r="R51" s="7" t="n">
        <v>0</v>
      </c>
      <c r="S51" s="7" t="n">
        <v>0</v>
      </c>
    </row>
    <row r="53" customFormat="false" ht="15" hidden="false" customHeight="false" outlineLevel="0" collapsed="false">
      <c r="A53" s="5" t="s">
        <v>17</v>
      </c>
      <c r="B53" s="6" t="s">
        <v>5</v>
      </c>
      <c r="C53" s="7" t="n">
        <v>1</v>
      </c>
      <c r="D53" s="7" t="n">
        <v>1</v>
      </c>
      <c r="E53" s="7" t="n">
        <v>2</v>
      </c>
      <c r="F53" s="7" t="n">
        <v>3</v>
      </c>
      <c r="G53" s="7" t="n">
        <v>0</v>
      </c>
      <c r="H53" s="7" t="n">
        <v>0</v>
      </c>
      <c r="I53" s="7" t="n">
        <v>0</v>
      </c>
      <c r="J53" s="7" t="n">
        <v>0</v>
      </c>
      <c r="K53" s="7" t="n">
        <v>0</v>
      </c>
      <c r="L53" s="7" t="n">
        <v>0</v>
      </c>
      <c r="M53" s="7" t="n">
        <v>0</v>
      </c>
      <c r="N53" s="7" t="n">
        <v>0</v>
      </c>
      <c r="O53" s="7" t="n">
        <v>0</v>
      </c>
      <c r="P53" s="7" t="n">
        <v>0</v>
      </c>
      <c r="Q53" s="7" t="n">
        <v>0</v>
      </c>
      <c r="R53" s="7" t="n">
        <v>0</v>
      </c>
      <c r="S53" s="7" t="n">
        <v>0</v>
      </c>
    </row>
    <row r="54" customFormat="false" ht="15" hidden="false" customHeight="false" outlineLevel="0" collapsed="false">
      <c r="A54" s="5" t="s">
        <v>17</v>
      </c>
      <c r="B54" s="6" t="s">
        <v>6</v>
      </c>
      <c r="C54" s="7" t="n">
        <v>0</v>
      </c>
      <c r="D54" s="7" t="n">
        <v>0</v>
      </c>
      <c r="E54" s="7" t="n">
        <v>0</v>
      </c>
      <c r="F54" s="7" t="n">
        <v>0</v>
      </c>
      <c r="G54" s="7" t="n">
        <v>5</v>
      </c>
      <c r="H54" s="7" t="n">
        <v>12</v>
      </c>
      <c r="I54" s="7" t="n">
        <v>13</v>
      </c>
      <c r="J54" s="7" t="n">
        <v>14</v>
      </c>
      <c r="K54" s="7" t="n">
        <v>14</v>
      </c>
      <c r="L54" s="7" t="n">
        <v>12</v>
      </c>
      <c r="M54" s="7" t="n">
        <v>4</v>
      </c>
      <c r="N54" s="7" t="n">
        <v>0</v>
      </c>
      <c r="O54" s="7" t="n">
        <v>0</v>
      </c>
      <c r="P54" s="7" t="n">
        <v>0</v>
      </c>
      <c r="Q54" s="7" t="n">
        <v>0</v>
      </c>
      <c r="R54" s="7" t="n">
        <v>0</v>
      </c>
      <c r="S54" s="7" t="n">
        <v>0</v>
      </c>
    </row>
    <row r="55" customFormat="false" ht="15" hidden="false" customHeight="false" outlineLevel="0" collapsed="false">
      <c r="A55" s="5" t="s">
        <v>17</v>
      </c>
      <c r="B55" s="6" t="s">
        <v>7</v>
      </c>
      <c r="C55" s="7" t="n">
        <v>0</v>
      </c>
      <c r="D55" s="7" t="n">
        <v>0</v>
      </c>
      <c r="E55" s="7" t="n">
        <v>0</v>
      </c>
      <c r="F55" s="7" t="n">
        <v>0</v>
      </c>
      <c r="G55" s="7" t="n">
        <v>0</v>
      </c>
      <c r="H55" s="7" t="n">
        <v>0</v>
      </c>
      <c r="I55" s="7" t="n">
        <v>0</v>
      </c>
      <c r="J55" s="7" t="n">
        <v>0</v>
      </c>
      <c r="K55" s="7" t="n">
        <v>0</v>
      </c>
      <c r="L55" s="7" t="n">
        <v>3</v>
      </c>
      <c r="M55" s="7" t="n">
        <v>14</v>
      </c>
      <c r="N55" s="7" t="n">
        <v>20</v>
      </c>
      <c r="O55" s="7" t="n">
        <v>25</v>
      </c>
      <c r="P55" s="7" t="n">
        <v>18</v>
      </c>
      <c r="Q55" s="7" t="n">
        <v>14</v>
      </c>
      <c r="R55" s="7" t="n">
        <v>10</v>
      </c>
      <c r="S55" s="7" t="n">
        <v>14</v>
      </c>
    </row>
    <row r="56" customFormat="false" ht="15" hidden="false" customHeight="false" outlineLevel="0" collapsed="false">
      <c r="A56" s="5" t="s">
        <v>17</v>
      </c>
      <c r="B56" s="6" t="s">
        <v>8</v>
      </c>
      <c r="C56" s="7" t="n">
        <v>0</v>
      </c>
      <c r="D56" s="7" t="n">
        <v>0</v>
      </c>
      <c r="E56" s="7" t="n">
        <v>0</v>
      </c>
      <c r="F56" s="7" t="n">
        <v>0</v>
      </c>
      <c r="G56" s="7" t="n">
        <v>0</v>
      </c>
      <c r="H56" s="7" t="n">
        <v>0</v>
      </c>
      <c r="I56" s="7" t="n">
        <v>0</v>
      </c>
      <c r="J56" s="7" t="n">
        <v>0</v>
      </c>
      <c r="K56" s="7" t="n">
        <v>0</v>
      </c>
      <c r="L56" s="7" t="n">
        <v>0</v>
      </c>
      <c r="M56" s="7" t="n">
        <v>0</v>
      </c>
      <c r="N56" s="7" t="n">
        <v>3</v>
      </c>
      <c r="O56" s="7" t="n">
        <v>14</v>
      </c>
      <c r="P56" s="7" t="n">
        <v>23</v>
      </c>
      <c r="Q56" s="7" t="n">
        <v>25</v>
      </c>
      <c r="R56" s="7" t="n">
        <v>26</v>
      </c>
      <c r="S56" s="7" t="n">
        <v>26</v>
      </c>
    </row>
    <row r="57" customFormat="false" ht="15" hidden="false" customHeight="false" outlineLevel="0" collapsed="false">
      <c r="A57" s="5" t="s">
        <v>17</v>
      </c>
      <c r="B57" s="6" t="s">
        <v>9</v>
      </c>
      <c r="C57" s="7" t="n">
        <v>0</v>
      </c>
      <c r="D57" s="7" t="n">
        <v>0</v>
      </c>
      <c r="E57" s="7" t="n">
        <v>0</v>
      </c>
      <c r="F57" s="7" t="n">
        <v>0</v>
      </c>
      <c r="G57" s="7" t="n">
        <v>0</v>
      </c>
      <c r="H57" s="7" t="n">
        <v>0</v>
      </c>
      <c r="I57" s="7" t="n">
        <v>0</v>
      </c>
      <c r="J57" s="7" t="n">
        <v>0</v>
      </c>
      <c r="K57" s="7" t="n">
        <v>0</v>
      </c>
      <c r="L57" s="7" t="n">
        <v>0</v>
      </c>
      <c r="M57" s="7" t="n">
        <v>0</v>
      </c>
      <c r="N57" s="7" t="n">
        <v>0</v>
      </c>
      <c r="O57" s="7" t="n">
        <v>0</v>
      </c>
      <c r="P57" s="7" t="n">
        <v>0</v>
      </c>
      <c r="Q57" s="7" t="n">
        <v>0</v>
      </c>
      <c r="R57" s="7" t="n">
        <v>0</v>
      </c>
      <c r="S57" s="7" t="n">
        <v>0</v>
      </c>
    </row>
    <row r="58" customFormat="false" ht="15" hidden="false" customHeight="false" outlineLevel="0" collapsed="false">
      <c r="A58" s="5" t="s">
        <v>17</v>
      </c>
      <c r="B58" s="6" t="s">
        <v>10</v>
      </c>
      <c r="C58" s="7" t="n">
        <v>0</v>
      </c>
      <c r="D58" s="7" t="n">
        <v>0</v>
      </c>
      <c r="E58" s="7" t="n">
        <v>0</v>
      </c>
      <c r="F58" s="7" t="n">
        <v>0</v>
      </c>
      <c r="G58" s="7" t="n">
        <v>0</v>
      </c>
      <c r="H58" s="7" t="n">
        <v>0</v>
      </c>
      <c r="I58" s="7" t="n">
        <v>0</v>
      </c>
      <c r="J58" s="7" t="n">
        <v>0</v>
      </c>
      <c r="K58" s="7" t="n">
        <v>0</v>
      </c>
      <c r="L58" s="7" t="n">
        <v>0</v>
      </c>
      <c r="M58" s="7" t="n">
        <v>0</v>
      </c>
      <c r="N58" s="7" t="n">
        <v>0</v>
      </c>
      <c r="O58" s="7" t="n">
        <v>0</v>
      </c>
      <c r="P58" s="7" t="n">
        <v>0</v>
      </c>
      <c r="Q58" s="7" t="n">
        <v>0</v>
      </c>
      <c r="R58" s="7" t="n">
        <v>12</v>
      </c>
      <c r="S58" s="7" t="n">
        <v>28</v>
      </c>
    </row>
    <row r="59" customFormat="false" ht="15" hidden="false" customHeight="false" outlineLevel="0" collapsed="false">
      <c r="A59" s="5" t="s">
        <v>17</v>
      </c>
      <c r="B59" s="6" t="s">
        <v>11</v>
      </c>
      <c r="C59" s="7" t="n">
        <v>0</v>
      </c>
      <c r="D59" s="7" t="n">
        <v>0</v>
      </c>
      <c r="E59" s="7" t="n">
        <v>0</v>
      </c>
      <c r="F59" s="7" t="n">
        <v>0</v>
      </c>
      <c r="G59" s="7" t="n">
        <v>0</v>
      </c>
      <c r="H59" s="7" t="n">
        <v>0</v>
      </c>
      <c r="I59" s="7" t="n">
        <v>0</v>
      </c>
      <c r="J59" s="7" t="n">
        <v>0</v>
      </c>
      <c r="K59" s="7" t="n">
        <v>0</v>
      </c>
      <c r="L59" s="7" t="n">
        <v>0</v>
      </c>
      <c r="M59" s="7" t="n">
        <v>0</v>
      </c>
      <c r="N59" s="7" t="n">
        <v>0</v>
      </c>
      <c r="O59" s="7" t="n">
        <v>0</v>
      </c>
      <c r="P59" s="7" t="n">
        <v>0</v>
      </c>
      <c r="Q59" s="7" t="n">
        <v>0</v>
      </c>
      <c r="R59" s="7" t="n">
        <v>0</v>
      </c>
      <c r="S59" s="7" t="n">
        <v>6</v>
      </c>
    </row>
    <row r="61" customFormat="false" ht="15" hidden="false" customHeight="false" outlineLevel="0" collapsed="false">
      <c r="A61" s="5" t="s">
        <v>18</v>
      </c>
      <c r="B61" s="6" t="s">
        <v>5</v>
      </c>
      <c r="C61" s="7" t="n">
        <v>0</v>
      </c>
      <c r="D61" s="7" t="n">
        <v>0</v>
      </c>
      <c r="E61" s="7" t="n">
        <v>0</v>
      </c>
      <c r="F61" s="7" t="n">
        <v>0</v>
      </c>
      <c r="G61" s="7" t="n">
        <v>0</v>
      </c>
      <c r="H61" s="7" t="n">
        <v>0</v>
      </c>
      <c r="I61" s="7" t="n">
        <v>0</v>
      </c>
      <c r="J61" s="7" t="n">
        <v>0</v>
      </c>
      <c r="K61" s="7" t="n">
        <v>0</v>
      </c>
      <c r="L61" s="7" t="n">
        <v>0</v>
      </c>
      <c r="M61" s="7" t="n">
        <v>0</v>
      </c>
      <c r="N61" s="7" t="n">
        <v>0</v>
      </c>
      <c r="O61" s="7" t="n">
        <v>0</v>
      </c>
      <c r="P61" s="7" t="n">
        <v>0</v>
      </c>
      <c r="Q61" s="7" t="n">
        <v>0</v>
      </c>
      <c r="R61" s="7" t="n">
        <v>0</v>
      </c>
      <c r="S61" s="7" t="n">
        <v>0</v>
      </c>
    </row>
    <row r="62" customFormat="false" ht="15" hidden="false" customHeight="false" outlineLevel="0" collapsed="false">
      <c r="A62" s="5" t="s">
        <v>18</v>
      </c>
      <c r="B62" s="6" t="s">
        <v>6</v>
      </c>
      <c r="C62" s="7" t="n">
        <v>0</v>
      </c>
      <c r="D62" s="7" t="n">
        <v>0</v>
      </c>
      <c r="E62" s="7" t="n">
        <v>0</v>
      </c>
      <c r="F62" s="7" t="n">
        <v>0</v>
      </c>
      <c r="G62" s="7" t="n">
        <v>1</v>
      </c>
      <c r="H62" s="7" t="n">
        <v>3</v>
      </c>
      <c r="I62" s="7" t="n">
        <v>3</v>
      </c>
      <c r="J62" s="7" t="n">
        <v>3</v>
      </c>
      <c r="K62" s="7" t="n">
        <v>3</v>
      </c>
      <c r="L62" s="7" t="n">
        <v>3</v>
      </c>
      <c r="M62" s="7" t="n">
        <v>1</v>
      </c>
      <c r="N62" s="7" t="n">
        <v>0</v>
      </c>
      <c r="O62" s="7" t="n">
        <v>0</v>
      </c>
      <c r="P62" s="7" t="n">
        <v>0</v>
      </c>
      <c r="Q62" s="7" t="n">
        <v>0</v>
      </c>
      <c r="R62" s="7" t="n">
        <v>0</v>
      </c>
      <c r="S62" s="7" t="n">
        <v>0</v>
      </c>
    </row>
    <row r="63" customFormat="false" ht="15" hidden="false" customHeight="false" outlineLevel="0" collapsed="false">
      <c r="A63" s="5" t="s">
        <v>18</v>
      </c>
      <c r="B63" s="6" t="s">
        <v>7</v>
      </c>
      <c r="C63" s="7" t="n">
        <v>0</v>
      </c>
      <c r="D63" s="7" t="n">
        <v>0</v>
      </c>
      <c r="E63" s="7" t="n">
        <v>0</v>
      </c>
      <c r="F63" s="7" t="n">
        <v>0</v>
      </c>
      <c r="G63" s="7" t="n">
        <v>0</v>
      </c>
      <c r="H63" s="7" t="n">
        <v>0</v>
      </c>
      <c r="I63" s="7" t="n">
        <v>0</v>
      </c>
      <c r="J63" s="7" t="n">
        <v>0</v>
      </c>
      <c r="K63" s="7" t="n">
        <v>0</v>
      </c>
      <c r="L63" s="7" t="n">
        <v>1</v>
      </c>
      <c r="M63" s="7" t="n">
        <v>5</v>
      </c>
      <c r="N63" s="7" t="n">
        <v>8</v>
      </c>
      <c r="O63" s="7" t="n">
        <v>10</v>
      </c>
      <c r="P63" s="7" t="n">
        <v>8</v>
      </c>
      <c r="Q63" s="7" t="n">
        <v>6</v>
      </c>
      <c r="R63" s="7" t="n">
        <v>5</v>
      </c>
      <c r="S63" s="7" t="n">
        <v>6</v>
      </c>
    </row>
    <row r="64" customFormat="false" ht="15" hidden="false" customHeight="false" outlineLevel="0" collapsed="false">
      <c r="A64" s="5" t="s">
        <v>18</v>
      </c>
      <c r="B64" s="6" t="s">
        <v>8</v>
      </c>
      <c r="C64" s="7" t="n">
        <v>0</v>
      </c>
      <c r="D64" s="7" t="n">
        <v>0</v>
      </c>
      <c r="E64" s="7" t="n">
        <v>0</v>
      </c>
      <c r="F64" s="7" t="n">
        <v>0</v>
      </c>
      <c r="G64" s="7" t="n">
        <v>0</v>
      </c>
      <c r="H64" s="7" t="n">
        <v>0</v>
      </c>
      <c r="I64" s="7" t="n">
        <v>0</v>
      </c>
      <c r="J64" s="7" t="n">
        <v>0</v>
      </c>
      <c r="K64" s="7" t="n">
        <v>0</v>
      </c>
      <c r="L64" s="7" t="n">
        <v>0</v>
      </c>
      <c r="M64" s="7" t="n">
        <v>0</v>
      </c>
      <c r="N64" s="7" t="n">
        <v>0</v>
      </c>
      <c r="O64" s="7" t="n">
        <v>5</v>
      </c>
      <c r="P64" s="7" t="n">
        <v>7</v>
      </c>
      <c r="Q64" s="7" t="n">
        <v>9</v>
      </c>
      <c r="R64" s="7" t="n">
        <v>10</v>
      </c>
      <c r="S64" s="7" t="n">
        <v>10</v>
      </c>
    </row>
    <row r="65" customFormat="false" ht="15" hidden="false" customHeight="false" outlineLevel="0" collapsed="false">
      <c r="A65" s="5" t="s">
        <v>18</v>
      </c>
      <c r="B65" s="6" t="s">
        <v>9</v>
      </c>
      <c r="C65" s="7" t="n">
        <v>0</v>
      </c>
      <c r="D65" s="7" t="n">
        <v>0</v>
      </c>
      <c r="E65" s="7" t="n">
        <v>0</v>
      </c>
      <c r="F65" s="7" t="n">
        <v>0</v>
      </c>
      <c r="G65" s="7" t="n">
        <v>0</v>
      </c>
      <c r="H65" s="7" t="n">
        <v>0</v>
      </c>
      <c r="I65" s="7" t="n">
        <v>0</v>
      </c>
      <c r="J65" s="7" t="n">
        <v>0</v>
      </c>
      <c r="K65" s="7" t="n">
        <v>0</v>
      </c>
      <c r="L65" s="7" t="n">
        <v>0</v>
      </c>
      <c r="M65" s="7" t="n">
        <v>0</v>
      </c>
      <c r="N65" s="7" t="n">
        <v>0</v>
      </c>
      <c r="O65" s="7" t="n">
        <v>0</v>
      </c>
      <c r="P65" s="7" t="n">
        <v>0</v>
      </c>
      <c r="Q65" s="7" t="n">
        <v>0</v>
      </c>
      <c r="R65" s="7" t="n">
        <v>0</v>
      </c>
      <c r="S65" s="7" t="n">
        <v>0</v>
      </c>
    </row>
    <row r="66" customFormat="false" ht="15" hidden="false" customHeight="false" outlineLevel="0" collapsed="false">
      <c r="A66" s="5" t="s">
        <v>18</v>
      </c>
      <c r="B66" s="6" t="s">
        <v>10</v>
      </c>
      <c r="C66" s="7" t="n">
        <v>0</v>
      </c>
      <c r="D66" s="7" t="n">
        <v>0</v>
      </c>
      <c r="E66" s="7" t="n">
        <v>0</v>
      </c>
      <c r="F66" s="7" t="n">
        <v>0</v>
      </c>
      <c r="G66" s="7" t="n">
        <v>0</v>
      </c>
      <c r="H66" s="7" t="n">
        <v>0</v>
      </c>
      <c r="I66" s="7" t="n">
        <v>0</v>
      </c>
      <c r="J66" s="7" t="n">
        <v>0</v>
      </c>
      <c r="K66" s="7" t="n">
        <v>0</v>
      </c>
      <c r="L66" s="7" t="n">
        <v>0</v>
      </c>
      <c r="M66" s="7" t="n">
        <v>0</v>
      </c>
      <c r="N66" s="7" t="n">
        <v>0</v>
      </c>
      <c r="O66" s="7" t="n">
        <v>0</v>
      </c>
      <c r="P66" s="7" t="n">
        <v>0</v>
      </c>
      <c r="Q66" s="7" t="n">
        <v>0</v>
      </c>
      <c r="R66" s="7" t="n">
        <v>6</v>
      </c>
      <c r="S66" s="7" t="n">
        <v>14</v>
      </c>
    </row>
    <row r="67" customFormat="false" ht="15" hidden="false" customHeight="false" outlineLevel="0" collapsed="false">
      <c r="A67" s="5" t="s">
        <v>18</v>
      </c>
      <c r="B67" s="6" t="s">
        <v>11</v>
      </c>
      <c r="C67" s="7" t="n">
        <v>0</v>
      </c>
      <c r="D67" s="7" t="n">
        <v>0</v>
      </c>
      <c r="E67" s="7" t="n">
        <v>0</v>
      </c>
      <c r="F67" s="7" t="n">
        <v>0</v>
      </c>
      <c r="G67" s="7" t="n">
        <v>0</v>
      </c>
      <c r="H67" s="7" t="n">
        <v>0</v>
      </c>
      <c r="I67" s="7" t="n">
        <v>0</v>
      </c>
      <c r="J67" s="7" t="n">
        <v>0</v>
      </c>
      <c r="K67" s="7" t="n">
        <v>0</v>
      </c>
      <c r="L67" s="7" t="n">
        <v>0</v>
      </c>
      <c r="M67" s="7" t="n">
        <v>0</v>
      </c>
      <c r="N67" s="7" t="n">
        <v>0</v>
      </c>
      <c r="O67" s="7" t="n">
        <v>0</v>
      </c>
      <c r="P67" s="7" t="n">
        <v>0</v>
      </c>
      <c r="Q67" s="7" t="n">
        <v>0</v>
      </c>
      <c r="R67" s="7" t="n">
        <v>0</v>
      </c>
      <c r="S67" s="7" t="n">
        <v>0</v>
      </c>
    </row>
    <row r="69" customFormat="false" ht="15" hidden="false" customHeight="false" outlineLevel="0" collapsed="false">
      <c r="A69" s="5" t="s">
        <v>19</v>
      </c>
      <c r="B69" s="6" t="s">
        <v>5</v>
      </c>
      <c r="C69" s="7" t="n">
        <v>0</v>
      </c>
      <c r="D69" s="7" t="n">
        <v>0</v>
      </c>
      <c r="E69" s="7" t="n">
        <v>0</v>
      </c>
      <c r="F69" s="7" t="n">
        <v>0</v>
      </c>
      <c r="G69" s="7" t="n">
        <v>0</v>
      </c>
      <c r="H69" s="7" t="n">
        <v>0</v>
      </c>
      <c r="I69" s="7" t="n">
        <v>0</v>
      </c>
      <c r="J69" s="7" t="n">
        <v>0</v>
      </c>
      <c r="K69" s="7" t="n">
        <v>0</v>
      </c>
      <c r="L69" s="7" t="n">
        <v>0</v>
      </c>
      <c r="M69" s="7" t="n">
        <v>0</v>
      </c>
      <c r="N69" s="7" t="n">
        <v>0</v>
      </c>
      <c r="O69" s="7" t="n">
        <v>0</v>
      </c>
      <c r="P69" s="7" t="n">
        <v>0</v>
      </c>
      <c r="Q69" s="7" t="n">
        <v>0</v>
      </c>
      <c r="R69" s="7" t="n">
        <v>0</v>
      </c>
      <c r="S69" s="7" t="n">
        <v>0</v>
      </c>
    </row>
    <row r="70" customFormat="false" ht="15" hidden="false" customHeight="false" outlineLevel="0" collapsed="false">
      <c r="A70" s="5" t="s">
        <v>19</v>
      </c>
      <c r="B70" s="6" t="s">
        <v>6</v>
      </c>
      <c r="C70" s="7" t="n">
        <v>0</v>
      </c>
      <c r="D70" s="7" t="n">
        <v>0</v>
      </c>
      <c r="E70" s="7" t="n">
        <v>0</v>
      </c>
      <c r="F70" s="7" t="n">
        <v>0</v>
      </c>
      <c r="G70" s="7" t="n">
        <v>0</v>
      </c>
      <c r="H70" s="7" t="n">
        <v>2</v>
      </c>
      <c r="I70" s="7" t="n">
        <v>2</v>
      </c>
      <c r="J70" s="7" t="n">
        <v>2</v>
      </c>
      <c r="K70" s="7" t="n">
        <v>2</v>
      </c>
      <c r="L70" s="7" t="n">
        <v>2</v>
      </c>
      <c r="M70" s="7" t="n">
        <v>1</v>
      </c>
      <c r="N70" s="7" t="n">
        <v>0</v>
      </c>
      <c r="O70" s="7" t="n">
        <v>0</v>
      </c>
      <c r="P70" s="7" t="n">
        <v>0</v>
      </c>
      <c r="Q70" s="7" t="n">
        <v>0</v>
      </c>
      <c r="R70" s="7" t="n">
        <v>0</v>
      </c>
      <c r="S70" s="7" t="n">
        <v>0</v>
      </c>
    </row>
    <row r="71" customFormat="false" ht="15" hidden="false" customHeight="false" outlineLevel="0" collapsed="false">
      <c r="A71" s="5" t="s">
        <v>19</v>
      </c>
      <c r="B71" s="6" t="s">
        <v>7</v>
      </c>
      <c r="C71" s="7" t="n">
        <v>0</v>
      </c>
      <c r="D71" s="7" t="n">
        <v>0</v>
      </c>
      <c r="E71" s="7" t="n">
        <v>0</v>
      </c>
      <c r="F71" s="7" t="n">
        <v>0</v>
      </c>
      <c r="G71" s="7" t="n">
        <v>0</v>
      </c>
      <c r="H71" s="7" t="n">
        <v>0</v>
      </c>
      <c r="I71" s="7" t="n">
        <v>0</v>
      </c>
      <c r="J71" s="7" t="n">
        <v>0</v>
      </c>
      <c r="K71" s="7" t="n">
        <v>0</v>
      </c>
      <c r="L71" s="7" t="n">
        <v>0</v>
      </c>
      <c r="M71" s="7" t="n">
        <v>4</v>
      </c>
      <c r="N71" s="7" t="n">
        <v>10</v>
      </c>
      <c r="O71" s="7" t="n">
        <v>18</v>
      </c>
      <c r="P71" s="7" t="n">
        <v>15</v>
      </c>
      <c r="Q71" s="7" t="n">
        <v>14</v>
      </c>
      <c r="R71" s="7" t="n">
        <v>12</v>
      </c>
      <c r="S71" s="7" t="n">
        <v>20</v>
      </c>
    </row>
    <row r="72" customFormat="false" ht="15" hidden="false" customHeight="false" outlineLevel="0" collapsed="false">
      <c r="A72" s="5" t="s">
        <v>19</v>
      </c>
      <c r="B72" s="6" t="s">
        <v>8</v>
      </c>
      <c r="C72" s="7" t="n">
        <v>0</v>
      </c>
      <c r="D72" s="7" t="n">
        <v>0</v>
      </c>
      <c r="E72" s="7" t="n">
        <v>0</v>
      </c>
      <c r="F72" s="7" t="n">
        <v>0</v>
      </c>
      <c r="G72" s="7" t="n">
        <v>0</v>
      </c>
      <c r="H72" s="7" t="n">
        <v>0</v>
      </c>
      <c r="I72" s="7" t="n">
        <v>0</v>
      </c>
      <c r="J72" s="7" t="n">
        <v>0</v>
      </c>
      <c r="K72" s="7" t="n">
        <v>0</v>
      </c>
      <c r="L72" s="7" t="n">
        <v>0</v>
      </c>
      <c r="M72" s="7" t="n">
        <v>0</v>
      </c>
      <c r="N72" s="7" t="n">
        <v>1</v>
      </c>
      <c r="O72" s="7" t="n">
        <v>8</v>
      </c>
      <c r="P72" s="7" t="n">
        <v>14</v>
      </c>
      <c r="Q72" s="7" t="n">
        <v>20</v>
      </c>
      <c r="R72" s="7" t="n">
        <v>22</v>
      </c>
      <c r="S72" s="7" t="n">
        <v>26</v>
      </c>
    </row>
    <row r="73" customFormat="false" ht="15" hidden="false" customHeight="false" outlineLevel="0" collapsed="false">
      <c r="A73" s="5" t="s">
        <v>19</v>
      </c>
      <c r="B73" s="6" t="s">
        <v>9</v>
      </c>
      <c r="C73" s="7" t="n">
        <v>0</v>
      </c>
      <c r="D73" s="7" t="n">
        <v>0</v>
      </c>
      <c r="E73" s="7" t="n">
        <v>0</v>
      </c>
      <c r="F73" s="7" t="n">
        <v>0</v>
      </c>
      <c r="G73" s="7" t="n">
        <v>0</v>
      </c>
      <c r="H73" s="7" t="n">
        <v>0</v>
      </c>
      <c r="I73" s="7" t="n">
        <v>0</v>
      </c>
      <c r="J73" s="7" t="n">
        <v>0</v>
      </c>
      <c r="K73" s="7" t="n">
        <v>0</v>
      </c>
      <c r="L73" s="7" t="n">
        <v>0</v>
      </c>
      <c r="M73" s="7" t="n">
        <v>0</v>
      </c>
      <c r="N73" s="7" t="n">
        <v>0</v>
      </c>
      <c r="O73" s="7" t="n">
        <v>0</v>
      </c>
      <c r="P73" s="7" t="n">
        <v>0</v>
      </c>
      <c r="Q73" s="7" t="n">
        <v>0</v>
      </c>
      <c r="R73" s="7" t="n">
        <v>0</v>
      </c>
      <c r="S73" s="7" t="n">
        <v>0</v>
      </c>
    </row>
    <row r="74" customFormat="false" ht="15" hidden="false" customHeight="false" outlineLevel="0" collapsed="false">
      <c r="A74" s="5" t="s">
        <v>19</v>
      </c>
      <c r="B74" s="6" t="s">
        <v>10</v>
      </c>
      <c r="C74" s="7" t="n">
        <v>0</v>
      </c>
      <c r="D74" s="7" t="n">
        <v>0</v>
      </c>
      <c r="E74" s="7" t="n">
        <v>0</v>
      </c>
      <c r="F74" s="7" t="n">
        <v>0</v>
      </c>
      <c r="G74" s="7" t="n">
        <v>0</v>
      </c>
      <c r="H74" s="7" t="n">
        <v>0</v>
      </c>
      <c r="I74" s="7" t="n">
        <v>0</v>
      </c>
      <c r="J74" s="7" t="n">
        <v>0</v>
      </c>
      <c r="K74" s="7" t="n">
        <v>0</v>
      </c>
      <c r="L74" s="7" t="n">
        <v>0</v>
      </c>
      <c r="M74" s="7" t="n">
        <v>0</v>
      </c>
      <c r="N74" s="7" t="n">
        <v>0</v>
      </c>
      <c r="O74" s="7" t="n">
        <v>0</v>
      </c>
      <c r="P74" s="7" t="n">
        <v>0</v>
      </c>
      <c r="Q74" s="7" t="n">
        <v>0</v>
      </c>
      <c r="R74" s="7" t="n">
        <v>6</v>
      </c>
      <c r="S74" s="7" t="n">
        <v>22</v>
      </c>
    </row>
    <row r="75" customFormat="false" ht="15" hidden="false" customHeight="false" outlineLevel="0" collapsed="false">
      <c r="A75" s="5" t="s">
        <v>19</v>
      </c>
      <c r="B75" s="6" t="s">
        <v>11</v>
      </c>
      <c r="C75" s="7" t="n">
        <v>0</v>
      </c>
      <c r="D75" s="7" t="n">
        <v>0</v>
      </c>
      <c r="E75" s="7" t="n">
        <v>0</v>
      </c>
      <c r="F75" s="7" t="n">
        <v>0</v>
      </c>
      <c r="G75" s="7" t="n">
        <v>0</v>
      </c>
      <c r="H75" s="7" t="n">
        <v>0</v>
      </c>
      <c r="I75" s="7" t="n">
        <v>0</v>
      </c>
      <c r="J75" s="7" t="n">
        <v>0</v>
      </c>
      <c r="K75" s="7" t="n">
        <v>0</v>
      </c>
      <c r="L75" s="7" t="n">
        <v>0</v>
      </c>
      <c r="M75" s="7" t="n">
        <v>0</v>
      </c>
      <c r="N75" s="7" t="n">
        <v>0</v>
      </c>
      <c r="O75" s="7" t="n">
        <v>0</v>
      </c>
      <c r="P75" s="7" t="n">
        <v>0</v>
      </c>
      <c r="Q75" s="7" t="n">
        <v>0</v>
      </c>
      <c r="R75" s="7" t="n">
        <v>0</v>
      </c>
      <c r="S75" s="7" t="n">
        <v>7</v>
      </c>
    </row>
    <row r="77" customFormat="false" ht="15" hidden="false" customHeight="false" outlineLevel="0" collapsed="false">
      <c r="A77" s="5" t="s">
        <v>20</v>
      </c>
      <c r="B77" s="6" t="s">
        <v>5</v>
      </c>
      <c r="C77" s="7" t="n">
        <v>0</v>
      </c>
      <c r="D77" s="7" t="n">
        <v>0</v>
      </c>
      <c r="E77" s="7" t="n">
        <v>0</v>
      </c>
      <c r="F77" s="7" t="n">
        <v>0</v>
      </c>
      <c r="G77" s="7" t="n">
        <v>0</v>
      </c>
      <c r="H77" s="7" t="n">
        <v>0</v>
      </c>
      <c r="I77" s="7" t="n">
        <v>0</v>
      </c>
      <c r="J77" s="7" t="n">
        <v>0</v>
      </c>
      <c r="K77" s="7" t="n">
        <v>0</v>
      </c>
      <c r="L77" s="7" t="n">
        <v>0</v>
      </c>
      <c r="M77" s="7" t="n">
        <v>0</v>
      </c>
      <c r="N77" s="7" t="n">
        <v>0</v>
      </c>
      <c r="O77" s="7" t="n">
        <v>0</v>
      </c>
      <c r="P77" s="7" t="n">
        <v>0</v>
      </c>
      <c r="Q77" s="7" t="n">
        <v>0</v>
      </c>
      <c r="R77" s="7" t="n">
        <v>0</v>
      </c>
      <c r="S77" s="7" t="n">
        <v>0</v>
      </c>
    </row>
    <row r="78" customFormat="false" ht="15" hidden="false" customHeight="false" outlineLevel="0" collapsed="false">
      <c r="A78" s="5" t="s">
        <v>20</v>
      </c>
      <c r="B78" s="6" t="s">
        <v>6</v>
      </c>
      <c r="C78" s="7" t="n">
        <v>0</v>
      </c>
      <c r="D78" s="7" t="n">
        <v>0</v>
      </c>
      <c r="E78" s="7" t="n">
        <v>0</v>
      </c>
      <c r="F78" s="7" t="n">
        <v>0</v>
      </c>
      <c r="G78" s="7" t="n">
        <v>0</v>
      </c>
      <c r="H78" s="7" t="n">
        <v>1</v>
      </c>
      <c r="I78" s="7" t="n">
        <v>1</v>
      </c>
      <c r="J78" s="7" t="n">
        <v>1</v>
      </c>
      <c r="K78" s="7" t="n">
        <v>1</v>
      </c>
      <c r="L78" s="7" t="n">
        <v>1</v>
      </c>
      <c r="M78" s="7" t="n">
        <v>0</v>
      </c>
      <c r="N78" s="7" t="n">
        <v>0</v>
      </c>
      <c r="O78" s="7" t="n">
        <v>0</v>
      </c>
      <c r="P78" s="7" t="n">
        <v>0</v>
      </c>
      <c r="Q78" s="7" t="n">
        <v>0</v>
      </c>
      <c r="R78" s="7" t="n">
        <v>0</v>
      </c>
      <c r="S78" s="7" t="n">
        <v>0</v>
      </c>
    </row>
    <row r="79" customFormat="false" ht="15" hidden="false" customHeight="false" outlineLevel="0" collapsed="false">
      <c r="A79" s="5" t="s">
        <v>20</v>
      </c>
      <c r="B79" s="6" t="s">
        <v>7</v>
      </c>
      <c r="C79" s="7" t="n">
        <v>0</v>
      </c>
      <c r="D79" s="7" t="n">
        <v>0</v>
      </c>
      <c r="E79" s="7" t="n">
        <v>0</v>
      </c>
      <c r="F79" s="7" t="n">
        <v>0</v>
      </c>
      <c r="G79" s="7" t="n">
        <v>0</v>
      </c>
      <c r="H79" s="7" t="n">
        <v>0</v>
      </c>
      <c r="I79" s="7" t="n">
        <v>0</v>
      </c>
      <c r="J79" s="7" t="n">
        <v>0</v>
      </c>
      <c r="K79" s="7" t="n">
        <v>0</v>
      </c>
      <c r="L79" s="7" t="n">
        <v>0</v>
      </c>
      <c r="M79" s="7" t="n">
        <v>0</v>
      </c>
      <c r="N79" s="7" t="n">
        <v>1</v>
      </c>
      <c r="O79" s="7" t="n">
        <v>2</v>
      </c>
      <c r="P79" s="7" t="n">
        <v>2</v>
      </c>
      <c r="Q79" s="7" t="n">
        <v>1</v>
      </c>
      <c r="R79" s="7" t="n">
        <v>1</v>
      </c>
      <c r="S79" s="7" t="n">
        <v>1</v>
      </c>
    </row>
    <row r="80" customFormat="false" ht="15" hidden="false" customHeight="false" outlineLevel="0" collapsed="false">
      <c r="A80" s="5" t="s">
        <v>20</v>
      </c>
      <c r="B80" s="6" t="s">
        <v>8</v>
      </c>
      <c r="C80" s="7" t="n">
        <v>0</v>
      </c>
      <c r="D80" s="7" t="n">
        <v>0</v>
      </c>
      <c r="E80" s="7" t="n">
        <v>0</v>
      </c>
      <c r="F80" s="7" t="n">
        <v>0</v>
      </c>
      <c r="G80" s="7" t="n">
        <v>0</v>
      </c>
      <c r="H80" s="7" t="n">
        <v>0</v>
      </c>
      <c r="I80" s="7" t="n">
        <v>0</v>
      </c>
      <c r="J80" s="7" t="n">
        <v>0</v>
      </c>
      <c r="K80" s="7" t="n">
        <v>0</v>
      </c>
      <c r="L80" s="7" t="n">
        <v>0</v>
      </c>
      <c r="M80" s="7" t="n">
        <v>0</v>
      </c>
      <c r="N80" s="7" t="n">
        <v>0</v>
      </c>
      <c r="O80" s="7" t="n">
        <v>0</v>
      </c>
      <c r="P80" s="7" t="n">
        <v>0</v>
      </c>
      <c r="Q80" s="7" t="n">
        <v>0</v>
      </c>
      <c r="R80" s="7" t="n">
        <v>0</v>
      </c>
      <c r="S80" s="7" t="n">
        <v>0</v>
      </c>
    </row>
    <row r="81" customFormat="false" ht="15" hidden="false" customHeight="false" outlineLevel="0" collapsed="false">
      <c r="A81" s="5" t="s">
        <v>20</v>
      </c>
      <c r="B81" s="6" t="s">
        <v>9</v>
      </c>
      <c r="C81" s="7" t="n">
        <v>0</v>
      </c>
      <c r="D81" s="7" t="n">
        <v>0</v>
      </c>
      <c r="E81" s="7" t="n">
        <v>0</v>
      </c>
      <c r="F81" s="7" t="n">
        <v>0</v>
      </c>
      <c r="G81" s="7" t="n">
        <v>0</v>
      </c>
      <c r="H81" s="7" t="n">
        <v>0</v>
      </c>
      <c r="I81" s="7" t="n">
        <v>0</v>
      </c>
      <c r="J81" s="7" t="n">
        <v>0</v>
      </c>
      <c r="K81" s="7" t="n">
        <v>0</v>
      </c>
      <c r="L81" s="7" t="n">
        <v>0</v>
      </c>
      <c r="M81" s="7" t="n">
        <v>0</v>
      </c>
      <c r="N81" s="7" t="n">
        <v>0</v>
      </c>
      <c r="O81" s="7" t="n">
        <v>0</v>
      </c>
      <c r="P81" s="7" t="n">
        <v>0</v>
      </c>
      <c r="Q81" s="7" t="n">
        <v>0</v>
      </c>
      <c r="R81" s="7" t="n">
        <v>0</v>
      </c>
      <c r="S81" s="7" t="n">
        <v>0</v>
      </c>
    </row>
    <row r="82" customFormat="false" ht="15" hidden="false" customHeight="false" outlineLevel="0" collapsed="false">
      <c r="A82" s="5" t="s">
        <v>20</v>
      </c>
      <c r="B82" s="6" t="s">
        <v>10</v>
      </c>
      <c r="C82" s="7" t="n">
        <v>0</v>
      </c>
      <c r="D82" s="7" t="n">
        <v>0</v>
      </c>
      <c r="E82" s="7" t="n">
        <v>0</v>
      </c>
      <c r="F82" s="7" t="n">
        <v>0</v>
      </c>
      <c r="G82" s="7" t="n">
        <v>0</v>
      </c>
      <c r="H82" s="7" t="n">
        <v>0</v>
      </c>
      <c r="I82" s="7" t="n">
        <v>0</v>
      </c>
      <c r="J82" s="7" t="n">
        <v>0</v>
      </c>
      <c r="K82" s="7" t="n">
        <v>0</v>
      </c>
      <c r="L82" s="7" t="n">
        <v>0</v>
      </c>
      <c r="M82" s="7" t="n">
        <v>0</v>
      </c>
      <c r="N82" s="7" t="n">
        <v>0</v>
      </c>
      <c r="O82" s="7" t="n">
        <v>0</v>
      </c>
      <c r="P82" s="7" t="n">
        <v>0</v>
      </c>
      <c r="Q82" s="7" t="n">
        <v>0</v>
      </c>
      <c r="R82" s="7" t="n">
        <v>0</v>
      </c>
      <c r="S82" s="7" t="n">
        <v>0</v>
      </c>
    </row>
    <row r="83" customFormat="false" ht="15" hidden="false" customHeight="false" outlineLevel="0" collapsed="false">
      <c r="A83" s="5" t="s">
        <v>20</v>
      </c>
      <c r="B83" s="6" t="s">
        <v>11</v>
      </c>
      <c r="C83" s="7" t="n">
        <v>0</v>
      </c>
      <c r="D83" s="7" t="n">
        <v>0</v>
      </c>
      <c r="E83" s="7" t="n">
        <v>0</v>
      </c>
      <c r="F83" s="7" t="n">
        <v>0</v>
      </c>
      <c r="G83" s="7" t="n">
        <v>0</v>
      </c>
      <c r="H83" s="7" t="n">
        <v>0</v>
      </c>
      <c r="I83" s="7" t="n">
        <v>0</v>
      </c>
      <c r="J83" s="7" t="n">
        <v>0</v>
      </c>
      <c r="K83" s="7" t="n">
        <v>0</v>
      </c>
      <c r="L83" s="7" t="n">
        <v>0</v>
      </c>
      <c r="M83" s="7" t="n">
        <v>0</v>
      </c>
      <c r="N83" s="7" t="n">
        <v>0</v>
      </c>
      <c r="O83" s="7" t="n">
        <v>0</v>
      </c>
      <c r="P83" s="7" t="n">
        <v>0</v>
      </c>
      <c r="Q83" s="7" t="n">
        <v>0</v>
      </c>
      <c r="R83" s="7" t="n">
        <v>0</v>
      </c>
      <c r="S83" s="7" t="n">
        <v>0</v>
      </c>
    </row>
    <row r="85" customFormat="false" ht="15" hidden="false" customHeight="false" outlineLevel="0" collapsed="false">
      <c r="A85" s="5" t="s">
        <v>21</v>
      </c>
      <c r="B85" s="6" t="s">
        <v>5</v>
      </c>
      <c r="C85" s="7" t="n">
        <v>2</v>
      </c>
      <c r="D85" s="7" t="n">
        <v>3</v>
      </c>
      <c r="E85" s="7" t="n">
        <v>4</v>
      </c>
      <c r="F85" s="7" t="n">
        <v>6</v>
      </c>
      <c r="G85" s="7" t="n">
        <v>0</v>
      </c>
      <c r="H85" s="7" t="n">
        <v>0</v>
      </c>
      <c r="I85" s="7" t="n">
        <v>0</v>
      </c>
      <c r="J85" s="7" t="n">
        <v>0</v>
      </c>
      <c r="K85" s="7" t="n">
        <v>0</v>
      </c>
      <c r="L85" s="7" t="n">
        <v>0</v>
      </c>
      <c r="M85" s="7" t="n">
        <v>0</v>
      </c>
      <c r="N85" s="7" t="n">
        <v>0</v>
      </c>
      <c r="O85" s="7" t="n">
        <v>0</v>
      </c>
      <c r="P85" s="7" t="n">
        <v>0</v>
      </c>
      <c r="Q85" s="7" t="n">
        <v>0</v>
      </c>
      <c r="R85" s="7" t="n">
        <v>0</v>
      </c>
      <c r="S85" s="7" t="n">
        <v>0</v>
      </c>
    </row>
    <row r="86" customFormat="false" ht="15" hidden="false" customHeight="false" outlineLevel="0" collapsed="false">
      <c r="A86" s="5" t="s">
        <v>21</v>
      </c>
      <c r="B86" s="6" t="s">
        <v>6</v>
      </c>
      <c r="C86" s="7" t="n">
        <v>0</v>
      </c>
      <c r="D86" s="7" t="n">
        <v>0</v>
      </c>
      <c r="E86" s="7" t="n">
        <v>0</v>
      </c>
      <c r="F86" s="7" t="n">
        <v>0</v>
      </c>
      <c r="G86" s="7" t="n">
        <v>12</v>
      </c>
      <c r="H86" s="7" t="n">
        <v>28</v>
      </c>
      <c r="I86" s="7" t="n">
        <v>30</v>
      </c>
      <c r="J86" s="7" t="n">
        <v>32</v>
      </c>
      <c r="K86" s="7" t="n">
        <v>32</v>
      </c>
      <c r="L86" s="7" t="n">
        <v>28</v>
      </c>
      <c r="M86" s="7" t="n">
        <v>10</v>
      </c>
      <c r="N86" s="7" t="n">
        <v>0</v>
      </c>
      <c r="O86" s="7" t="n">
        <v>0</v>
      </c>
      <c r="P86" s="7" t="n">
        <v>0</v>
      </c>
      <c r="Q86" s="7" t="n">
        <v>0</v>
      </c>
      <c r="R86" s="7" t="n">
        <v>0</v>
      </c>
      <c r="S86" s="7" t="n">
        <v>0</v>
      </c>
    </row>
    <row r="87" customFormat="false" ht="15" hidden="false" customHeight="false" outlineLevel="0" collapsed="false">
      <c r="A87" s="5" t="s">
        <v>21</v>
      </c>
      <c r="B87" s="6" t="s">
        <v>7</v>
      </c>
      <c r="C87" s="7" t="n">
        <v>0</v>
      </c>
      <c r="D87" s="7" t="n">
        <v>0</v>
      </c>
      <c r="E87" s="7" t="n">
        <v>0</v>
      </c>
      <c r="F87" s="7" t="n">
        <v>0</v>
      </c>
      <c r="G87" s="7" t="n">
        <v>0</v>
      </c>
      <c r="H87" s="7" t="n">
        <v>0</v>
      </c>
      <c r="I87" s="7" t="n">
        <v>0</v>
      </c>
      <c r="J87" s="7" t="n">
        <v>0</v>
      </c>
      <c r="K87" s="7" t="n">
        <v>0</v>
      </c>
      <c r="L87" s="7" t="n">
        <v>5</v>
      </c>
      <c r="M87" s="7" t="n">
        <v>18</v>
      </c>
      <c r="N87" s="7" t="n">
        <v>25</v>
      </c>
      <c r="O87" s="7" t="n">
        <v>28</v>
      </c>
      <c r="P87" s="7" t="n">
        <v>20</v>
      </c>
      <c r="Q87" s="7" t="n">
        <v>15</v>
      </c>
      <c r="R87" s="7" t="n">
        <v>10</v>
      </c>
      <c r="S87" s="7" t="n">
        <v>12</v>
      </c>
    </row>
    <row r="88" customFormat="false" ht="15" hidden="false" customHeight="false" outlineLevel="0" collapsed="false">
      <c r="A88" s="5" t="s">
        <v>21</v>
      </c>
      <c r="B88" s="6" t="s">
        <v>8</v>
      </c>
      <c r="C88" s="7" t="n">
        <v>0</v>
      </c>
      <c r="D88" s="7" t="n">
        <v>0</v>
      </c>
      <c r="E88" s="7" t="n">
        <v>0</v>
      </c>
      <c r="F88" s="7" t="n">
        <v>0</v>
      </c>
      <c r="G88" s="7" t="n">
        <v>0</v>
      </c>
      <c r="H88" s="7" t="n">
        <v>0</v>
      </c>
      <c r="I88" s="7" t="n">
        <v>0</v>
      </c>
      <c r="J88" s="7" t="n">
        <v>0</v>
      </c>
      <c r="K88" s="7" t="n">
        <v>0</v>
      </c>
      <c r="L88" s="7" t="n">
        <v>0</v>
      </c>
      <c r="M88" s="7" t="n">
        <v>0</v>
      </c>
      <c r="N88" s="7" t="n">
        <v>4</v>
      </c>
      <c r="O88" s="7" t="n">
        <v>8</v>
      </c>
      <c r="P88" s="7" t="n">
        <v>11</v>
      </c>
      <c r="Q88" s="7" t="n">
        <v>12</v>
      </c>
      <c r="R88" s="7" t="n">
        <v>12</v>
      </c>
      <c r="S88" s="7" t="n">
        <v>12</v>
      </c>
    </row>
    <row r="89" customFormat="false" ht="15" hidden="false" customHeight="false" outlineLevel="0" collapsed="false">
      <c r="A89" s="5" t="s">
        <v>21</v>
      </c>
      <c r="B89" s="6" t="s">
        <v>9</v>
      </c>
      <c r="C89" s="7" t="n">
        <v>0</v>
      </c>
      <c r="D89" s="7" t="n">
        <v>0</v>
      </c>
      <c r="E89" s="7" t="n">
        <v>0</v>
      </c>
      <c r="F89" s="7" t="n">
        <v>0</v>
      </c>
      <c r="G89" s="7" t="n">
        <v>0</v>
      </c>
      <c r="H89" s="7" t="n">
        <v>0</v>
      </c>
      <c r="I89" s="7" t="n">
        <v>0</v>
      </c>
      <c r="J89" s="7" t="n">
        <v>0</v>
      </c>
      <c r="K89" s="7" t="n">
        <v>0</v>
      </c>
      <c r="L89" s="7" t="n">
        <v>0</v>
      </c>
      <c r="M89" s="7" t="n">
        <v>0</v>
      </c>
      <c r="N89" s="7" t="n">
        <v>0</v>
      </c>
      <c r="O89" s="7" t="n">
        <v>0</v>
      </c>
      <c r="P89" s="7" t="n">
        <v>0</v>
      </c>
      <c r="Q89" s="7" t="n">
        <v>0</v>
      </c>
      <c r="R89" s="7" t="n">
        <v>0</v>
      </c>
      <c r="S89" s="7" t="n">
        <v>0</v>
      </c>
    </row>
    <row r="90" customFormat="false" ht="15" hidden="false" customHeight="false" outlineLevel="0" collapsed="false">
      <c r="A90" s="5" t="s">
        <v>21</v>
      </c>
      <c r="B90" s="6" t="s">
        <v>10</v>
      </c>
      <c r="C90" s="7" t="n">
        <v>0</v>
      </c>
      <c r="D90" s="7" t="n">
        <v>0</v>
      </c>
      <c r="E90" s="7" t="n">
        <v>0</v>
      </c>
      <c r="F90" s="7" t="n">
        <v>0</v>
      </c>
      <c r="G90" s="7" t="n">
        <v>0</v>
      </c>
      <c r="H90" s="7" t="n">
        <v>0</v>
      </c>
      <c r="I90" s="7" t="n">
        <v>0</v>
      </c>
      <c r="J90" s="7" t="n">
        <v>0</v>
      </c>
      <c r="K90" s="7" t="n">
        <v>0</v>
      </c>
      <c r="L90" s="7" t="n">
        <v>0</v>
      </c>
      <c r="M90" s="7" t="n">
        <v>0</v>
      </c>
      <c r="N90" s="7" t="n">
        <v>0</v>
      </c>
      <c r="O90" s="7" t="n">
        <v>0</v>
      </c>
      <c r="P90" s="7" t="n">
        <v>0</v>
      </c>
      <c r="Q90" s="7" t="n">
        <v>0</v>
      </c>
      <c r="R90" s="7" t="n">
        <v>5</v>
      </c>
      <c r="S90" s="7" t="n">
        <v>18</v>
      </c>
    </row>
    <row r="91" customFormat="false" ht="15" hidden="false" customHeight="false" outlineLevel="0" collapsed="false">
      <c r="A91" s="5" t="s">
        <v>21</v>
      </c>
      <c r="B91" s="6" t="s">
        <v>11</v>
      </c>
      <c r="C91" s="7" t="n">
        <v>0</v>
      </c>
      <c r="D91" s="7" t="n">
        <v>0</v>
      </c>
      <c r="E91" s="7" t="n">
        <v>0</v>
      </c>
      <c r="F91" s="7" t="n">
        <v>0</v>
      </c>
      <c r="G91" s="7" t="n">
        <v>0</v>
      </c>
      <c r="H91" s="7" t="n">
        <v>0</v>
      </c>
      <c r="I91" s="7" t="n">
        <v>0</v>
      </c>
      <c r="J91" s="7" t="n">
        <v>0</v>
      </c>
      <c r="K91" s="7" t="n">
        <v>0</v>
      </c>
      <c r="L91" s="7" t="n">
        <v>0</v>
      </c>
      <c r="M91" s="7" t="n">
        <v>0</v>
      </c>
      <c r="N91" s="7" t="n">
        <v>0</v>
      </c>
      <c r="O91" s="7" t="n">
        <v>0</v>
      </c>
      <c r="P91" s="7" t="n">
        <v>0</v>
      </c>
      <c r="Q91" s="7" t="n">
        <v>0</v>
      </c>
      <c r="R91" s="7" t="n">
        <v>0</v>
      </c>
      <c r="S91" s="7" t="n">
        <v>0</v>
      </c>
    </row>
    <row r="93" customFormat="false" ht="15" hidden="false" customHeight="false" outlineLevel="0" collapsed="false">
      <c r="A93" s="5" t="s">
        <v>22</v>
      </c>
      <c r="B93" s="6" t="s">
        <v>5</v>
      </c>
      <c r="C93" s="7" t="n">
        <v>0</v>
      </c>
      <c r="D93" s="7" t="n">
        <v>0</v>
      </c>
      <c r="E93" s="7" t="n">
        <v>0</v>
      </c>
      <c r="F93" s="7" t="n">
        <v>0</v>
      </c>
      <c r="G93" s="7" t="n">
        <v>0</v>
      </c>
      <c r="H93" s="7" t="n">
        <v>0</v>
      </c>
      <c r="I93" s="7" t="n">
        <v>0</v>
      </c>
      <c r="J93" s="7" t="n">
        <v>0</v>
      </c>
      <c r="K93" s="7" t="n">
        <v>0</v>
      </c>
      <c r="L93" s="7" t="n">
        <v>0</v>
      </c>
      <c r="M93" s="7" t="n">
        <v>0</v>
      </c>
      <c r="N93" s="7" t="n">
        <v>0</v>
      </c>
      <c r="O93" s="7" t="n">
        <v>0</v>
      </c>
      <c r="P93" s="7" t="n">
        <v>0</v>
      </c>
      <c r="Q93" s="7" t="n">
        <v>0</v>
      </c>
      <c r="R93" s="7" t="n">
        <v>0</v>
      </c>
      <c r="S93" s="7" t="n">
        <v>0</v>
      </c>
    </row>
    <row r="94" customFormat="false" ht="15" hidden="false" customHeight="false" outlineLevel="0" collapsed="false">
      <c r="A94" s="5" t="s">
        <v>22</v>
      </c>
      <c r="B94" s="6" t="s">
        <v>6</v>
      </c>
      <c r="C94" s="7" t="n">
        <v>0</v>
      </c>
      <c r="D94" s="7" t="n">
        <v>0</v>
      </c>
      <c r="E94" s="7" t="n">
        <v>0</v>
      </c>
      <c r="F94" s="7" t="n">
        <v>0</v>
      </c>
      <c r="G94" s="7" t="n">
        <v>0</v>
      </c>
      <c r="H94" s="7" t="n">
        <v>0</v>
      </c>
      <c r="I94" s="7" t="n">
        <v>0</v>
      </c>
      <c r="J94" s="7" t="n">
        <v>0</v>
      </c>
      <c r="K94" s="7" t="n">
        <v>0</v>
      </c>
      <c r="L94" s="7" t="n">
        <v>0</v>
      </c>
      <c r="M94" s="7" t="n">
        <v>0</v>
      </c>
      <c r="N94" s="7" t="n">
        <v>0</v>
      </c>
      <c r="O94" s="7" t="n">
        <v>0</v>
      </c>
      <c r="P94" s="7" t="n">
        <v>0</v>
      </c>
      <c r="Q94" s="7" t="n">
        <v>0</v>
      </c>
      <c r="R94" s="7" t="n">
        <v>0</v>
      </c>
      <c r="S94" s="7" t="n">
        <v>0</v>
      </c>
    </row>
    <row r="95" customFormat="false" ht="15" hidden="false" customHeight="false" outlineLevel="0" collapsed="false">
      <c r="A95" s="5" t="s">
        <v>22</v>
      </c>
      <c r="B95" s="6" t="s">
        <v>7</v>
      </c>
      <c r="C95" s="7" t="n">
        <v>0</v>
      </c>
      <c r="D95" s="7" t="n">
        <v>0</v>
      </c>
      <c r="E95" s="7" t="n">
        <v>0</v>
      </c>
      <c r="F95" s="7" t="n">
        <v>0</v>
      </c>
      <c r="G95" s="7" t="n">
        <v>0</v>
      </c>
      <c r="H95" s="7" t="n">
        <v>0</v>
      </c>
      <c r="I95" s="7" t="n">
        <v>0</v>
      </c>
      <c r="J95" s="7" t="n">
        <v>0</v>
      </c>
      <c r="K95" s="7" t="n">
        <v>0</v>
      </c>
      <c r="L95" s="7" t="n">
        <v>0</v>
      </c>
      <c r="M95" s="7" t="n">
        <v>0</v>
      </c>
      <c r="N95" s="7" t="n">
        <v>0</v>
      </c>
      <c r="O95" s="7" t="n">
        <v>0</v>
      </c>
      <c r="P95" s="7" t="n">
        <v>0</v>
      </c>
      <c r="Q95" s="7" t="n">
        <v>0</v>
      </c>
      <c r="R95" s="7" t="n">
        <v>0</v>
      </c>
      <c r="S95" s="7" t="n">
        <v>0</v>
      </c>
    </row>
    <row r="96" customFormat="false" ht="15" hidden="false" customHeight="false" outlineLevel="0" collapsed="false">
      <c r="A96" s="5" t="s">
        <v>22</v>
      </c>
      <c r="B96" s="6" t="s">
        <v>8</v>
      </c>
      <c r="C96" s="7" t="n">
        <v>0</v>
      </c>
      <c r="D96" s="7" t="n">
        <v>0</v>
      </c>
      <c r="E96" s="7" t="n">
        <v>0</v>
      </c>
      <c r="F96" s="7" t="n">
        <v>0</v>
      </c>
      <c r="G96" s="7" t="n">
        <v>0</v>
      </c>
      <c r="H96" s="7" t="n">
        <v>0</v>
      </c>
      <c r="I96" s="7" t="n">
        <v>0</v>
      </c>
      <c r="J96" s="7" t="n">
        <v>0</v>
      </c>
      <c r="K96" s="7" t="n">
        <v>0</v>
      </c>
      <c r="L96" s="7" t="n">
        <v>0</v>
      </c>
      <c r="M96" s="7" t="n">
        <v>0</v>
      </c>
      <c r="N96" s="7" t="n">
        <v>0</v>
      </c>
      <c r="O96" s="7" t="n">
        <v>0</v>
      </c>
      <c r="P96" s="7" t="n">
        <v>0</v>
      </c>
      <c r="Q96" s="7" t="n">
        <v>0</v>
      </c>
      <c r="R96" s="7" t="n">
        <v>0</v>
      </c>
      <c r="S96" s="7" t="n">
        <v>0</v>
      </c>
    </row>
    <row r="97" customFormat="false" ht="15" hidden="false" customHeight="false" outlineLevel="0" collapsed="false">
      <c r="A97" s="5" t="s">
        <v>22</v>
      </c>
      <c r="B97" s="6" t="s">
        <v>9</v>
      </c>
      <c r="C97" s="7" t="n">
        <v>0</v>
      </c>
      <c r="D97" s="7" t="n">
        <v>0</v>
      </c>
      <c r="E97" s="7" t="n">
        <v>0</v>
      </c>
      <c r="F97" s="7" t="n">
        <v>0</v>
      </c>
      <c r="G97" s="7" t="n">
        <v>0</v>
      </c>
      <c r="H97" s="7" t="n">
        <v>0</v>
      </c>
      <c r="I97" s="7" t="n">
        <v>0</v>
      </c>
      <c r="J97" s="7" t="n">
        <v>0</v>
      </c>
      <c r="K97" s="7" t="n">
        <v>0</v>
      </c>
      <c r="L97" s="7" t="n">
        <v>0</v>
      </c>
      <c r="M97" s="7" t="n">
        <v>0</v>
      </c>
      <c r="N97" s="7" t="n">
        <v>0</v>
      </c>
      <c r="O97" s="7" t="n">
        <v>0</v>
      </c>
      <c r="P97" s="7" t="n">
        <v>0</v>
      </c>
      <c r="Q97" s="7" t="n">
        <v>0</v>
      </c>
      <c r="R97" s="7" t="n">
        <v>0</v>
      </c>
      <c r="S97" s="7" t="n">
        <v>0</v>
      </c>
    </row>
    <row r="98" customFormat="false" ht="15" hidden="false" customHeight="false" outlineLevel="0" collapsed="false">
      <c r="A98" s="5" t="s">
        <v>22</v>
      </c>
      <c r="B98" s="6" t="s">
        <v>10</v>
      </c>
      <c r="C98" s="7" t="n">
        <v>0</v>
      </c>
      <c r="D98" s="7" t="n">
        <v>0</v>
      </c>
      <c r="E98" s="7" t="n">
        <v>0</v>
      </c>
      <c r="F98" s="7" t="n">
        <v>0</v>
      </c>
      <c r="G98" s="7" t="n">
        <v>0</v>
      </c>
      <c r="H98" s="7" t="n">
        <v>0</v>
      </c>
      <c r="I98" s="7" t="n">
        <v>0</v>
      </c>
      <c r="J98" s="7" t="n">
        <v>0</v>
      </c>
      <c r="K98" s="7" t="n">
        <v>0</v>
      </c>
      <c r="L98" s="7" t="n">
        <v>0</v>
      </c>
      <c r="M98" s="7" t="n">
        <v>0</v>
      </c>
      <c r="N98" s="7" t="n">
        <v>0</v>
      </c>
      <c r="O98" s="7" t="n">
        <v>0</v>
      </c>
      <c r="P98" s="7" t="n">
        <v>0</v>
      </c>
      <c r="Q98" s="7" t="n">
        <v>0</v>
      </c>
      <c r="R98" s="7" t="n">
        <v>0</v>
      </c>
      <c r="S98" s="7" t="n">
        <v>0</v>
      </c>
    </row>
    <row r="99" customFormat="false" ht="15" hidden="false" customHeight="false" outlineLevel="0" collapsed="false">
      <c r="A99" s="5" t="s">
        <v>22</v>
      </c>
      <c r="B99" s="6" t="s">
        <v>11</v>
      </c>
      <c r="C99" s="7" t="n">
        <v>0</v>
      </c>
      <c r="D99" s="7" t="n">
        <v>0</v>
      </c>
      <c r="E99" s="7" t="n">
        <v>0</v>
      </c>
      <c r="F99" s="7" t="n">
        <v>0</v>
      </c>
      <c r="G99" s="7" t="n">
        <v>0</v>
      </c>
      <c r="H99" s="7" t="n">
        <v>0</v>
      </c>
      <c r="I99" s="7" t="n">
        <v>0</v>
      </c>
      <c r="J99" s="7" t="n">
        <v>0</v>
      </c>
      <c r="K99" s="7" t="n">
        <v>0</v>
      </c>
      <c r="L99" s="7" t="n">
        <v>0</v>
      </c>
      <c r="M99" s="7" t="n">
        <v>0</v>
      </c>
      <c r="N99" s="7" t="n">
        <v>0</v>
      </c>
      <c r="O99" s="7" t="n">
        <v>0</v>
      </c>
      <c r="P99" s="7" t="n">
        <v>0</v>
      </c>
      <c r="Q99" s="7" t="n">
        <v>0</v>
      </c>
      <c r="R99" s="7" t="n">
        <v>0</v>
      </c>
      <c r="S99" s="7" t="n">
        <v>0</v>
      </c>
    </row>
    <row r="101" customFormat="false" ht="15" hidden="false" customHeight="false" outlineLevel="0" collapsed="false">
      <c r="A101" s="5" t="s">
        <v>23</v>
      </c>
      <c r="B101" s="6" t="s">
        <v>5</v>
      </c>
      <c r="C101" s="7" t="n">
        <v>0</v>
      </c>
      <c r="D101" s="7" t="n">
        <v>0</v>
      </c>
      <c r="E101" s="7" t="n">
        <v>0</v>
      </c>
      <c r="F101" s="7" t="n">
        <v>0</v>
      </c>
      <c r="G101" s="7" t="n">
        <v>0</v>
      </c>
      <c r="H101" s="7" t="n">
        <v>0</v>
      </c>
      <c r="I101" s="7" t="n">
        <v>0</v>
      </c>
      <c r="J101" s="7" t="n">
        <v>0</v>
      </c>
      <c r="K101" s="7" t="n">
        <v>0</v>
      </c>
      <c r="L101" s="7" t="n">
        <v>0</v>
      </c>
      <c r="M101" s="7" t="n">
        <v>0</v>
      </c>
      <c r="N101" s="7" t="n">
        <v>0</v>
      </c>
      <c r="O101" s="7" t="n">
        <v>0</v>
      </c>
      <c r="P101" s="7" t="n">
        <v>0</v>
      </c>
      <c r="Q101" s="7" t="n">
        <v>0</v>
      </c>
      <c r="R101" s="7" t="n">
        <v>0</v>
      </c>
      <c r="S101" s="7" t="n">
        <v>0</v>
      </c>
    </row>
    <row r="102" customFormat="false" ht="15" hidden="false" customHeight="false" outlineLevel="0" collapsed="false">
      <c r="A102" s="5" t="s">
        <v>23</v>
      </c>
      <c r="B102" s="6" t="s">
        <v>6</v>
      </c>
      <c r="C102" s="7" t="n">
        <v>0</v>
      </c>
      <c r="D102" s="7" t="n">
        <v>0</v>
      </c>
      <c r="E102" s="7" t="n">
        <v>0</v>
      </c>
      <c r="F102" s="7" t="n">
        <v>0</v>
      </c>
      <c r="G102" s="7" t="n">
        <v>0</v>
      </c>
      <c r="H102" s="7" t="n">
        <v>0</v>
      </c>
      <c r="I102" s="7" t="n">
        <v>0</v>
      </c>
      <c r="J102" s="7" t="n">
        <v>0</v>
      </c>
      <c r="K102" s="7" t="n">
        <v>0</v>
      </c>
      <c r="L102" s="7" t="n">
        <v>0</v>
      </c>
      <c r="M102" s="7" t="n">
        <v>0</v>
      </c>
      <c r="N102" s="7" t="n">
        <v>0</v>
      </c>
      <c r="O102" s="7" t="n">
        <v>0</v>
      </c>
      <c r="P102" s="7" t="n">
        <v>0</v>
      </c>
      <c r="Q102" s="7" t="n">
        <v>0</v>
      </c>
      <c r="R102" s="7" t="n">
        <v>0</v>
      </c>
      <c r="S102" s="7" t="n">
        <v>0</v>
      </c>
    </row>
    <row r="103" customFormat="false" ht="15" hidden="false" customHeight="false" outlineLevel="0" collapsed="false">
      <c r="A103" s="5" t="s">
        <v>23</v>
      </c>
      <c r="B103" s="6" t="s">
        <v>7</v>
      </c>
      <c r="C103" s="7" t="n">
        <v>0</v>
      </c>
      <c r="D103" s="7" t="n">
        <v>0</v>
      </c>
      <c r="E103" s="7" t="n">
        <v>0</v>
      </c>
      <c r="F103" s="7" t="n">
        <v>0</v>
      </c>
      <c r="G103" s="7" t="n">
        <v>0</v>
      </c>
      <c r="H103" s="7" t="n">
        <v>0</v>
      </c>
      <c r="I103" s="7" t="n">
        <v>0</v>
      </c>
      <c r="J103" s="7" t="n">
        <v>0</v>
      </c>
      <c r="K103" s="7" t="n">
        <v>0</v>
      </c>
      <c r="L103" s="7" t="n">
        <v>0</v>
      </c>
      <c r="M103" s="7" t="n">
        <v>0</v>
      </c>
      <c r="N103" s="7" t="n">
        <v>0</v>
      </c>
      <c r="O103" s="7" t="n">
        <v>2</v>
      </c>
      <c r="P103" s="7" t="n">
        <v>2</v>
      </c>
      <c r="Q103" s="7" t="n">
        <v>1</v>
      </c>
      <c r="R103" s="7" t="n">
        <v>1</v>
      </c>
      <c r="S103" s="7" t="n">
        <v>2</v>
      </c>
    </row>
    <row r="104" customFormat="false" ht="15" hidden="false" customHeight="false" outlineLevel="0" collapsed="false">
      <c r="A104" s="5" t="s">
        <v>23</v>
      </c>
      <c r="B104" s="6" t="s">
        <v>8</v>
      </c>
      <c r="C104" s="7" t="n">
        <v>0</v>
      </c>
      <c r="D104" s="7" t="n">
        <v>0</v>
      </c>
      <c r="E104" s="7" t="n">
        <v>0</v>
      </c>
      <c r="F104" s="7" t="n">
        <v>0</v>
      </c>
      <c r="G104" s="7" t="n">
        <v>0</v>
      </c>
      <c r="H104" s="7" t="n">
        <v>0</v>
      </c>
      <c r="I104" s="7" t="n">
        <v>0</v>
      </c>
      <c r="J104" s="7" t="n">
        <v>0</v>
      </c>
      <c r="K104" s="7" t="n">
        <v>0</v>
      </c>
      <c r="L104" s="7" t="n">
        <v>0</v>
      </c>
      <c r="M104" s="7" t="n">
        <v>0</v>
      </c>
      <c r="N104" s="7" t="n">
        <v>0</v>
      </c>
      <c r="O104" s="7" t="n">
        <v>0</v>
      </c>
      <c r="P104" s="7" t="n">
        <v>0</v>
      </c>
      <c r="Q104" s="7" t="n">
        <v>0</v>
      </c>
      <c r="R104" s="7" t="n">
        <v>0</v>
      </c>
      <c r="S104" s="7" t="n">
        <v>5</v>
      </c>
    </row>
    <row r="105" customFormat="false" ht="15" hidden="false" customHeight="false" outlineLevel="0" collapsed="false">
      <c r="A105" s="5" t="s">
        <v>23</v>
      </c>
      <c r="B105" s="6" t="s">
        <v>9</v>
      </c>
      <c r="C105" s="7" t="n">
        <v>0</v>
      </c>
      <c r="D105" s="7" t="n">
        <v>0</v>
      </c>
      <c r="E105" s="7" t="n">
        <v>0</v>
      </c>
      <c r="F105" s="7" t="n">
        <v>0</v>
      </c>
      <c r="G105" s="7" t="n">
        <v>0</v>
      </c>
      <c r="H105" s="7" t="n">
        <v>0</v>
      </c>
      <c r="I105" s="7" t="n">
        <v>0</v>
      </c>
      <c r="J105" s="7" t="n">
        <v>0</v>
      </c>
      <c r="K105" s="7" t="n">
        <v>0</v>
      </c>
      <c r="L105" s="7" t="n">
        <v>0</v>
      </c>
      <c r="M105" s="7" t="n">
        <v>0</v>
      </c>
      <c r="N105" s="7" t="n">
        <v>0</v>
      </c>
      <c r="O105" s="7" t="n">
        <v>0</v>
      </c>
      <c r="P105" s="7" t="n">
        <v>0</v>
      </c>
      <c r="Q105" s="7" t="n">
        <v>0</v>
      </c>
      <c r="R105" s="7" t="n">
        <v>0</v>
      </c>
      <c r="S105" s="7" t="n">
        <v>0</v>
      </c>
    </row>
    <row r="106" customFormat="false" ht="15" hidden="false" customHeight="false" outlineLevel="0" collapsed="false">
      <c r="A106" s="5" t="s">
        <v>23</v>
      </c>
      <c r="B106" s="6" t="s">
        <v>10</v>
      </c>
      <c r="C106" s="7" t="n">
        <v>0</v>
      </c>
      <c r="D106" s="7" t="n">
        <v>0</v>
      </c>
      <c r="E106" s="7" t="n">
        <v>0</v>
      </c>
      <c r="F106" s="7" t="n">
        <v>0</v>
      </c>
      <c r="G106" s="7" t="n">
        <v>0</v>
      </c>
      <c r="H106" s="7" t="n">
        <v>0</v>
      </c>
      <c r="I106" s="7" t="n">
        <v>0</v>
      </c>
      <c r="J106" s="7" t="n">
        <v>0</v>
      </c>
      <c r="K106" s="7" t="n">
        <v>0</v>
      </c>
      <c r="L106" s="7" t="n">
        <v>0</v>
      </c>
      <c r="M106" s="7" t="n">
        <v>0</v>
      </c>
      <c r="N106" s="7" t="n">
        <v>0</v>
      </c>
      <c r="O106" s="7" t="n">
        <v>0</v>
      </c>
      <c r="P106" s="7" t="n">
        <v>0</v>
      </c>
      <c r="Q106" s="7" t="n">
        <v>0</v>
      </c>
      <c r="R106" s="7" t="n">
        <v>0</v>
      </c>
      <c r="S106" s="7" t="n">
        <v>0</v>
      </c>
    </row>
    <row r="107" customFormat="false" ht="15" hidden="false" customHeight="false" outlineLevel="0" collapsed="false">
      <c r="A107" s="5" t="s">
        <v>23</v>
      </c>
      <c r="B107" s="6" t="s">
        <v>11</v>
      </c>
      <c r="C107" s="7" t="n">
        <v>0</v>
      </c>
      <c r="D107" s="7" t="n">
        <v>0</v>
      </c>
      <c r="E107" s="7" t="n">
        <v>0</v>
      </c>
      <c r="F107" s="7" t="n">
        <v>0</v>
      </c>
      <c r="G107" s="7" t="n">
        <v>0</v>
      </c>
      <c r="H107" s="7" t="n">
        <v>0</v>
      </c>
      <c r="I107" s="7" t="n">
        <v>0</v>
      </c>
      <c r="J107" s="7" t="n">
        <v>0</v>
      </c>
      <c r="K107" s="7" t="n">
        <v>0</v>
      </c>
      <c r="L107" s="7" t="n">
        <v>0</v>
      </c>
      <c r="M107" s="7" t="n">
        <v>0</v>
      </c>
      <c r="N107" s="7" t="n">
        <v>0</v>
      </c>
      <c r="O107" s="7" t="n">
        <v>0</v>
      </c>
      <c r="P107" s="7" t="n">
        <v>0</v>
      </c>
      <c r="Q107" s="7" t="n">
        <v>0</v>
      </c>
      <c r="R107" s="7" t="n">
        <v>0</v>
      </c>
      <c r="S107" s="7" t="n">
        <v>0</v>
      </c>
    </row>
    <row r="109" customFormat="false" ht="15" hidden="false" customHeight="false" outlineLevel="0" collapsed="false">
      <c r="A109" s="5" t="s">
        <v>24</v>
      </c>
      <c r="B109" s="6" t="s">
        <v>5</v>
      </c>
      <c r="C109" s="7" t="n">
        <v>0</v>
      </c>
      <c r="D109" s="7" t="n">
        <v>1</v>
      </c>
      <c r="E109" s="7" t="n">
        <v>1</v>
      </c>
      <c r="F109" s="7" t="n">
        <v>2</v>
      </c>
      <c r="G109" s="7" t="n">
        <v>0</v>
      </c>
      <c r="H109" s="7" t="n">
        <v>0</v>
      </c>
      <c r="I109" s="7" t="n">
        <v>0</v>
      </c>
      <c r="J109" s="7" t="n">
        <v>0</v>
      </c>
      <c r="K109" s="7" t="n">
        <v>0</v>
      </c>
      <c r="L109" s="7" t="n">
        <v>0</v>
      </c>
      <c r="M109" s="7" t="n">
        <v>0</v>
      </c>
      <c r="N109" s="7" t="n">
        <v>0</v>
      </c>
      <c r="O109" s="7" t="n">
        <v>0</v>
      </c>
      <c r="P109" s="7" t="n">
        <v>0</v>
      </c>
      <c r="Q109" s="7" t="n">
        <v>0</v>
      </c>
      <c r="R109" s="7" t="n">
        <v>0</v>
      </c>
      <c r="S109" s="7" t="n">
        <v>0</v>
      </c>
    </row>
    <row r="110" customFormat="false" ht="15" hidden="false" customHeight="false" outlineLevel="0" collapsed="false">
      <c r="A110" s="5" t="s">
        <v>24</v>
      </c>
      <c r="B110" s="6" t="s">
        <v>6</v>
      </c>
      <c r="C110" s="7" t="n">
        <v>0</v>
      </c>
      <c r="D110" s="7" t="n">
        <v>0</v>
      </c>
      <c r="E110" s="7" t="n">
        <v>0</v>
      </c>
      <c r="F110" s="7" t="n">
        <v>0</v>
      </c>
      <c r="G110" s="7" t="n">
        <v>2</v>
      </c>
      <c r="H110" s="7" t="n">
        <v>6</v>
      </c>
      <c r="I110" s="7" t="n">
        <v>6</v>
      </c>
      <c r="J110" s="7" t="n">
        <v>6</v>
      </c>
      <c r="K110" s="7" t="n">
        <v>6</v>
      </c>
      <c r="L110" s="7" t="n">
        <v>6</v>
      </c>
      <c r="M110" s="7" t="n">
        <v>4</v>
      </c>
      <c r="N110" s="7" t="n">
        <v>0</v>
      </c>
      <c r="O110" s="7" t="n">
        <v>0</v>
      </c>
      <c r="P110" s="7" t="n">
        <v>0</v>
      </c>
      <c r="Q110" s="7" t="n">
        <v>0</v>
      </c>
      <c r="R110" s="7" t="n">
        <v>0</v>
      </c>
      <c r="S110" s="7" t="n">
        <v>0</v>
      </c>
    </row>
    <row r="111" customFormat="false" ht="15" hidden="false" customHeight="false" outlineLevel="0" collapsed="false">
      <c r="A111" s="5" t="s">
        <v>24</v>
      </c>
      <c r="B111" s="6" t="s">
        <v>7</v>
      </c>
      <c r="C111" s="7" t="n">
        <v>0</v>
      </c>
      <c r="D111" s="7" t="n">
        <v>0</v>
      </c>
      <c r="E111" s="7" t="n">
        <v>0</v>
      </c>
      <c r="F111" s="7" t="n">
        <v>0</v>
      </c>
      <c r="G111" s="7" t="n">
        <v>0</v>
      </c>
      <c r="H111" s="7" t="n">
        <v>0</v>
      </c>
      <c r="I111" s="7" t="n">
        <v>0</v>
      </c>
      <c r="J111" s="7" t="n">
        <v>0</v>
      </c>
      <c r="K111" s="7" t="n">
        <v>0</v>
      </c>
      <c r="L111" s="7" t="n">
        <v>0</v>
      </c>
      <c r="M111" s="7" t="n">
        <v>2</v>
      </c>
      <c r="N111" s="7" t="n">
        <v>5</v>
      </c>
      <c r="O111" s="7" t="n">
        <v>8</v>
      </c>
      <c r="P111" s="7" t="n">
        <v>6</v>
      </c>
      <c r="Q111" s="7" t="n">
        <v>5</v>
      </c>
      <c r="R111" s="7" t="n">
        <v>4</v>
      </c>
      <c r="S111" s="7" t="n">
        <v>6</v>
      </c>
    </row>
    <row r="112" customFormat="false" ht="15" hidden="false" customHeight="false" outlineLevel="0" collapsed="false">
      <c r="A112" s="5" t="s">
        <v>24</v>
      </c>
      <c r="B112" s="6" t="s">
        <v>8</v>
      </c>
      <c r="C112" s="7" t="n">
        <v>0</v>
      </c>
      <c r="D112" s="7" t="n">
        <v>0</v>
      </c>
      <c r="E112" s="7" t="n">
        <v>0</v>
      </c>
      <c r="F112" s="7" t="n">
        <v>0</v>
      </c>
      <c r="G112" s="7" t="n">
        <v>0</v>
      </c>
      <c r="H112" s="7" t="n">
        <v>0</v>
      </c>
      <c r="I112" s="7" t="n">
        <v>0</v>
      </c>
      <c r="J112" s="7" t="n">
        <v>0</v>
      </c>
      <c r="K112" s="7" t="n">
        <v>0</v>
      </c>
      <c r="L112" s="7" t="n">
        <v>0</v>
      </c>
      <c r="M112" s="7" t="n">
        <v>0</v>
      </c>
      <c r="N112" s="7" t="n">
        <v>0</v>
      </c>
      <c r="O112" s="7" t="n">
        <v>0</v>
      </c>
      <c r="P112" s="7" t="n">
        <v>0</v>
      </c>
      <c r="Q112" s="7" t="n">
        <v>0</v>
      </c>
      <c r="R112" s="7" t="n">
        <v>0</v>
      </c>
      <c r="S112" s="7" t="n">
        <v>0</v>
      </c>
    </row>
    <row r="113" customFormat="false" ht="15" hidden="false" customHeight="false" outlineLevel="0" collapsed="false">
      <c r="A113" s="5" t="s">
        <v>24</v>
      </c>
      <c r="B113" s="6" t="s">
        <v>9</v>
      </c>
      <c r="C113" s="7" t="n">
        <v>0</v>
      </c>
      <c r="D113" s="7" t="n">
        <v>0</v>
      </c>
      <c r="E113" s="7" t="n">
        <v>0</v>
      </c>
      <c r="F113" s="7" t="n">
        <v>0</v>
      </c>
      <c r="G113" s="7" t="n">
        <v>0</v>
      </c>
      <c r="H113" s="7" t="n">
        <v>0</v>
      </c>
      <c r="I113" s="7" t="n">
        <v>0</v>
      </c>
      <c r="J113" s="7" t="n">
        <v>0</v>
      </c>
      <c r="K113" s="7" t="n">
        <v>0</v>
      </c>
      <c r="L113" s="7" t="n">
        <v>0</v>
      </c>
      <c r="M113" s="7" t="n">
        <v>0</v>
      </c>
      <c r="N113" s="7" t="n">
        <v>0</v>
      </c>
      <c r="O113" s="7" t="n">
        <v>0</v>
      </c>
      <c r="P113" s="7" t="n">
        <v>5</v>
      </c>
      <c r="Q113" s="7" t="n">
        <v>5</v>
      </c>
      <c r="R113" s="7" t="n">
        <v>5</v>
      </c>
      <c r="S113" s="7" t="n">
        <v>5</v>
      </c>
    </row>
    <row r="114" customFormat="false" ht="15" hidden="false" customHeight="false" outlineLevel="0" collapsed="false">
      <c r="A114" s="5" t="s">
        <v>24</v>
      </c>
      <c r="B114" s="6" t="s">
        <v>10</v>
      </c>
      <c r="C114" s="7" t="n">
        <v>0</v>
      </c>
      <c r="D114" s="7" t="n">
        <v>0</v>
      </c>
      <c r="E114" s="7" t="n">
        <v>0</v>
      </c>
      <c r="F114" s="7" t="n">
        <v>0</v>
      </c>
      <c r="G114" s="7" t="n">
        <v>0</v>
      </c>
      <c r="H114" s="7" t="n">
        <v>0</v>
      </c>
      <c r="I114" s="7" t="n">
        <v>0</v>
      </c>
      <c r="J114" s="7" t="n">
        <v>0</v>
      </c>
      <c r="K114" s="7" t="n">
        <v>0</v>
      </c>
      <c r="L114" s="7" t="n">
        <v>0</v>
      </c>
      <c r="M114" s="7" t="n">
        <v>0</v>
      </c>
      <c r="N114" s="7" t="n">
        <v>0</v>
      </c>
      <c r="O114" s="7" t="n">
        <v>0</v>
      </c>
      <c r="P114" s="7" t="n">
        <v>0</v>
      </c>
      <c r="Q114" s="7" t="n">
        <v>0</v>
      </c>
      <c r="R114" s="7" t="n">
        <v>6</v>
      </c>
      <c r="S114" s="7" t="n">
        <v>10</v>
      </c>
    </row>
    <row r="115" customFormat="false" ht="15" hidden="false" customHeight="false" outlineLevel="0" collapsed="false">
      <c r="A115" s="5" t="s">
        <v>24</v>
      </c>
      <c r="B115" s="6" t="s">
        <v>11</v>
      </c>
      <c r="C115" s="7" t="n">
        <v>0</v>
      </c>
      <c r="D115" s="7" t="n">
        <v>0</v>
      </c>
      <c r="E115" s="7" t="n">
        <v>0</v>
      </c>
      <c r="F115" s="7" t="n">
        <v>0</v>
      </c>
      <c r="G115" s="7" t="n">
        <v>0</v>
      </c>
      <c r="H115" s="7" t="n">
        <v>0</v>
      </c>
      <c r="I115" s="7" t="n">
        <v>0</v>
      </c>
      <c r="J115" s="7" t="n">
        <v>0</v>
      </c>
      <c r="K115" s="7" t="n">
        <v>0</v>
      </c>
      <c r="L115" s="7" t="n">
        <v>0</v>
      </c>
      <c r="M115" s="7" t="n">
        <v>0</v>
      </c>
      <c r="N115" s="7" t="n">
        <v>0</v>
      </c>
      <c r="O115" s="7" t="n">
        <v>0</v>
      </c>
      <c r="P115" s="7" t="n">
        <v>0</v>
      </c>
      <c r="Q115" s="7" t="n">
        <v>0</v>
      </c>
      <c r="R115" s="7" t="n">
        <v>0</v>
      </c>
      <c r="S115" s="7" t="n">
        <v>0</v>
      </c>
    </row>
    <row r="117" customFormat="false" ht="15" hidden="false" customHeight="false" outlineLevel="0" collapsed="false">
      <c r="A117" s="5" t="s">
        <v>25</v>
      </c>
      <c r="B117" s="6" t="s">
        <v>5</v>
      </c>
      <c r="C117" s="7" t="n">
        <v>1</v>
      </c>
      <c r="D117" s="7" t="n">
        <v>2</v>
      </c>
      <c r="E117" s="7" t="n">
        <v>3</v>
      </c>
      <c r="F117" s="7" t="n">
        <v>4</v>
      </c>
      <c r="G117" s="7" t="n">
        <v>0</v>
      </c>
      <c r="H117" s="7" t="n">
        <v>0</v>
      </c>
      <c r="I117" s="7" t="n">
        <v>0</v>
      </c>
      <c r="J117" s="7" t="n">
        <v>0</v>
      </c>
      <c r="K117" s="7" t="n">
        <v>0</v>
      </c>
      <c r="L117" s="7" t="n">
        <v>0</v>
      </c>
      <c r="M117" s="7" t="n">
        <v>0</v>
      </c>
      <c r="N117" s="7" t="n">
        <v>0</v>
      </c>
      <c r="O117" s="7" t="n">
        <v>0</v>
      </c>
      <c r="P117" s="7" t="n">
        <v>0</v>
      </c>
      <c r="Q117" s="7" t="n">
        <v>0</v>
      </c>
      <c r="R117" s="7" t="n">
        <v>0</v>
      </c>
      <c r="S117" s="7" t="n">
        <v>0</v>
      </c>
    </row>
    <row r="118" customFormat="false" ht="15" hidden="false" customHeight="false" outlineLevel="0" collapsed="false">
      <c r="A118" s="5" t="s">
        <v>25</v>
      </c>
      <c r="B118" s="6" t="s">
        <v>6</v>
      </c>
      <c r="C118" s="7" t="n">
        <v>0</v>
      </c>
      <c r="D118" s="7" t="n">
        <v>0</v>
      </c>
      <c r="E118" s="7" t="n">
        <v>0</v>
      </c>
      <c r="F118" s="7" t="n">
        <v>0</v>
      </c>
      <c r="G118" s="7" t="n">
        <v>7</v>
      </c>
      <c r="H118" s="7" t="n">
        <v>18</v>
      </c>
      <c r="I118" s="7" t="n">
        <v>20</v>
      </c>
      <c r="J118" s="7" t="n">
        <v>22</v>
      </c>
      <c r="K118" s="7" t="n">
        <v>22</v>
      </c>
      <c r="L118" s="7" t="n">
        <v>18</v>
      </c>
      <c r="M118" s="7" t="n">
        <v>6</v>
      </c>
      <c r="N118" s="7" t="n">
        <v>0</v>
      </c>
      <c r="O118" s="7" t="n">
        <v>0</v>
      </c>
      <c r="P118" s="7" t="n">
        <v>0</v>
      </c>
      <c r="Q118" s="7" t="n">
        <v>0</v>
      </c>
      <c r="R118" s="7" t="n">
        <v>0</v>
      </c>
      <c r="S118" s="7" t="n">
        <v>0</v>
      </c>
    </row>
    <row r="119" customFormat="false" ht="15" hidden="false" customHeight="false" outlineLevel="0" collapsed="false">
      <c r="A119" s="5" t="s">
        <v>25</v>
      </c>
      <c r="B119" s="6" t="s">
        <v>7</v>
      </c>
      <c r="C119" s="7" t="n">
        <v>0</v>
      </c>
      <c r="D119" s="7" t="n">
        <v>0</v>
      </c>
      <c r="E119" s="7" t="n">
        <v>0</v>
      </c>
      <c r="F119" s="7" t="n">
        <v>0</v>
      </c>
      <c r="G119" s="7" t="n">
        <v>0</v>
      </c>
      <c r="H119" s="7" t="n">
        <v>0</v>
      </c>
      <c r="I119" s="7" t="n">
        <v>0</v>
      </c>
      <c r="J119" s="7" t="n">
        <v>0</v>
      </c>
      <c r="K119" s="7" t="n">
        <v>0</v>
      </c>
      <c r="L119" s="7" t="n">
        <v>4</v>
      </c>
      <c r="M119" s="7" t="n">
        <v>15</v>
      </c>
      <c r="N119" s="7" t="n">
        <v>20</v>
      </c>
      <c r="O119" s="7" t="n">
        <v>22</v>
      </c>
      <c r="P119" s="7" t="n">
        <v>15</v>
      </c>
      <c r="Q119" s="7" t="n">
        <v>12</v>
      </c>
      <c r="R119" s="7" t="n">
        <v>8</v>
      </c>
      <c r="S119" s="7" t="n">
        <v>10</v>
      </c>
    </row>
    <row r="120" customFormat="false" ht="15" hidden="false" customHeight="false" outlineLevel="0" collapsed="false">
      <c r="A120" s="5" t="s">
        <v>25</v>
      </c>
      <c r="B120" s="6" t="s">
        <v>8</v>
      </c>
      <c r="C120" s="7" t="n">
        <v>0</v>
      </c>
      <c r="D120" s="7" t="n">
        <v>0</v>
      </c>
      <c r="E120" s="7" t="n">
        <v>0</v>
      </c>
      <c r="F120" s="7" t="n">
        <v>0</v>
      </c>
      <c r="G120" s="7" t="n">
        <v>0</v>
      </c>
      <c r="H120" s="7" t="n">
        <v>0</v>
      </c>
      <c r="I120" s="7" t="n">
        <v>0</v>
      </c>
      <c r="J120" s="7" t="n">
        <v>0</v>
      </c>
      <c r="K120" s="7" t="n">
        <v>0</v>
      </c>
      <c r="L120" s="7" t="n">
        <v>0</v>
      </c>
      <c r="M120" s="7" t="n">
        <v>0</v>
      </c>
      <c r="N120" s="7" t="n">
        <v>4</v>
      </c>
      <c r="O120" s="7" t="n">
        <v>10</v>
      </c>
      <c r="P120" s="7" t="n">
        <v>14</v>
      </c>
      <c r="Q120" s="7" t="n">
        <v>15</v>
      </c>
      <c r="R120" s="7" t="n">
        <v>16</v>
      </c>
      <c r="S120" s="7" t="n">
        <v>16</v>
      </c>
    </row>
    <row r="121" customFormat="false" ht="15" hidden="false" customHeight="false" outlineLevel="0" collapsed="false">
      <c r="A121" s="5" t="s">
        <v>25</v>
      </c>
      <c r="B121" s="6" t="s">
        <v>9</v>
      </c>
      <c r="C121" s="7" t="n">
        <v>0</v>
      </c>
      <c r="D121" s="7" t="n">
        <v>0</v>
      </c>
      <c r="E121" s="7" t="n">
        <v>0</v>
      </c>
      <c r="F121" s="7" t="n">
        <v>0</v>
      </c>
      <c r="G121" s="7" t="n">
        <v>0</v>
      </c>
      <c r="H121" s="7" t="n">
        <v>0</v>
      </c>
      <c r="I121" s="7" t="n">
        <v>0</v>
      </c>
      <c r="J121" s="7" t="n">
        <v>0</v>
      </c>
      <c r="K121" s="7" t="n">
        <v>0</v>
      </c>
      <c r="L121" s="7" t="n">
        <v>0</v>
      </c>
      <c r="M121" s="7" t="n">
        <v>0</v>
      </c>
      <c r="N121" s="7" t="n">
        <v>0</v>
      </c>
      <c r="O121" s="7" t="n">
        <v>0</v>
      </c>
      <c r="P121" s="7" t="n">
        <v>0</v>
      </c>
      <c r="Q121" s="7" t="n">
        <v>0</v>
      </c>
      <c r="R121" s="7" t="n">
        <v>0</v>
      </c>
      <c r="S121" s="7" t="n">
        <v>0</v>
      </c>
    </row>
    <row r="122" customFormat="false" ht="15" hidden="false" customHeight="false" outlineLevel="0" collapsed="false">
      <c r="A122" s="5" t="s">
        <v>25</v>
      </c>
      <c r="B122" s="6" t="s">
        <v>10</v>
      </c>
      <c r="C122" s="7" t="n">
        <v>0</v>
      </c>
      <c r="D122" s="7" t="n">
        <v>0</v>
      </c>
      <c r="E122" s="7" t="n">
        <v>0</v>
      </c>
      <c r="F122" s="7" t="n">
        <v>0</v>
      </c>
      <c r="G122" s="7" t="n">
        <v>0</v>
      </c>
      <c r="H122" s="7" t="n">
        <v>0</v>
      </c>
      <c r="I122" s="7" t="n">
        <v>0</v>
      </c>
      <c r="J122" s="7" t="n">
        <v>0</v>
      </c>
      <c r="K122" s="7" t="n">
        <v>0</v>
      </c>
      <c r="L122" s="7" t="n">
        <v>0</v>
      </c>
      <c r="M122" s="7" t="n">
        <v>0</v>
      </c>
      <c r="N122" s="7" t="n">
        <v>0</v>
      </c>
      <c r="O122" s="7" t="n">
        <v>0</v>
      </c>
      <c r="P122" s="7" t="n">
        <v>0</v>
      </c>
      <c r="Q122" s="7" t="n">
        <v>0</v>
      </c>
      <c r="R122" s="7" t="n">
        <v>0</v>
      </c>
      <c r="S122" s="7" t="n">
        <v>22</v>
      </c>
    </row>
    <row r="123" customFormat="false" ht="15" hidden="false" customHeight="false" outlineLevel="0" collapsed="false">
      <c r="A123" s="5" t="s">
        <v>25</v>
      </c>
      <c r="B123" s="6" t="s">
        <v>11</v>
      </c>
      <c r="C123" s="7" t="n">
        <v>0</v>
      </c>
      <c r="D123" s="7" t="n">
        <v>0</v>
      </c>
      <c r="E123" s="7" t="n">
        <v>0</v>
      </c>
      <c r="F123" s="7" t="n">
        <v>0</v>
      </c>
      <c r="G123" s="7" t="n">
        <v>0</v>
      </c>
      <c r="H123" s="7" t="n">
        <v>0</v>
      </c>
      <c r="I123" s="7" t="n">
        <v>0</v>
      </c>
      <c r="J123" s="7" t="n">
        <v>0</v>
      </c>
      <c r="K123" s="7" t="n">
        <v>0</v>
      </c>
      <c r="L123" s="7" t="n">
        <v>0</v>
      </c>
      <c r="M123" s="7" t="n">
        <v>0</v>
      </c>
      <c r="N123" s="7" t="n">
        <v>0</v>
      </c>
      <c r="O123" s="7" t="n">
        <v>0</v>
      </c>
      <c r="P123" s="7" t="n">
        <v>0</v>
      </c>
      <c r="Q123" s="7" t="n">
        <v>0</v>
      </c>
      <c r="R123" s="7" t="n">
        <v>0</v>
      </c>
      <c r="S123" s="7" t="n">
        <v>0</v>
      </c>
    </row>
    <row r="125" customFormat="false" ht="15" hidden="false" customHeight="false" outlineLevel="0" collapsed="false">
      <c r="A125" s="5" t="s">
        <v>26</v>
      </c>
      <c r="B125" s="6" t="s">
        <v>5</v>
      </c>
      <c r="C125" s="7" t="n">
        <v>0</v>
      </c>
      <c r="D125" s="7" t="n">
        <v>0</v>
      </c>
      <c r="E125" s="7" t="n">
        <v>0</v>
      </c>
      <c r="F125" s="7" t="n">
        <v>0</v>
      </c>
      <c r="G125" s="7" t="n">
        <v>0</v>
      </c>
      <c r="H125" s="7" t="n">
        <v>0</v>
      </c>
      <c r="I125" s="7" t="n">
        <v>0</v>
      </c>
      <c r="J125" s="7" t="n">
        <v>0</v>
      </c>
      <c r="K125" s="7" t="n">
        <v>0</v>
      </c>
      <c r="L125" s="7" t="n">
        <v>0</v>
      </c>
      <c r="M125" s="7" t="n">
        <v>0</v>
      </c>
      <c r="N125" s="7" t="n">
        <v>0</v>
      </c>
      <c r="O125" s="7" t="n">
        <v>0</v>
      </c>
      <c r="P125" s="7" t="n">
        <v>0</v>
      </c>
      <c r="Q125" s="7" t="n">
        <v>0</v>
      </c>
      <c r="R125" s="7" t="n">
        <v>0</v>
      </c>
      <c r="S125" s="7" t="n">
        <v>0</v>
      </c>
    </row>
    <row r="126" customFormat="false" ht="15" hidden="false" customHeight="false" outlineLevel="0" collapsed="false">
      <c r="A126" s="5" t="s">
        <v>26</v>
      </c>
      <c r="B126" s="6" t="s">
        <v>6</v>
      </c>
      <c r="C126" s="7" t="n">
        <v>0</v>
      </c>
      <c r="D126" s="7" t="n">
        <v>0</v>
      </c>
      <c r="E126" s="7" t="n">
        <v>0</v>
      </c>
      <c r="F126" s="7" t="n">
        <v>0</v>
      </c>
      <c r="G126" s="7" t="n">
        <v>0</v>
      </c>
      <c r="H126" s="7" t="n">
        <v>6</v>
      </c>
      <c r="I126" s="7" t="n">
        <v>6</v>
      </c>
      <c r="J126" s="7" t="n">
        <v>6</v>
      </c>
      <c r="K126" s="7" t="n">
        <v>7</v>
      </c>
      <c r="L126" s="7" t="n">
        <v>7</v>
      </c>
      <c r="M126" s="7" t="n">
        <v>5</v>
      </c>
      <c r="N126" s="7" t="n">
        <v>5</v>
      </c>
      <c r="O126" s="7" t="n">
        <v>0</v>
      </c>
      <c r="P126" s="7" t="n">
        <v>0</v>
      </c>
      <c r="Q126" s="7" t="n">
        <v>0</v>
      </c>
      <c r="R126" s="7" t="n">
        <v>0</v>
      </c>
      <c r="S126" s="7" t="n">
        <v>0</v>
      </c>
    </row>
    <row r="127" customFormat="false" ht="15" hidden="false" customHeight="false" outlineLevel="0" collapsed="false">
      <c r="A127" s="5" t="s">
        <v>26</v>
      </c>
      <c r="B127" s="6" t="s">
        <v>7</v>
      </c>
      <c r="C127" s="7" t="n">
        <v>0</v>
      </c>
      <c r="D127" s="7" t="n">
        <v>0</v>
      </c>
      <c r="E127" s="7" t="n">
        <v>0</v>
      </c>
      <c r="F127" s="7" t="n">
        <v>0</v>
      </c>
      <c r="G127" s="7" t="n">
        <v>0</v>
      </c>
      <c r="H127" s="7" t="n">
        <v>0</v>
      </c>
      <c r="I127" s="7" t="n">
        <v>0</v>
      </c>
      <c r="J127" s="7" t="n">
        <v>0</v>
      </c>
      <c r="K127" s="7" t="n">
        <v>0</v>
      </c>
      <c r="L127" s="7" t="n">
        <v>0</v>
      </c>
      <c r="M127" s="7" t="n">
        <v>1</v>
      </c>
      <c r="N127" s="7" t="n">
        <v>3</v>
      </c>
      <c r="O127" s="7" t="n">
        <v>5</v>
      </c>
      <c r="P127" s="7" t="n">
        <v>4</v>
      </c>
      <c r="Q127" s="7" t="n">
        <v>3</v>
      </c>
      <c r="R127" s="7" t="n">
        <v>2</v>
      </c>
      <c r="S127" s="7" t="n">
        <v>3</v>
      </c>
    </row>
    <row r="128" customFormat="false" ht="15" hidden="false" customHeight="false" outlineLevel="0" collapsed="false">
      <c r="A128" s="5" t="s">
        <v>26</v>
      </c>
      <c r="B128" s="6" t="s">
        <v>8</v>
      </c>
      <c r="C128" s="7" t="n">
        <v>0</v>
      </c>
      <c r="D128" s="7" t="n">
        <v>0</v>
      </c>
      <c r="E128" s="7" t="n">
        <v>0</v>
      </c>
      <c r="F128" s="7" t="n">
        <v>0</v>
      </c>
      <c r="G128" s="7" t="n">
        <v>0</v>
      </c>
      <c r="H128" s="7" t="n">
        <v>0</v>
      </c>
      <c r="I128" s="7" t="n">
        <v>0</v>
      </c>
      <c r="J128" s="7" t="n">
        <v>0</v>
      </c>
      <c r="K128" s="7" t="n">
        <v>0</v>
      </c>
      <c r="L128" s="7" t="n">
        <v>0</v>
      </c>
      <c r="M128" s="7" t="n">
        <v>0</v>
      </c>
      <c r="N128" s="7" t="n">
        <v>0</v>
      </c>
      <c r="O128" s="7" t="n">
        <v>0</v>
      </c>
      <c r="P128" s="7" t="n">
        <v>0</v>
      </c>
      <c r="Q128" s="7" t="n">
        <v>0</v>
      </c>
      <c r="R128" s="7" t="n">
        <v>0</v>
      </c>
      <c r="S128" s="7" t="n">
        <v>0</v>
      </c>
    </row>
    <row r="129" customFormat="false" ht="15" hidden="false" customHeight="false" outlineLevel="0" collapsed="false">
      <c r="A129" s="5" t="s">
        <v>26</v>
      </c>
      <c r="B129" s="6" t="s">
        <v>9</v>
      </c>
      <c r="C129" s="7" t="n">
        <v>0</v>
      </c>
      <c r="D129" s="7" t="n">
        <v>0</v>
      </c>
      <c r="E129" s="7" t="n">
        <v>0</v>
      </c>
      <c r="F129" s="7" t="n">
        <v>0</v>
      </c>
      <c r="G129" s="7" t="n">
        <v>0</v>
      </c>
      <c r="H129" s="7" t="n">
        <v>0</v>
      </c>
      <c r="I129" s="7" t="n">
        <v>0</v>
      </c>
      <c r="J129" s="7" t="n">
        <v>0</v>
      </c>
      <c r="K129" s="7" t="n">
        <v>0</v>
      </c>
      <c r="L129" s="7" t="n">
        <v>0</v>
      </c>
      <c r="M129" s="7" t="n">
        <v>0</v>
      </c>
      <c r="N129" s="7" t="n">
        <v>0</v>
      </c>
      <c r="O129" s="7" t="n">
        <v>0</v>
      </c>
      <c r="P129" s="7" t="n">
        <v>6</v>
      </c>
      <c r="Q129" s="7" t="n">
        <v>6</v>
      </c>
      <c r="R129" s="7" t="n">
        <v>6</v>
      </c>
      <c r="S129" s="7" t="n">
        <v>6</v>
      </c>
    </row>
    <row r="130" customFormat="false" ht="15" hidden="false" customHeight="false" outlineLevel="0" collapsed="false">
      <c r="A130" s="5" t="s">
        <v>26</v>
      </c>
      <c r="B130" s="6" t="s">
        <v>10</v>
      </c>
      <c r="C130" s="7" t="n">
        <v>0</v>
      </c>
      <c r="D130" s="7" t="n">
        <v>0</v>
      </c>
      <c r="E130" s="7" t="n">
        <v>0</v>
      </c>
      <c r="F130" s="7" t="n">
        <v>0</v>
      </c>
      <c r="G130" s="7" t="n">
        <v>0</v>
      </c>
      <c r="H130" s="7" t="n">
        <v>0</v>
      </c>
      <c r="I130" s="7" t="n">
        <v>0</v>
      </c>
      <c r="J130" s="7" t="n">
        <v>0</v>
      </c>
      <c r="K130" s="7" t="n">
        <v>0</v>
      </c>
      <c r="L130" s="7" t="n">
        <v>0</v>
      </c>
      <c r="M130" s="7" t="n">
        <v>0</v>
      </c>
      <c r="N130" s="7" t="n">
        <v>0</v>
      </c>
      <c r="O130" s="7" t="n">
        <v>0</v>
      </c>
      <c r="P130" s="7" t="n">
        <v>0</v>
      </c>
      <c r="Q130" s="7" t="n">
        <v>0</v>
      </c>
      <c r="R130" s="7" t="n">
        <v>0</v>
      </c>
      <c r="S130" s="7" t="n">
        <v>0</v>
      </c>
    </row>
    <row r="131" customFormat="false" ht="15" hidden="false" customHeight="false" outlineLevel="0" collapsed="false">
      <c r="A131" s="5" t="s">
        <v>26</v>
      </c>
      <c r="B131" s="6" t="s">
        <v>11</v>
      </c>
      <c r="C131" s="7" t="n">
        <v>0</v>
      </c>
      <c r="D131" s="7" t="n">
        <v>0</v>
      </c>
      <c r="E131" s="7" t="n">
        <v>0</v>
      </c>
      <c r="F131" s="7" t="n">
        <v>0</v>
      </c>
      <c r="G131" s="7" t="n">
        <v>0</v>
      </c>
      <c r="H131" s="7" t="n">
        <v>0</v>
      </c>
      <c r="I131" s="7" t="n">
        <v>0</v>
      </c>
      <c r="J131" s="7" t="n">
        <v>0</v>
      </c>
      <c r="K131" s="7" t="n">
        <v>0</v>
      </c>
      <c r="L131" s="7" t="n">
        <v>0</v>
      </c>
      <c r="M131" s="7" t="n">
        <v>0</v>
      </c>
      <c r="N131" s="7" t="n">
        <v>0</v>
      </c>
      <c r="O131" s="7" t="n">
        <v>0</v>
      </c>
      <c r="P131" s="7" t="n">
        <v>0</v>
      </c>
      <c r="Q131" s="7" t="n">
        <v>0</v>
      </c>
      <c r="R131" s="7" t="n">
        <v>0</v>
      </c>
      <c r="S131" s="7" t="n">
        <v>0</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9"/>
  </cols>
  <sheetData>
    <row r="1" customFormat="false" ht="17.35" hidden="false" customHeight="false" outlineLevel="0" collapsed="false">
      <c r="A1" s="1" t="s">
        <v>27</v>
      </c>
      <c r="B1" s="1"/>
      <c r="C1" s="1"/>
      <c r="D1" s="1"/>
      <c r="E1" s="1"/>
      <c r="F1" s="1"/>
      <c r="G1" s="1"/>
      <c r="H1" s="1"/>
      <c r="I1" s="1"/>
      <c r="J1" s="1"/>
      <c r="K1" s="1"/>
      <c r="L1" s="1"/>
      <c r="M1" s="1"/>
      <c r="N1" s="1"/>
      <c r="O1" s="1"/>
      <c r="P1" s="1"/>
      <c r="Q1" s="1"/>
      <c r="R1" s="1"/>
    </row>
    <row r="2" customFormat="false" ht="15" hidden="false" customHeight="false" outlineLevel="0" collapsed="false">
      <c r="A2" s="2" t="s">
        <v>28</v>
      </c>
      <c r="B2" s="2"/>
      <c r="C2" s="2"/>
      <c r="D2" s="2"/>
      <c r="E2" s="2"/>
      <c r="F2" s="2"/>
      <c r="G2" s="2"/>
      <c r="H2" s="2"/>
      <c r="I2" s="2"/>
      <c r="J2" s="2"/>
      <c r="K2" s="2"/>
      <c r="L2" s="2"/>
      <c r="M2" s="2"/>
      <c r="N2" s="2"/>
      <c r="O2" s="2"/>
      <c r="P2" s="2"/>
      <c r="Q2" s="2"/>
      <c r="R2" s="2"/>
    </row>
    <row r="4" customFormat="false" ht="15" hidden="false" customHeight="false" outlineLevel="0" collapsed="false">
      <c r="A4" s="3" t="s">
        <v>2</v>
      </c>
      <c r="B4" s="4" t="n">
        <v>1860</v>
      </c>
      <c r="C4" s="4" t="n">
        <v>1870</v>
      </c>
      <c r="D4" s="4" t="n">
        <v>1880</v>
      </c>
      <c r="E4" s="4" t="n">
        <v>1890</v>
      </c>
      <c r="F4" s="4" t="n">
        <v>1900</v>
      </c>
      <c r="G4" s="4" t="n">
        <v>1910</v>
      </c>
      <c r="H4" s="4" t="n">
        <v>1920</v>
      </c>
      <c r="I4" s="4" t="n">
        <v>1930</v>
      </c>
      <c r="J4" s="4" t="n">
        <v>1940</v>
      </c>
      <c r="K4" s="4" t="n">
        <v>1950</v>
      </c>
      <c r="L4" s="4" t="n">
        <v>1960</v>
      </c>
      <c r="M4" s="4" t="n">
        <v>1970</v>
      </c>
      <c r="N4" s="4" t="n">
        <v>1980</v>
      </c>
      <c r="O4" s="4" t="n">
        <v>1990</v>
      </c>
      <c r="P4" s="4" t="n">
        <v>2000</v>
      </c>
      <c r="Q4" s="4" t="n">
        <v>2010</v>
      </c>
      <c r="R4" s="4" t="n">
        <v>2020</v>
      </c>
    </row>
    <row r="5" customFormat="false" ht="15" hidden="false" customHeight="false" outlineLevel="0" collapsed="false">
      <c r="A5" s="5" t="s">
        <v>4</v>
      </c>
      <c r="B5" s="8" t="n">
        <v>0</v>
      </c>
      <c r="C5" s="8" t="n">
        <v>0.3</v>
      </c>
      <c r="D5" s="8" t="n">
        <v>0.3</v>
      </c>
      <c r="E5" s="8" t="n">
        <v>0.6</v>
      </c>
      <c r="F5" s="8" t="n">
        <v>1</v>
      </c>
      <c r="G5" s="8" t="n">
        <v>3</v>
      </c>
      <c r="H5" s="8" t="n">
        <v>3</v>
      </c>
      <c r="I5" s="8" t="n">
        <v>3.5</v>
      </c>
      <c r="J5" s="8" t="n">
        <v>3.5</v>
      </c>
      <c r="K5" s="8" t="n">
        <v>3.3</v>
      </c>
      <c r="L5" s="8" t="n">
        <v>2.7</v>
      </c>
      <c r="M5" s="8" t="n">
        <v>3.1</v>
      </c>
      <c r="N5" s="8" t="n">
        <v>5</v>
      </c>
      <c r="O5" s="8" t="n">
        <v>7.4</v>
      </c>
      <c r="P5" s="8" t="n">
        <v>6.8</v>
      </c>
      <c r="Q5" s="8" t="n">
        <v>11.8</v>
      </c>
      <c r="R5" s="8" t="n">
        <v>17.6</v>
      </c>
    </row>
    <row r="6" customFormat="false" ht="15" hidden="false" customHeight="false" outlineLevel="0" collapsed="false">
      <c r="A6" s="5" t="s">
        <v>12</v>
      </c>
      <c r="B6" s="8" t="n">
        <v>0</v>
      </c>
      <c r="C6" s="8" t="n">
        <v>0</v>
      </c>
      <c r="D6" s="8" t="n">
        <v>0.3</v>
      </c>
      <c r="E6" s="8" t="n">
        <v>0.6</v>
      </c>
      <c r="F6" s="8" t="n">
        <v>1.5</v>
      </c>
      <c r="G6" s="8" t="n">
        <v>4</v>
      </c>
      <c r="H6" s="8" t="n">
        <v>4</v>
      </c>
      <c r="I6" s="8" t="n">
        <v>4.5</v>
      </c>
      <c r="J6" s="8" t="n">
        <v>4.5</v>
      </c>
      <c r="K6" s="8" t="n">
        <v>4.6</v>
      </c>
      <c r="L6" s="8" t="n">
        <v>3.9</v>
      </c>
      <c r="M6" s="8" t="n">
        <v>3.6</v>
      </c>
      <c r="N6" s="8" t="n">
        <v>6.2</v>
      </c>
      <c r="O6" s="8" t="n">
        <v>9</v>
      </c>
      <c r="P6" s="8" t="n">
        <v>8.4</v>
      </c>
      <c r="Q6" s="8" t="n">
        <v>7.8</v>
      </c>
      <c r="R6" s="8" t="n">
        <v>15.4</v>
      </c>
    </row>
    <row r="7" customFormat="false" ht="15" hidden="false" customHeight="false" outlineLevel="0" collapsed="false">
      <c r="A7" s="5" t="s">
        <v>13</v>
      </c>
      <c r="B7" s="8" t="n">
        <v>0</v>
      </c>
      <c r="C7" s="8" t="n">
        <v>0.3</v>
      </c>
      <c r="D7" s="8" t="n">
        <v>0.3</v>
      </c>
      <c r="E7" s="8" t="n">
        <v>0.6</v>
      </c>
      <c r="F7" s="8" t="n">
        <v>2.5</v>
      </c>
      <c r="G7" s="8" t="n">
        <v>7.5</v>
      </c>
      <c r="H7" s="8" t="n">
        <v>8.5</v>
      </c>
      <c r="I7" s="8" t="n">
        <v>9.5</v>
      </c>
      <c r="J7" s="8" t="n">
        <v>10</v>
      </c>
      <c r="K7" s="8" t="n">
        <v>9.7</v>
      </c>
      <c r="L7" s="8" t="n">
        <v>6.7</v>
      </c>
      <c r="M7" s="8" t="n">
        <v>9</v>
      </c>
      <c r="N7" s="8" t="n">
        <v>13.6</v>
      </c>
      <c r="O7" s="8" t="n">
        <v>14.4</v>
      </c>
      <c r="P7" s="8" t="n">
        <v>14.2</v>
      </c>
      <c r="Q7" s="8" t="n">
        <v>22.8</v>
      </c>
      <c r="R7" s="8" t="n">
        <v>37.2</v>
      </c>
    </row>
    <row r="8" customFormat="false" ht="15" hidden="false" customHeight="false" outlineLevel="0" collapsed="false">
      <c r="A8" s="5" t="s">
        <v>14</v>
      </c>
      <c r="B8" s="8" t="n">
        <v>0</v>
      </c>
      <c r="C8" s="8" t="n">
        <v>0.3</v>
      </c>
      <c r="D8" s="8" t="n">
        <v>0.6</v>
      </c>
      <c r="E8" s="8" t="n">
        <v>0.6</v>
      </c>
      <c r="F8" s="8" t="n">
        <v>1.5</v>
      </c>
      <c r="G8" s="8" t="n">
        <v>3.5</v>
      </c>
      <c r="H8" s="8" t="n">
        <v>4</v>
      </c>
      <c r="I8" s="8" t="n">
        <v>4</v>
      </c>
      <c r="J8" s="8" t="n">
        <v>4.5</v>
      </c>
      <c r="K8" s="8" t="n">
        <v>4.8</v>
      </c>
      <c r="L8" s="8" t="n">
        <v>4.8</v>
      </c>
      <c r="M8" s="8" t="n">
        <v>8</v>
      </c>
      <c r="N8" s="8" t="n">
        <v>7.2</v>
      </c>
      <c r="O8" s="8" t="n">
        <v>13.2</v>
      </c>
      <c r="P8" s="8" t="n">
        <v>12.6</v>
      </c>
      <c r="Q8" s="8" t="n">
        <v>14.8</v>
      </c>
      <c r="R8" s="8" t="n">
        <v>20.2</v>
      </c>
    </row>
    <row r="9" customFormat="false" ht="15" hidden="false" customHeight="false" outlineLevel="0" collapsed="false">
      <c r="A9" s="5" t="s">
        <v>15</v>
      </c>
      <c r="B9" s="8" t="n">
        <v>0</v>
      </c>
      <c r="C9" s="8" t="n">
        <v>0</v>
      </c>
      <c r="D9" s="8" t="n">
        <v>0</v>
      </c>
      <c r="E9" s="8" t="n">
        <v>0</v>
      </c>
      <c r="F9" s="8" t="n">
        <v>0</v>
      </c>
      <c r="G9" s="8" t="n">
        <v>0</v>
      </c>
      <c r="H9" s="8" t="n">
        <v>0</v>
      </c>
      <c r="I9" s="8" t="n">
        <v>0</v>
      </c>
      <c r="J9" s="8" t="n">
        <v>0</v>
      </c>
      <c r="K9" s="8" t="n">
        <v>0</v>
      </c>
      <c r="L9" s="8" t="n">
        <v>0</v>
      </c>
      <c r="M9" s="8" t="n">
        <v>0</v>
      </c>
      <c r="N9" s="8" t="n">
        <v>0</v>
      </c>
      <c r="O9" s="8" t="n">
        <v>0</v>
      </c>
      <c r="P9" s="8" t="n">
        <v>0</v>
      </c>
      <c r="Q9" s="8" t="n">
        <v>0</v>
      </c>
      <c r="R9" s="8" t="n">
        <v>0</v>
      </c>
    </row>
    <row r="10" customFormat="false" ht="15" hidden="false" customHeight="false" outlineLevel="0" collapsed="false">
      <c r="A10" s="5" t="s">
        <v>16</v>
      </c>
      <c r="B10" s="8" t="n">
        <v>0.9</v>
      </c>
      <c r="C10" s="8" t="n">
        <v>1.5</v>
      </c>
      <c r="D10" s="8" t="n">
        <v>2.4</v>
      </c>
      <c r="E10" s="8" t="n">
        <v>3.6</v>
      </c>
      <c r="F10" s="8" t="n">
        <v>9</v>
      </c>
      <c r="G10" s="8" t="n">
        <v>22.5</v>
      </c>
      <c r="H10" s="8" t="n">
        <v>25</v>
      </c>
      <c r="I10" s="8" t="n">
        <v>27.5</v>
      </c>
      <c r="J10" s="8" t="n">
        <v>29</v>
      </c>
      <c r="K10" s="8" t="n">
        <v>27.4</v>
      </c>
      <c r="L10" s="8" t="n">
        <v>15</v>
      </c>
      <c r="M10" s="8" t="n">
        <v>26</v>
      </c>
      <c r="N10" s="8" t="n">
        <v>37.5</v>
      </c>
      <c r="O10" s="8" t="n">
        <v>37</v>
      </c>
      <c r="P10" s="8" t="n">
        <v>36</v>
      </c>
      <c r="Q10" s="8" t="n">
        <v>49.5</v>
      </c>
      <c r="R10" s="8" t="n">
        <v>66.8</v>
      </c>
    </row>
    <row r="11" customFormat="false" ht="15" hidden="false" customHeight="false" outlineLevel="0" collapsed="false">
      <c r="A11" s="5" t="s">
        <v>17</v>
      </c>
      <c r="B11" s="8" t="n">
        <v>0.3</v>
      </c>
      <c r="C11" s="8" t="n">
        <v>0.3</v>
      </c>
      <c r="D11" s="8" t="n">
        <v>0.6</v>
      </c>
      <c r="E11" s="8" t="n">
        <v>0.9</v>
      </c>
      <c r="F11" s="8" t="n">
        <v>2.5</v>
      </c>
      <c r="G11" s="8" t="n">
        <v>6</v>
      </c>
      <c r="H11" s="8" t="n">
        <v>6.5</v>
      </c>
      <c r="I11" s="8" t="n">
        <v>7</v>
      </c>
      <c r="J11" s="8" t="n">
        <v>7</v>
      </c>
      <c r="K11" s="8" t="n">
        <v>6.9</v>
      </c>
      <c r="L11" s="8" t="n">
        <v>6.2</v>
      </c>
      <c r="M11" s="8" t="n">
        <v>9</v>
      </c>
      <c r="N11" s="8" t="n">
        <v>21.5</v>
      </c>
      <c r="O11" s="8" t="n">
        <v>28.4</v>
      </c>
      <c r="P11" s="8" t="n">
        <v>29.2</v>
      </c>
      <c r="Q11" s="8" t="n">
        <v>37.4</v>
      </c>
      <c r="R11" s="8" t="n">
        <v>53.4</v>
      </c>
    </row>
    <row r="12" customFormat="false" ht="15" hidden="false" customHeight="false" outlineLevel="0" collapsed="false">
      <c r="A12" s="5" t="s">
        <v>18</v>
      </c>
      <c r="B12" s="8" t="n">
        <v>0</v>
      </c>
      <c r="C12" s="8" t="n">
        <v>0</v>
      </c>
      <c r="D12" s="8" t="n">
        <v>0</v>
      </c>
      <c r="E12" s="8" t="n">
        <v>0</v>
      </c>
      <c r="F12" s="8" t="n">
        <v>0.5</v>
      </c>
      <c r="G12" s="8" t="n">
        <v>1.5</v>
      </c>
      <c r="H12" s="8" t="n">
        <v>1.5</v>
      </c>
      <c r="I12" s="8" t="n">
        <v>1.5</v>
      </c>
      <c r="J12" s="8" t="n">
        <v>1.5</v>
      </c>
      <c r="K12" s="8" t="n">
        <v>1.8</v>
      </c>
      <c r="L12" s="8" t="n">
        <v>2</v>
      </c>
      <c r="M12" s="8" t="n">
        <v>2.4</v>
      </c>
      <c r="N12" s="8" t="n">
        <v>8</v>
      </c>
      <c r="O12" s="8" t="n">
        <v>9.4</v>
      </c>
      <c r="P12" s="8" t="n">
        <v>10.8</v>
      </c>
      <c r="Q12" s="8" t="n">
        <v>15.7</v>
      </c>
      <c r="R12" s="8" t="n">
        <v>21.6</v>
      </c>
    </row>
    <row r="13" customFormat="false" ht="15" hidden="false" customHeight="false" outlineLevel="0" collapsed="false">
      <c r="A13" s="5" t="s">
        <v>19</v>
      </c>
      <c r="B13" s="8" t="n">
        <v>0</v>
      </c>
      <c r="C13" s="8" t="n">
        <v>0</v>
      </c>
      <c r="D13" s="8" t="n">
        <v>0</v>
      </c>
      <c r="E13" s="8" t="n">
        <v>0</v>
      </c>
      <c r="F13" s="8" t="n">
        <v>0</v>
      </c>
      <c r="G13" s="8" t="n">
        <v>1</v>
      </c>
      <c r="H13" s="8" t="n">
        <v>1</v>
      </c>
      <c r="I13" s="8" t="n">
        <v>1</v>
      </c>
      <c r="J13" s="8" t="n">
        <v>1</v>
      </c>
      <c r="K13" s="8" t="n">
        <v>1</v>
      </c>
      <c r="L13" s="8" t="n">
        <v>1.7</v>
      </c>
      <c r="M13" s="8" t="n">
        <v>4</v>
      </c>
      <c r="N13" s="8" t="n">
        <v>13.4</v>
      </c>
      <c r="O13" s="8" t="n">
        <v>18.5</v>
      </c>
      <c r="P13" s="8" t="n">
        <v>24.2</v>
      </c>
      <c r="Q13" s="8" t="n">
        <v>29.8</v>
      </c>
      <c r="R13" s="8" t="n">
        <v>51.6</v>
      </c>
    </row>
    <row r="14" customFormat="false" ht="15" hidden="false" customHeight="false" outlineLevel="0" collapsed="false">
      <c r="A14" s="5" t="s">
        <v>20</v>
      </c>
      <c r="B14" s="8" t="n">
        <v>0</v>
      </c>
      <c r="C14" s="8" t="n">
        <v>0</v>
      </c>
      <c r="D14" s="8" t="n">
        <v>0</v>
      </c>
      <c r="E14" s="8" t="n">
        <v>0</v>
      </c>
      <c r="F14" s="8" t="n">
        <v>0</v>
      </c>
      <c r="G14" s="8" t="n">
        <v>0.5</v>
      </c>
      <c r="H14" s="8" t="n">
        <v>0.5</v>
      </c>
      <c r="I14" s="8" t="n">
        <v>0.5</v>
      </c>
      <c r="J14" s="8" t="n">
        <v>0.5</v>
      </c>
      <c r="K14" s="8" t="n">
        <v>0.5</v>
      </c>
      <c r="L14" s="8" t="n">
        <v>0</v>
      </c>
      <c r="M14" s="8" t="n">
        <v>0.3</v>
      </c>
      <c r="N14" s="8" t="n">
        <v>0.6</v>
      </c>
      <c r="O14" s="8" t="n">
        <v>0.6</v>
      </c>
      <c r="P14" s="8" t="n">
        <v>0.3</v>
      </c>
      <c r="Q14" s="8" t="n">
        <v>0.3</v>
      </c>
      <c r="R14" s="8" t="n">
        <v>0.3</v>
      </c>
    </row>
    <row r="15" customFormat="false" ht="15" hidden="false" customHeight="false" outlineLevel="0" collapsed="false">
      <c r="A15" s="5" t="s">
        <v>21</v>
      </c>
      <c r="B15" s="8" t="n">
        <v>0.6</v>
      </c>
      <c r="C15" s="8" t="n">
        <v>0.9</v>
      </c>
      <c r="D15" s="8" t="n">
        <v>1.2</v>
      </c>
      <c r="E15" s="8" t="n">
        <v>1.8</v>
      </c>
      <c r="F15" s="8" t="n">
        <v>6</v>
      </c>
      <c r="G15" s="8" t="n">
        <v>14</v>
      </c>
      <c r="H15" s="8" t="n">
        <v>15</v>
      </c>
      <c r="I15" s="8" t="n">
        <v>16</v>
      </c>
      <c r="J15" s="8" t="n">
        <v>16</v>
      </c>
      <c r="K15" s="8" t="n">
        <v>15.5</v>
      </c>
      <c r="L15" s="8" t="n">
        <v>10.4</v>
      </c>
      <c r="M15" s="8" t="n">
        <v>11.5</v>
      </c>
      <c r="N15" s="8" t="n">
        <v>16.4</v>
      </c>
      <c r="O15" s="8" t="n">
        <v>17</v>
      </c>
      <c r="P15" s="8" t="n">
        <v>16.5</v>
      </c>
      <c r="Q15" s="8" t="n">
        <v>18.5</v>
      </c>
      <c r="R15" s="8" t="n">
        <v>28.2</v>
      </c>
    </row>
    <row r="16" customFormat="false" ht="15" hidden="false" customHeight="false" outlineLevel="0" collapsed="false">
      <c r="A16" s="5" t="s">
        <v>22</v>
      </c>
      <c r="B16" s="8" t="n">
        <v>0</v>
      </c>
      <c r="C16" s="8" t="n">
        <v>0</v>
      </c>
      <c r="D16" s="8" t="n">
        <v>0</v>
      </c>
      <c r="E16" s="8" t="n">
        <v>0</v>
      </c>
      <c r="F16" s="8" t="n">
        <v>0</v>
      </c>
      <c r="G16" s="8" t="n">
        <v>0</v>
      </c>
      <c r="H16" s="8" t="n">
        <v>0</v>
      </c>
      <c r="I16" s="8" t="n">
        <v>0</v>
      </c>
      <c r="J16" s="8" t="n">
        <v>0</v>
      </c>
      <c r="K16" s="8" t="n">
        <v>0</v>
      </c>
      <c r="L16" s="8" t="n">
        <v>0</v>
      </c>
      <c r="M16" s="8" t="n">
        <v>0</v>
      </c>
      <c r="N16" s="8" t="n">
        <v>0</v>
      </c>
      <c r="O16" s="8" t="n">
        <v>0</v>
      </c>
      <c r="P16" s="8" t="n">
        <v>0</v>
      </c>
      <c r="Q16" s="8" t="n">
        <v>0</v>
      </c>
      <c r="R16" s="8" t="n">
        <v>0</v>
      </c>
    </row>
    <row r="17" customFormat="false" ht="15" hidden="false" customHeight="false" outlineLevel="0" collapsed="false">
      <c r="A17" s="5" t="s">
        <v>23</v>
      </c>
      <c r="B17" s="8" t="n">
        <v>0</v>
      </c>
      <c r="C17" s="8" t="n">
        <v>0</v>
      </c>
      <c r="D17" s="8" t="n">
        <v>0</v>
      </c>
      <c r="E17" s="8" t="n">
        <v>0</v>
      </c>
      <c r="F17" s="8" t="n">
        <v>0</v>
      </c>
      <c r="G17" s="8" t="n">
        <v>0</v>
      </c>
      <c r="H17" s="8" t="n">
        <v>0</v>
      </c>
      <c r="I17" s="8" t="n">
        <v>0</v>
      </c>
      <c r="J17" s="8" t="n">
        <v>0</v>
      </c>
      <c r="K17" s="8" t="n">
        <v>0</v>
      </c>
      <c r="L17" s="8" t="n">
        <v>0</v>
      </c>
      <c r="M17" s="8" t="n">
        <v>0</v>
      </c>
      <c r="N17" s="8" t="n">
        <v>0.6</v>
      </c>
      <c r="O17" s="8" t="n">
        <v>0.6</v>
      </c>
      <c r="P17" s="8" t="n">
        <v>0.3</v>
      </c>
      <c r="Q17" s="8" t="n">
        <v>0.3</v>
      </c>
      <c r="R17" s="8" t="n">
        <v>5.6</v>
      </c>
    </row>
    <row r="18" customFormat="false" ht="15" hidden="false" customHeight="false" outlineLevel="0" collapsed="false">
      <c r="A18" s="5" t="s">
        <v>24</v>
      </c>
      <c r="B18" s="8" t="n">
        <v>0</v>
      </c>
      <c r="C18" s="8" t="n">
        <v>0.3</v>
      </c>
      <c r="D18" s="8" t="n">
        <v>0.3</v>
      </c>
      <c r="E18" s="8" t="n">
        <v>0.6</v>
      </c>
      <c r="F18" s="8" t="n">
        <v>1</v>
      </c>
      <c r="G18" s="8" t="n">
        <v>3</v>
      </c>
      <c r="H18" s="8" t="n">
        <v>3</v>
      </c>
      <c r="I18" s="8" t="n">
        <v>3</v>
      </c>
      <c r="J18" s="8" t="n">
        <v>3</v>
      </c>
      <c r="K18" s="8" t="n">
        <v>3</v>
      </c>
      <c r="L18" s="8" t="n">
        <v>2.6</v>
      </c>
      <c r="M18" s="8" t="n">
        <v>1.5</v>
      </c>
      <c r="N18" s="8" t="n">
        <v>2.4</v>
      </c>
      <c r="O18" s="8" t="n">
        <v>5.8</v>
      </c>
      <c r="P18" s="8" t="n">
        <v>5.5</v>
      </c>
      <c r="Q18" s="8" t="n">
        <v>9.4</v>
      </c>
      <c r="R18" s="8" t="n">
        <v>12.8</v>
      </c>
    </row>
    <row r="19" customFormat="false" ht="15" hidden="false" customHeight="false" outlineLevel="0" collapsed="false">
      <c r="A19" s="5" t="s">
        <v>25</v>
      </c>
      <c r="B19" s="8" t="n">
        <v>0.3</v>
      </c>
      <c r="C19" s="8" t="n">
        <v>0.6</v>
      </c>
      <c r="D19" s="8" t="n">
        <v>0.9</v>
      </c>
      <c r="E19" s="8" t="n">
        <v>1.2</v>
      </c>
      <c r="F19" s="8" t="n">
        <v>3.5</v>
      </c>
      <c r="G19" s="8" t="n">
        <v>9</v>
      </c>
      <c r="H19" s="8" t="n">
        <v>10</v>
      </c>
      <c r="I19" s="8" t="n">
        <v>11</v>
      </c>
      <c r="J19" s="8" t="n">
        <v>11</v>
      </c>
      <c r="K19" s="8" t="n">
        <v>10.2</v>
      </c>
      <c r="L19" s="8" t="n">
        <v>7.5</v>
      </c>
      <c r="M19" s="8" t="n">
        <v>10</v>
      </c>
      <c r="N19" s="8" t="n">
        <v>16.6</v>
      </c>
      <c r="O19" s="8" t="n">
        <v>18.5</v>
      </c>
      <c r="P19" s="8" t="n">
        <v>18.6</v>
      </c>
      <c r="Q19" s="8" t="n">
        <v>18.4</v>
      </c>
      <c r="R19" s="8" t="n">
        <v>34.4</v>
      </c>
    </row>
    <row r="20" customFormat="false" ht="15" hidden="false" customHeight="false" outlineLevel="0" collapsed="false">
      <c r="A20" s="5" t="s">
        <v>26</v>
      </c>
      <c r="B20" s="8" t="n">
        <v>0</v>
      </c>
      <c r="C20" s="8" t="n">
        <v>0</v>
      </c>
      <c r="D20" s="8" t="n">
        <v>0</v>
      </c>
      <c r="E20" s="8" t="n">
        <v>0</v>
      </c>
      <c r="F20" s="8" t="n">
        <v>0</v>
      </c>
      <c r="G20" s="8" t="n">
        <v>3</v>
      </c>
      <c r="H20" s="8" t="n">
        <v>3</v>
      </c>
      <c r="I20" s="8" t="n">
        <v>3</v>
      </c>
      <c r="J20" s="8" t="n">
        <v>3.5</v>
      </c>
      <c r="K20" s="8" t="n">
        <v>3.5</v>
      </c>
      <c r="L20" s="8" t="n">
        <v>2.8</v>
      </c>
      <c r="M20" s="8" t="n">
        <v>3.4</v>
      </c>
      <c r="N20" s="8" t="n">
        <v>1.5</v>
      </c>
      <c r="O20" s="8" t="n">
        <v>6</v>
      </c>
      <c r="P20" s="8" t="n">
        <v>5.7</v>
      </c>
      <c r="Q20" s="8" t="n">
        <v>5.4</v>
      </c>
      <c r="R20" s="8" t="n">
        <v>5.7</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9"/>
  </cols>
  <sheetData>
    <row r="1" customFormat="false" ht="17.35" hidden="false" customHeight="false" outlineLevel="0" collapsed="false">
      <c r="A1" s="1" t="s">
        <v>29</v>
      </c>
      <c r="B1" s="1"/>
      <c r="C1" s="1"/>
      <c r="D1" s="1"/>
      <c r="E1" s="1"/>
      <c r="F1" s="1"/>
      <c r="G1" s="1"/>
      <c r="H1" s="1"/>
      <c r="I1" s="1"/>
      <c r="J1" s="1"/>
      <c r="K1" s="1"/>
      <c r="L1" s="1"/>
      <c r="M1" s="1"/>
      <c r="N1" s="1"/>
      <c r="O1" s="1"/>
      <c r="P1" s="1"/>
      <c r="Q1" s="1"/>
      <c r="R1" s="1"/>
    </row>
    <row r="2" customFormat="false" ht="15" hidden="false" customHeight="false" outlineLevel="0" collapsed="false">
      <c r="A2" s="2" t="s">
        <v>30</v>
      </c>
      <c r="B2" s="2"/>
      <c r="C2" s="2"/>
      <c r="D2" s="2"/>
      <c r="E2" s="2"/>
      <c r="F2" s="2"/>
      <c r="G2" s="2"/>
      <c r="H2" s="2"/>
      <c r="I2" s="2"/>
      <c r="J2" s="2"/>
      <c r="K2" s="2"/>
      <c r="L2" s="2"/>
      <c r="M2" s="2"/>
      <c r="N2" s="2"/>
      <c r="O2" s="2"/>
      <c r="P2" s="2"/>
      <c r="Q2" s="2"/>
      <c r="R2" s="2"/>
    </row>
    <row r="4" customFormat="false" ht="15" hidden="false" customHeight="false" outlineLevel="0" collapsed="false">
      <c r="A4" s="3" t="s">
        <v>2</v>
      </c>
      <c r="B4" s="4" t="n">
        <v>1860</v>
      </c>
      <c r="C4" s="4" t="n">
        <v>1870</v>
      </c>
      <c r="D4" s="4" t="n">
        <v>1880</v>
      </c>
      <c r="E4" s="4" t="n">
        <v>1890</v>
      </c>
      <c r="F4" s="4" t="n">
        <v>1900</v>
      </c>
      <c r="G4" s="4" t="n">
        <v>1910</v>
      </c>
      <c r="H4" s="4" t="n">
        <v>1920</v>
      </c>
      <c r="I4" s="4" t="n">
        <v>1930</v>
      </c>
      <c r="J4" s="4" t="n">
        <v>1940</v>
      </c>
      <c r="K4" s="4" t="n">
        <v>1950</v>
      </c>
      <c r="L4" s="4" t="n">
        <v>1960</v>
      </c>
      <c r="M4" s="4" t="n">
        <v>1970</v>
      </c>
      <c r="N4" s="4" t="n">
        <v>1980</v>
      </c>
      <c r="O4" s="4" t="n">
        <v>1990</v>
      </c>
      <c r="P4" s="4" t="n">
        <v>2000</v>
      </c>
      <c r="Q4" s="4" t="n">
        <v>2010</v>
      </c>
      <c r="R4" s="4" t="n">
        <v>2020</v>
      </c>
    </row>
    <row r="5" customFormat="false" ht="15" hidden="false" customHeight="false" outlineLevel="0" collapsed="false">
      <c r="A5" s="5" t="s">
        <v>4</v>
      </c>
      <c r="B5" s="8" t="n">
        <f aca="false">IF(B31=0,0,'Station equivalents'!B5/B31*100000)</f>
        <v>0</v>
      </c>
      <c r="C5" s="8" t="n">
        <f aca="false">IF(C31=0,0,'Station equivalents'!C5/C31*100000)</f>
        <v>5.12820512820513</v>
      </c>
      <c r="D5" s="8" t="n">
        <f aca="false">IF(D31=0,0,'Station equivalents'!D5/D31*100000)</f>
        <v>4.24388173716226</v>
      </c>
      <c r="E5" s="8" t="n">
        <f aca="false">IF(E31=0,0,'Station equivalents'!E5/E31*100000)</f>
        <v>6.15384615384615</v>
      </c>
      <c r="F5" s="8" t="n">
        <f aca="false">IF(F31=0,0,'Station equivalents'!F5/F31*100000)</f>
        <v>7.57920266787934</v>
      </c>
      <c r="G5" s="8" t="n">
        <f aca="false">IF(G31=0,0,'Station equivalents'!G5/G31*100000)</f>
        <v>14.8765248437965</v>
      </c>
      <c r="H5" s="8" t="n">
        <f aca="false">IF(H31=0,0,'Station equivalents'!H5/H31*100000)</f>
        <v>11.3216091780512</v>
      </c>
      <c r="I5" s="8" t="n">
        <f aca="false">IF(I31=0,0,'Station equivalents'!I5/I31*100000)</f>
        <v>9.52303213343128</v>
      </c>
      <c r="J5" s="8" t="n">
        <f aca="false">IF(J31=0,0,'Station equivalents'!J5/J31*100000)</f>
        <v>6.5762278756905</v>
      </c>
      <c r="K5" s="8" t="n">
        <f aca="false">IF(K31=0,0,'Station equivalents'!K5/K31*100000)</f>
        <v>3.54168455396239</v>
      </c>
      <c r="L5" s="8" t="n">
        <f aca="false">IF(L31=0,0,'Station equivalents'!L5/L31*100000)</f>
        <v>1.22721136670439</v>
      </c>
      <c r="M5" s="8" t="n">
        <f aca="false">IF(M31=0,0,'Station equivalents'!M5/M31*100000)</f>
        <v>0.678769194388549</v>
      </c>
      <c r="N5" s="8" t="n">
        <f aca="false">IF(N31=0,0,'Station equivalents'!N5/N31*100000)</f>
        <v>0.782211876166474</v>
      </c>
      <c r="O5" s="8" t="n">
        <f aca="false">IF(O31=0,0,'Station equivalents'!O5/O31*100000)</f>
        <v>1.15129762132577</v>
      </c>
      <c r="P5" s="8" t="n">
        <f aca="false">IF(P31=0,0,'Station equivalents'!P5/P31*100000)</f>
        <v>0.989781956857151</v>
      </c>
      <c r="Q5" s="8" t="n">
        <f aca="false">IF(Q31=0,0,'Station equivalents'!Q5/Q31*100000)</f>
        <v>1.62303276050364</v>
      </c>
      <c r="R5" s="8" t="n">
        <f aca="false">IF(R31=0,0,'Station equivalents'!R5/R31*100000)</f>
        <v>2.31842210299327</v>
      </c>
    </row>
    <row r="6" customFormat="false" ht="15" hidden="false" customHeight="false" outlineLevel="0" collapsed="false">
      <c r="A6" s="5" t="s">
        <v>12</v>
      </c>
      <c r="B6" s="8" t="n">
        <f aca="false">IF(B32=0,0,'Station equivalents'!B6/B32*100000)</f>
        <v>0</v>
      </c>
      <c r="C6" s="8" t="n">
        <f aca="false">IF(C32=0,0,'Station equivalents'!C6/C32*100000)</f>
        <v>0</v>
      </c>
      <c r="D6" s="8" t="n">
        <f aca="false">IF(D32=0,0,'Station equivalents'!D6/D32*100000)</f>
        <v>4.62962962962963</v>
      </c>
      <c r="E6" s="8" t="n">
        <f aca="false">IF(E32=0,0,'Station equivalents'!E6/E32*100000)</f>
        <v>6.71291116580891</v>
      </c>
      <c r="F6" s="8" t="n">
        <f aca="false">IF(F32=0,0,'Station equivalents'!F6/F32*100000)</f>
        <v>12.4018189334436</v>
      </c>
      <c r="G6" s="8" t="n">
        <f aca="false">IF(G32=0,0,'Station equivalents'!G6/G32*100000)</f>
        <v>12.2556529199093</v>
      </c>
      <c r="H6" s="8" t="n">
        <f aca="false">IF(H32=0,0,'Station equivalents'!H6/H32*100000)</f>
        <v>8.27814569536424</v>
      </c>
      <c r="I6" s="8" t="n">
        <f aca="false">IF(I32=0,0,'Station equivalents'!I6/I32*100000)</f>
        <v>6.37258372866955</v>
      </c>
      <c r="J6" s="8" t="n">
        <f aca="false">IF(J32=0,0,'Station equivalents'!J6/J32*100000)</f>
        <v>4.27326078286138</v>
      </c>
      <c r="K6" s="8" t="n">
        <f aca="false">IF(K32=0,0,'Station equivalents'!K6/K32*100000)</f>
        <v>2.44857982370225</v>
      </c>
      <c r="L6" s="8" t="n">
        <f aca="false">IF(L32=0,0,'Station equivalents'!L6/L32*100000)</f>
        <v>1.05199555464443</v>
      </c>
      <c r="M6" s="8" t="n">
        <f aca="false">IF(M32=0,0,'Station equivalents'!M6/M32*100000)</f>
        <v>0.673458621579859</v>
      </c>
      <c r="N6" s="8" t="n">
        <f aca="false">IF(N32=0,0,'Station equivalents'!N6/N32*100000)</f>
        <v>1.0307153164296</v>
      </c>
      <c r="O6" s="8" t="n">
        <f aca="false">IF(O32=0,0,'Station equivalents'!O6/O32*100000)</f>
        <v>1.89598220304705</v>
      </c>
      <c r="P6" s="8" t="n">
        <f aca="false">IF(P32=0,0,'Station equivalents'!P6/P32*100000)</f>
        <v>1.90472735188477</v>
      </c>
      <c r="Q6" s="8" t="n">
        <f aca="false">IF(Q32=0,0,'Station equivalents'!Q6/Q32*100000)</f>
        <v>1.88082785361372</v>
      </c>
      <c r="R6" s="8" t="n">
        <f aca="false">IF(R32=0,0,'Station equivalents'!R6/R32*100000)</f>
        <v>3.5631239805185</v>
      </c>
    </row>
    <row r="7" customFormat="false" ht="15" hidden="false" customHeight="false" outlineLevel="0" collapsed="false">
      <c r="A7" s="5" t="s">
        <v>13</v>
      </c>
      <c r="B7" s="8" t="n">
        <f aca="false">IF(B33=0,0,'Station equivalents'!B7/B33*100000)</f>
        <v>0</v>
      </c>
      <c r="C7" s="8" t="n">
        <f aca="false">IF(C33=0,0,'Station equivalents'!C7/C33*100000)</f>
        <v>0.879095118091777</v>
      </c>
      <c r="D7" s="8" t="n">
        <f aca="false">IF(D33=0,0,'Station equivalents'!D7/D33*100000)</f>
        <v>0.727519643030362</v>
      </c>
      <c r="E7" s="8" t="n">
        <f aca="false">IF(E33=0,0,'Station equivalents'!E7/E33*100000)</f>
        <v>1.05490795928055</v>
      </c>
      <c r="F7" s="8" t="n">
        <f aca="false">IF(F33=0,0,'Station equivalents'!F7/F33*100000)</f>
        <v>3.24814530902854</v>
      </c>
      <c r="G7" s="8" t="n">
        <f aca="false">IF(G33=0,0,'Station equivalents'!G7/G33*100000)</f>
        <v>6.98642769978854</v>
      </c>
      <c r="H7" s="8" t="n">
        <f aca="false">IF(H33=0,0,'Station equivalents'!H7/H33*100000)</f>
        <v>6.19917587426613</v>
      </c>
      <c r="I7" s="8" t="n">
        <f aca="false">IF(I33=0,0,'Station equivalents'!I7/I33*100000)</f>
        <v>5.06480281922919</v>
      </c>
      <c r="J7" s="8" t="n">
        <f aca="false">IF(J33=0,0,'Station equivalents'!J7/J33*100000)</f>
        <v>3.71189737346142</v>
      </c>
      <c r="K7" s="8" t="n">
        <f aca="false">IF(K33=0,0,'Station equivalents'!K7/K33*100000)</f>
        <v>2.06778938392667</v>
      </c>
      <c r="L7" s="8" t="n">
        <f aca="false">IF(L33=0,0,'Station equivalents'!L7/L33*100000)</f>
        <v>1.12702591318536</v>
      </c>
      <c r="M7" s="8" t="n">
        <f aca="false">IF(M33=0,0,'Station equivalents'!M7/M33*100000)</f>
        <v>1.47697397571855</v>
      </c>
      <c r="N7" s="8" t="n">
        <f aca="false">IF(N33=0,0,'Station equivalents'!N7/N33*100000)</f>
        <v>2.49595325226379</v>
      </c>
      <c r="O7" s="8" t="n">
        <f aca="false">IF(O33=0,0,'Station equivalents'!O7/O33*100000)</f>
        <v>3.53104747051943</v>
      </c>
      <c r="P7" s="8" t="n">
        <f aca="false">IF(P33=0,0,'Station equivalents'!P7/P33*100000)</f>
        <v>3.93921404357547</v>
      </c>
      <c r="Q7" s="8" t="n">
        <f aca="false">IF(Q33=0,0,'Station equivalents'!Q7/Q33*100000)</f>
        <v>5.91533290611485</v>
      </c>
      <c r="R7" s="8" t="n">
        <f aca="false">IF(R33=0,0,'Station equivalents'!R7/R33*100000)</f>
        <v>8.56840791149664</v>
      </c>
    </row>
    <row r="8" customFormat="false" ht="15" hidden="false" customHeight="false" outlineLevel="0" collapsed="false">
      <c r="A8" s="5" t="s">
        <v>14</v>
      </c>
      <c r="B8" s="8" t="n">
        <f aca="false">IF(B34=0,0,'Station equivalents'!B8/B34*100000)</f>
        <v>0</v>
      </c>
      <c r="C8" s="8" t="n">
        <f aca="false">IF(C34=0,0,'Station equivalents'!C8/C34*100000)</f>
        <v>6.83682771194166</v>
      </c>
      <c r="D8" s="8" t="n">
        <f aca="false">IF(D34=0,0,'Station equivalents'!D8/D34*100000)</f>
        <v>11.31648434553</v>
      </c>
      <c r="E8" s="8" t="n">
        <f aca="false">IF(E34=0,0,'Station equivalents'!E8/E34*100000)</f>
        <v>8.20456720907972</v>
      </c>
      <c r="F8" s="8" t="n">
        <f aca="false">IF(F34=0,0,'Station equivalents'!F8/F34*100000)</f>
        <v>15.1576394502829</v>
      </c>
      <c r="G8" s="8" t="n">
        <f aca="false">IF(G34=0,0,'Station equivalents'!G8/G34*100000)</f>
        <v>23.1160425335183</v>
      </c>
      <c r="H8" s="8" t="n">
        <f aca="false">IF(H34=0,0,'Station equivalents'!H8/H34*100000)</f>
        <v>20.0984825645664</v>
      </c>
      <c r="I8" s="8" t="n">
        <f aca="false">IF(I34=0,0,'Station equivalents'!I8/I34*100000)</f>
        <v>14.4880292658191</v>
      </c>
      <c r="J8" s="8" t="n">
        <f aca="false">IF(J34=0,0,'Station equivalents'!J8/J34*100000)</f>
        <v>11.2545018007203</v>
      </c>
      <c r="K8" s="8" t="n">
        <f aca="false">IF(K34=0,0,'Station equivalents'!K8/K34*100000)</f>
        <v>6.85665309620741</v>
      </c>
      <c r="L8" s="8" t="n">
        <f aca="false">IF(L34=0,0,'Station equivalents'!L8/L34*100000)</f>
        <v>2.82667200593601</v>
      </c>
      <c r="M8" s="8" t="n">
        <f aca="false">IF(M34=0,0,'Station equivalents'!M8/M34*100000)</f>
        <v>2.35678134371888</v>
      </c>
      <c r="N8" s="8" t="n">
        <f aca="false">IF(N34=0,0,'Station equivalents'!N8/N34*100000)</f>
        <v>1.20576960757223</v>
      </c>
      <c r="O8" s="8" t="n">
        <f aca="false">IF(O34=0,0,'Station equivalents'!O8/O34*100000)</f>
        <v>2.06228732661944</v>
      </c>
      <c r="P8" s="8" t="n">
        <f aca="false">IF(P34=0,0,'Station equivalents'!P8/P34*100000)</f>
        <v>1.96744963875439</v>
      </c>
      <c r="Q8" s="8" t="n">
        <f aca="false">IF(Q34=0,0,'Station equivalents'!Q8/Q34*100000)</f>
        <v>2.38549618320611</v>
      </c>
      <c r="R8" s="8" t="n">
        <f aca="false">IF(R34=0,0,'Station equivalents'!R8/R34*100000)</f>
        <v>3.28750893079468</v>
      </c>
    </row>
    <row r="9" customFormat="false" ht="15" hidden="false" customHeight="false" outlineLevel="0" collapsed="false">
      <c r="A9" s="5" t="s">
        <v>15</v>
      </c>
      <c r="B9" s="8" t="n">
        <f aca="false">IF(B35=0,0,'Station equivalents'!B9/B35*100000)</f>
        <v>0</v>
      </c>
      <c r="C9" s="8" t="n">
        <f aca="false">IF(C35=0,0,'Station equivalents'!C9/C35*100000)</f>
        <v>0</v>
      </c>
      <c r="D9" s="8" t="n">
        <f aca="false">IF(D35=0,0,'Station equivalents'!D9/D35*100000)</f>
        <v>0</v>
      </c>
      <c r="E9" s="8" t="n">
        <f aca="false">IF(E35=0,0,'Station equivalents'!E9/E35*100000)</f>
        <v>0</v>
      </c>
      <c r="F9" s="8" t="n">
        <f aca="false">IF(F35=0,0,'Station equivalents'!F9/F35*100000)</f>
        <v>0</v>
      </c>
      <c r="G9" s="8" t="n">
        <f aca="false">IF(G35=0,0,'Station equivalents'!G9/G35*100000)</f>
        <v>0</v>
      </c>
      <c r="H9" s="8" t="n">
        <f aca="false">IF(H35=0,0,'Station equivalents'!H9/H35*100000)</f>
        <v>0</v>
      </c>
      <c r="I9" s="8" t="n">
        <f aca="false">IF(I35=0,0,'Station equivalents'!I9/I35*100000)</f>
        <v>0</v>
      </c>
      <c r="J9" s="8" t="n">
        <f aca="false">IF(J35=0,0,'Station equivalents'!J9/J35*100000)</f>
        <v>0</v>
      </c>
      <c r="K9" s="8" t="n">
        <f aca="false">IF(K35=0,0,'Station equivalents'!K9/K35*100000)</f>
        <v>0</v>
      </c>
      <c r="L9" s="8" t="n">
        <f aca="false">IF(L35=0,0,'Station equivalents'!L9/L35*100000)</f>
        <v>0</v>
      </c>
      <c r="M9" s="8" t="n">
        <f aca="false">IF(M35=0,0,'Station equivalents'!M9/M35*100000)</f>
        <v>0</v>
      </c>
      <c r="N9" s="8" t="n">
        <f aca="false">IF(N35=0,0,'Station equivalents'!N9/N35*100000)</f>
        <v>0</v>
      </c>
      <c r="O9" s="8" t="n">
        <f aca="false">IF(O35=0,0,'Station equivalents'!O9/O35*100000)</f>
        <v>0</v>
      </c>
      <c r="P9" s="8" t="n">
        <f aca="false">IF(P35=0,0,'Station equivalents'!P9/P35*100000)</f>
        <v>0</v>
      </c>
      <c r="Q9" s="8" t="n">
        <f aca="false">IF(Q35=0,0,'Station equivalents'!Q9/Q35*100000)</f>
        <v>0</v>
      </c>
      <c r="R9" s="8" t="n">
        <f aca="false">IF(R35=0,0,'Station equivalents'!R9/R35*100000)</f>
        <v>0</v>
      </c>
    </row>
    <row r="10" customFormat="false" ht="15" hidden="false" customHeight="false" outlineLevel="0" collapsed="false">
      <c r="A10" s="5" t="s">
        <v>16</v>
      </c>
      <c r="B10" s="8" t="n">
        <f aca="false">IF(B36=0,0,'Station equivalents'!B10/B36*100000)</f>
        <v>1.2586884466386</v>
      </c>
      <c r="C10" s="8" t="n">
        <f aca="false">IF(C36=0,0,'Station equivalents'!C10/C36*100000)</f>
        <v>1.92300296142456</v>
      </c>
      <c r="D10" s="8" t="n">
        <f aca="false">IF(D36=0,0,'Station equivalents'!D10/D36*100000)</f>
        <v>2.54631103189255</v>
      </c>
      <c r="E10" s="8" t="n">
        <f aca="false">IF(E36=0,0,'Station equivalents'!E10/E36*100000)</f>
        <v>2.76912426445137</v>
      </c>
      <c r="F10" s="8" t="n">
        <f aca="false">IF(F36=0,0,'Station equivalents'!F10/F36*100000)</f>
        <v>5.11584547872945</v>
      </c>
      <c r="G10" s="8" t="n">
        <f aca="false">IF(G36=0,0,'Station equivalents'!G10/G36*100000)</f>
        <v>11.587246818657</v>
      </c>
      <c r="H10" s="8" t="n">
        <f aca="false">IF(H36=0,0,'Station equivalents'!H10/H36*100000)</f>
        <v>11.0382586043226</v>
      </c>
      <c r="I10" s="8" t="n">
        <f aca="false">IF(I36=0,0,'Station equivalents'!I10/I36*100000)</f>
        <v>9.31685435893266</v>
      </c>
      <c r="J10" s="8" t="n">
        <f aca="false">IF(J36=0,0,'Station equivalents'!J10/J36*100000)</f>
        <v>7.05014598664362</v>
      </c>
      <c r="K10" s="8" t="n">
        <f aca="false">IF(K36=0,0,'Station equivalents'!K10/K36*100000)</f>
        <v>3.90516436608778</v>
      </c>
      <c r="L10" s="8" t="n">
        <f aca="false">IF(L36=0,0,'Station equivalents'!L10/L36*100000)</f>
        <v>1.68695701071218</v>
      </c>
      <c r="M10" s="8" t="n">
        <f aca="false">IF(M36=0,0,'Station equivalents'!M10/M36*100000)</f>
        <v>2.8527101843948</v>
      </c>
      <c r="N10" s="8" t="n">
        <f aca="false">IF(N36=0,0,'Station equivalents'!N10/N36*100000)</f>
        <v>4.60132297238102</v>
      </c>
      <c r="O10" s="8" t="n">
        <f aca="false">IF(O36=0,0,'Station equivalents'!O10/O36*100000)</f>
        <v>6.20847036713873</v>
      </c>
      <c r="P10" s="8" t="n">
        <f aca="false">IF(P36=0,0,'Station equivalents'!P10/P36*100000)</f>
        <v>6.97329807943749</v>
      </c>
      <c r="Q10" s="8" t="n">
        <f aca="false">IF(Q36=0,0,'Station equivalents'!Q10/Q36*100000)</f>
        <v>9.30746797384884</v>
      </c>
      <c r="R10" s="8" t="n">
        <f aca="false">IF(R36=0,0,'Station equivalents'!R10/R36*100000)</f>
        <v>12.2370320434378</v>
      </c>
    </row>
    <row r="11" customFormat="false" ht="15" hidden="false" customHeight="false" outlineLevel="0" collapsed="false">
      <c r="A11" s="5" t="s">
        <v>17</v>
      </c>
      <c r="B11" s="8" t="n">
        <f aca="false">IF(B37=0,0,'Station equivalents'!B11/B37*100000)</f>
        <v>6.71291116580891</v>
      </c>
      <c r="C11" s="8" t="n">
        <f aca="false">IF(C37=0,0,'Station equivalents'!C11/C37*100000)</f>
        <v>6.15384615384615</v>
      </c>
      <c r="D11" s="8" t="n">
        <f aca="false">IF(D37=0,0,'Station equivalents'!D11/D37*100000)</f>
        <v>10.185028008827</v>
      </c>
      <c r="E11" s="8" t="n">
        <f aca="false">IF(E37=0,0,'Station equivalents'!E11/E37*100000)</f>
        <v>11.0769230769231</v>
      </c>
      <c r="F11" s="8" t="n">
        <f aca="false">IF(F37=0,0,'Station equivalents'!F11/F37*100000)</f>
        <v>22.737608003638</v>
      </c>
      <c r="G11" s="8" t="n">
        <f aca="false">IF(G37=0,0,'Station equivalents'!G11/G37*100000)</f>
        <v>17.4545454545455</v>
      </c>
      <c r="H11" s="8" t="n">
        <f aca="false">IF(H37=0,0,'Station equivalents'!H11/H37*100000)</f>
        <v>12.5209485100071</v>
      </c>
      <c r="I11" s="8" t="n">
        <f aca="false">IF(I37=0,0,'Station equivalents'!I11/I37*100000)</f>
        <v>9.15427570062903</v>
      </c>
      <c r="J11" s="8" t="n">
        <f aca="false">IF(J37=0,0,'Station equivalents'!J11/J37*100000)</f>
        <v>6.11268294386811</v>
      </c>
      <c r="K11" s="8" t="n">
        <f aca="false">IF(K37=0,0,'Station equivalents'!K11/K37*100000)</f>
        <v>3.36859783335693</v>
      </c>
      <c r="L11" s="8" t="n">
        <f aca="false">IF(L37=0,0,'Station equivalents'!L11/L37*100000)</f>
        <v>1.07047895300252</v>
      </c>
      <c r="M11" s="8" t="n">
        <f aca="false">IF(M37=0,0,'Station equivalents'!M11/M37*100000)</f>
        <v>0.758784831385364</v>
      </c>
      <c r="N11" s="8" t="n">
        <f aca="false">IF(N37=0,0,'Station equivalents'!N11/N37*100000)</f>
        <v>1.42067981180948</v>
      </c>
      <c r="O11" s="8" t="n">
        <f aca="false">IF(O37=0,0,'Station equivalents'!O11/O37*100000)</f>
        <v>2.23962752786128</v>
      </c>
      <c r="P11" s="8" t="n">
        <f aca="false">IF(P37=0,0,'Station equivalents'!P11/P37*100000)</f>
        <v>2.36333528119643</v>
      </c>
      <c r="Q11" s="8" t="n">
        <f aca="false">IF(Q37=0,0,'Station equivalents'!Q11/Q37*100000)</f>
        <v>3.15406334438661</v>
      </c>
      <c r="R11" s="8" t="n">
        <f aca="false">IF(R37=0,0,'Station equivalents'!R11/R37*100000)</f>
        <v>4.55106783903538</v>
      </c>
    </row>
    <row r="12" customFormat="false" ht="15" hidden="false" customHeight="false" outlineLevel="0" collapsed="false">
      <c r="A12" s="5" t="s">
        <v>18</v>
      </c>
      <c r="B12" s="8" t="n">
        <f aca="false">IF(B38=0,0,'Station equivalents'!B12/B38*100000)</f>
        <v>0</v>
      </c>
      <c r="C12" s="8" t="n">
        <f aca="false">IF(C38=0,0,'Station equivalents'!C12/C38*100000)</f>
        <v>0</v>
      </c>
      <c r="D12" s="8" t="n">
        <f aca="false">IF(D38=0,0,'Station equivalents'!D12/D38*100000)</f>
        <v>0</v>
      </c>
      <c r="E12" s="8" t="n">
        <f aca="false">IF(E38=0,0,'Station equivalents'!E12/E38*100000)</f>
        <v>0</v>
      </c>
      <c r="F12" s="8" t="n">
        <f aca="false">IF(F38=0,0,'Station equivalents'!F12/F38*100000)</f>
        <v>10.1050929668553</v>
      </c>
      <c r="G12" s="8" t="n">
        <f aca="false">IF(G38=0,0,'Station equivalents'!G12/G38*100000)</f>
        <v>20.2047413793103</v>
      </c>
      <c r="H12" s="8" t="n">
        <f aca="false">IF(H38=0,0,'Station equivalents'!H12/H38*100000)</f>
        <v>15.4591363495826</v>
      </c>
      <c r="I12" s="8" t="n">
        <f aca="false">IF(I38=0,0,'Station equivalents'!I12/I38*100000)</f>
        <v>11.1748491395366</v>
      </c>
      <c r="J12" s="8" t="n">
        <f aca="false">IF(J38=0,0,'Station equivalents'!J12/J38*100000)</f>
        <v>7.72837343500438</v>
      </c>
      <c r="K12" s="8" t="n">
        <f aca="false">IF(K38=0,0,'Station equivalents'!K12/K38*100000)</f>
        <v>5.30269553689792</v>
      </c>
      <c r="L12" s="8" t="n">
        <f aca="false">IF(L38=0,0,'Station equivalents'!L12/L38*100000)</f>
        <v>1.00551019587339</v>
      </c>
      <c r="M12" s="8" t="n">
        <f aca="false">IF(M38=0,0,'Station equivalents'!M12/M38*100000)</f>
        <v>0.502795753889858</v>
      </c>
      <c r="N12" s="8" t="n">
        <f aca="false">IF(N38=0,0,'Station equivalents'!N12/N38*100000)</f>
        <v>1.40258109986903</v>
      </c>
      <c r="O12" s="8" t="n">
        <f aca="false">IF(O38=0,0,'Station equivalents'!O12/O38*100000)</f>
        <v>2.09670727735868</v>
      </c>
      <c r="P12" s="8" t="n">
        <f aca="false">IF(P38=0,0,'Station equivalents'!P12/P38*100000)</f>
        <v>2.62568650761814</v>
      </c>
      <c r="Q12" s="8" t="n">
        <f aca="false">IF(Q38=0,0,'Station equivalents'!Q12/Q38*100000)</f>
        <v>4.0850736093837</v>
      </c>
      <c r="R12" s="8" t="n">
        <f aca="false">IF(R38=0,0,'Station equivalents'!R12/R38*100000)</f>
        <v>5.33735282126046</v>
      </c>
    </row>
    <row r="13" customFormat="false" ht="15" hidden="false" customHeight="false" outlineLevel="0" collapsed="false">
      <c r="A13" s="5" t="s">
        <v>19</v>
      </c>
      <c r="B13" s="8" t="n">
        <f aca="false">IF(B39=0,0,'Station equivalents'!B13/B39*100000)</f>
        <v>0</v>
      </c>
      <c r="C13" s="8" t="n">
        <f aca="false">IF(C39=0,0,'Station equivalents'!C13/C39*100000)</f>
        <v>0</v>
      </c>
      <c r="D13" s="8" t="n">
        <f aca="false">IF(D39=0,0,'Station equivalents'!D13/D39*100000)</f>
        <v>0</v>
      </c>
      <c r="E13" s="8" t="n">
        <f aca="false">IF(E39=0,0,'Station equivalents'!E13/E39*100000)</f>
        <v>0</v>
      </c>
      <c r="F13" s="8" t="n">
        <f aca="false">IF(F39=0,0,'Station equivalents'!F13/F39*100000)</f>
        <v>0</v>
      </c>
      <c r="G13" s="8" t="n">
        <f aca="false">IF(G39=0,0,'Station equivalents'!G13/G39*100000)</f>
        <v>5.59315397952906</v>
      </c>
      <c r="H13" s="8" t="n">
        <f aca="false">IF(H39=0,0,'Station equivalents'!H13/H39*100000)</f>
        <v>4.42184390891002</v>
      </c>
      <c r="I13" s="8" t="n">
        <f aca="false">IF(I39=0,0,'Station equivalents'!I13/I39*100000)</f>
        <v>3.24812420826972</v>
      </c>
      <c r="J13" s="8" t="n">
        <f aca="false">IF(J39=0,0,'Station equivalents'!J13/J39*100000)</f>
        <v>2.26813944521309</v>
      </c>
      <c r="K13" s="8" t="n">
        <f aca="false">IF(K39=0,0,'Station equivalents'!K13/K39*100000)</f>
        <v>1.30512522676551</v>
      </c>
      <c r="L13" s="8" t="n">
        <f aca="false">IF(L39=0,0,'Station equivalents'!L13/L39*100000)</f>
        <v>0.668357217275068</v>
      </c>
      <c r="M13" s="8" t="n">
        <f aca="false">IF(M39=0,0,'Station equivalents'!M13/M39*100000)</f>
        <v>0.766144092550206</v>
      </c>
      <c r="N13" s="8" t="n">
        <f aca="false">IF(N39=0,0,'Station equivalents'!N13/N39*100000)</f>
        <v>1.06150889528611</v>
      </c>
      <c r="O13" s="8" t="n">
        <f aca="false">IF(O39=0,0,'Station equivalents'!O13/O39*100000)</f>
        <v>1.2411950628615</v>
      </c>
      <c r="P13" s="8" t="n">
        <f aca="false">IF(P39=0,0,'Station equivalents'!P13/P39*100000)</f>
        <v>1.36465421523078</v>
      </c>
      <c r="Q13" s="8" t="n">
        <f aca="false">IF(Q39=0,0,'Station equivalents'!Q13/Q39*100000)</f>
        <v>1.64116255990519</v>
      </c>
      <c r="R13" s="8" t="n">
        <f aca="false">IF(R39=0,0,'Station equivalents'!R13/R39*100000)</f>
        <v>2.8112445423174</v>
      </c>
    </row>
    <row r="14" customFormat="false" ht="15" hidden="false" customHeight="false" outlineLevel="0" collapsed="false">
      <c r="A14" s="5" t="s">
        <v>20</v>
      </c>
      <c r="B14" s="8" t="n">
        <f aca="false">IF(B40=0,0,'Station equivalents'!B14/B40*100000)</f>
        <v>0</v>
      </c>
      <c r="C14" s="8" t="n">
        <f aca="false">IF(C40=0,0,'Station equivalents'!C14/C40*100000)</f>
        <v>0</v>
      </c>
      <c r="D14" s="8" t="n">
        <f aca="false">IF(D40=0,0,'Station equivalents'!D14/D40*100000)</f>
        <v>0</v>
      </c>
      <c r="E14" s="8" t="n">
        <f aca="false">IF(E40=0,0,'Station equivalents'!E14/E40*100000)</f>
        <v>0</v>
      </c>
      <c r="F14" s="8" t="n">
        <f aca="false">IF(F40=0,0,'Station equivalents'!F14/F40*100000)</f>
        <v>0</v>
      </c>
      <c r="G14" s="8" t="n">
        <f aca="false">IF(G40=0,0,'Station equivalents'!G14/G40*100000)</f>
        <v>9.68992248062015</v>
      </c>
      <c r="H14" s="8" t="n">
        <f aca="false">IF(H40=0,0,'Station equivalents'!H14/H40*100000)</f>
        <v>7.68757687576876</v>
      </c>
      <c r="I14" s="8" t="n">
        <f aca="false">IF(I40=0,0,'Station equivalents'!I14/I40*100000)</f>
        <v>5.65738854944558</v>
      </c>
      <c r="J14" s="8" t="n">
        <f aca="false">IF(J40=0,0,'Station equivalents'!J14/J40*100000)</f>
        <v>3.95475757336075</v>
      </c>
      <c r="K14" s="8" t="n">
        <f aca="false">IF(K40=0,0,'Station equivalents'!K14/K40*100000)</f>
        <v>2.27738556137554</v>
      </c>
      <c r="L14" s="8" t="n">
        <f aca="false">IF(L40=0,0,'Station equivalents'!L14/L40*100000)</f>
        <v>0</v>
      </c>
      <c r="M14" s="8" t="n">
        <f aca="false">IF(M40=0,0,'Station equivalents'!M14/M40*100000)</f>
        <v>0.397725012926063</v>
      </c>
      <c r="N14" s="8" t="n">
        <f aca="false">IF(N40=0,0,'Station equivalents'!N14/N40*100000)</f>
        <v>0.346610438751047</v>
      </c>
      <c r="O14" s="8" t="n">
        <f aca="false">IF(O40=0,0,'Station equivalents'!O14/O40*100000)</f>
        <v>0.307627627011757</v>
      </c>
      <c r="P14" s="8" t="n">
        <f aca="false">IF(P40=0,0,'Station equivalents'!P14/P40*100000)</f>
        <v>0.135104706147264</v>
      </c>
      <c r="Q14" s="8" t="n">
        <f aca="false">IF(Q40=0,0,'Station equivalents'!Q14/Q40*100000)</f>
        <v>0.125477861522632</v>
      </c>
      <c r="R14" s="8" t="n">
        <f aca="false">IF(R40=0,0,'Station equivalents'!R14/R40*100000)</f>
        <v>0.121152401644442</v>
      </c>
    </row>
    <row r="15" customFormat="false" ht="15" hidden="false" customHeight="false" outlineLevel="0" collapsed="false">
      <c r="A15" s="5" t="s">
        <v>21</v>
      </c>
      <c r="B15" s="8" t="n">
        <f aca="false">IF(B41=0,0,'Station equivalents'!B15/B41*100000)</f>
        <v>1.79013634871856</v>
      </c>
      <c r="C15" s="8" t="n">
        <f aca="false">IF(C41=0,0,'Station equivalents'!C15/C41*100000)</f>
        <v>2.46143747948802</v>
      </c>
      <c r="D15" s="8" t="n">
        <f aca="false">IF(D41=0,0,'Station equivalents'!D15/D41*100000)</f>
        <v>2.71603820560409</v>
      </c>
      <c r="E15" s="8" t="n">
        <f aca="false">IF(E41=0,0,'Station equivalents'!E15/E41*100000)</f>
        <v>2.95372497538563</v>
      </c>
      <c r="F15" s="8" t="n">
        <f aca="false">IF(F41=0,0,'Station equivalents'!F15/F41*100000)</f>
        <v>7.27590221187427</v>
      </c>
      <c r="G15" s="8" t="n">
        <f aca="false">IF(G41=0,0,'Station equivalents'!G15/G41*100000)</f>
        <v>12.7071722911032</v>
      </c>
      <c r="H15" s="8" t="n">
        <f aca="false">IF(H41=0,0,'Station equivalents'!H15/H41*100000)</f>
        <v>10.8161116799585</v>
      </c>
      <c r="I15" s="8" t="n">
        <f aca="false">IF(I41=0,0,'Station equivalents'!I15/I41*100000)</f>
        <v>8.49590603527925</v>
      </c>
      <c r="J15" s="8" t="n">
        <f aca="false">IF(J41=0,0,'Station equivalents'!J15/J41*100000)</f>
        <v>5.94137349701817</v>
      </c>
      <c r="K15" s="8" t="n">
        <f aca="false">IF(K41=0,0,'Station equivalents'!K15/K41*100000)</f>
        <v>3.31527400204905</v>
      </c>
      <c r="L15" s="8" t="n">
        <f aca="false">IF(L41=0,0,'Station equivalents'!L15/L41*100000)</f>
        <v>1.75527722409658</v>
      </c>
      <c r="M15" s="8" t="n">
        <f aca="false">IF(M41=0,0,'Station equivalents'!M15/M41*100000)</f>
        <v>1.89356828948213</v>
      </c>
      <c r="N15" s="8" t="n">
        <f aca="false">IF(N41=0,0,'Station equivalents'!N15/N41*100000)</f>
        <v>3.01991301177398</v>
      </c>
      <c r="O15" s="8" t="n">
        <f aca="false">IF(O41=0,0,'Station equivalents'!O15/O41*100000)</f>
        <v>4.17825928802462</v>
      </c>
      <c r="P15" s="8" t="n">
        <f aca="false">IF(P41=0,0,'Station equivalents'!P15/P41*100000)</f>
        <v>4.67899274047187</v>
      </c>
      <c r="Q15" s="8" t="n">
        <f aca="false">IF(Q41=0,0,'Station equivalents'!Q15/Q41*100000)</f>
        <v>4.96126193049406</v>
      </c>
      <c r="R15" s="8" t="n">
        <f aca="false">IF(R41=0,0,'Station equivalents'!R15/R41*100000)</f>
        <v>6.80387000265399</v>
      </c>
    </row>
    <row r="16" customFormat="false" ht="15" hidden="false" customHeight="false" outlineLevel="0" collapsed="false">
      <c r="A16" s="5" t="s">
        <v>22</v>
      </c>
      <c r="B16" s="8" t="n">
        <f aca="false">IF(B42=0,0,'Station equivalents'!B16/B42*100000)</f>
        <v>0</v>
      </c>
      <c r="C16" s="8" t="n">
        <f aca="false">IF(C42=0,0,'Station equivalents'!C16/C42*100000)</f>
        <v>0</v>
      </c>
      <c r="D16" s="8" t="n">
        <f aca="false">IF(D42=0,0,'Station equivalents'!D16/D42*100000)</f>
        <v>0</v>
      </c>
      <c r="E16" s="8" t="n">
        <f aca="false">IF(E42=0,0,'Station equivalents'!E16/E42*100000)</f>
        <v>0</v>
      </c>
      <c r="F16" s="8" t="n">
        <f aca="false">IF(F42=0,0,'Station equivalents'!F16/F42*100000)</f>
        <v>0</v>
      </c>
      <c r="G16" s="8" t="n">
        <f aca="false">IF(G42=0,0,'Station equivalents'!G16/G42*100000)</f>
        <v>0</v>
      </c>
      <c r="H16" s="8" t="n">
        <f aca="false">IF(H42=0,0,'Station equivalents'!H16/H42*100000)</f>
        <v>0</v>
      </c>
      <c r="I16" s="8" t="n">
        <f aca="false">IF(I42=0,0,'Station equivalents'!I16/I42*100000)</f>
        <v>0</v>
      </c>
      <c r="J16" s="8" t="n">
        <f aca="false">IF(J42=0,0,'Station equivalents'!J16/J42*100000)</f>
        <v>0</v>
      </c>
      <c r="K16" s="8" t="n">
        <f aca="false">IF(K42=0,0,'Station equivalents'!K16/K42*100000)</f>
        <v>0</v>
      </c>
      <c r="L16" s="8" t="n">
        <f aca="false">IF(L42=0,0,'Station equivalents'!L16/L42*100000)</f>
        <v>0</v>
      </c>
      <c r="M16" s="8" t="n">
        <f aca="false">IF(M42=0,0,'Station equivalents'!M16/M42*100000)</f>
        <v>0</v>
      </c>
      <c r="N16" s="8" t="n">
        <f aca="false">IF(N42=0,0,'Station equivalents'!N16/N42*100000)</f>
        <v>0</v>
      </c>
      <c r="O16" s="8" t="n">
        <f aca="false">IF(O42=0,0,'Station equivalents'!O16/O42*100000)</f>
        <v>0</v>
      </c>
      <c r="P16" s="8" t="n">
        <f aca="false">IF(P42=0,0,'Station equivalents'!P16/P42*100000)</f>
        <v>0</v>
      </c>
      <c r="Q16" s="8" t="n">
        <f aca="false">IF(Q42=0,0,'Station equivalents'!Q16/Q42*100000)</f>
        <v>0</v>
      </c>
      <c r="R16" s="8" t="n">
        <f aca="false">IF(R42=0,0,'Station equivalents'!R16/R42*100000)</f>
        <v>0</v>
      </c>
    </row>
    <row r="17" customFormat="false" ht="15" hidden="false" customHeight="false" outlineLevel="0" collapsed="false">
      <c r="A17" s="5" t="s">
        <v>23</v>
      </c>
      <c r="B17" s="8" t="n">
        <f aca="false">IF(B43=0,0,'Station equivalents'!B17/B43*100000)</f>
        <v>0</v>
      </c>
      <c r="C17" s="8" t="n">
        <f aca="false">IF(C43=0,0,'Station equivalents'!C17/C43*100000)</f>
        <v>0</v>
      </c>
      <c r="D17" s="8" t="n">
        <f aca="false">IF(D43=0,0,'Station equivalents'!D17/D43*100000)</f>
        <v>0</v>
      </c>
      <c r="E17" s="8" t="n">
        <f aca="false">IF(E43=0,0,'Station equivalents'!E17/E43*100000)</f>
        <v>0</v>
      </c>
      <c r="F17" s="8" t="n">
        <f aca="false">IF(F43=0,0,'Station equivalents'!F17/F43*100000)</f>
        <v>0</v>
      </c>
      <c r="G17" s="8" t="n">
        <f aca="false">IF(G43=0,0,'Station equivalents'!G17/G43*100000)</f>
        <v>0</v>
      </c>
      <c r="H17" s="8" t="n">
        <f aca="false">IF(H43=0,0,'Station equivalents'!H17/H43*100000)</f>
        <v>0</v>
      </c>
      <c r="I17" s="8" t="n">
        <f aca="false">IF(I43=0,0,'Station equivalents'!I17/I43*100000)</f>
        <v>0</v>
      </c>
      <c r="J17" s="8" t="n">
        <f aca="false">IF(J43=0,0,'Station equivalents'!J17/J43*100000)</f>
        <v>0</v>
      </c>
      <c r="K17" s="8" t="n">
        <f aca="false">IF(K43=0,0,'Station equivalents'!K17/K43*100000)</f>
        <v>0</v>
      </c>
      <c r="L17" s="8" t="n">
        <f aca="false">IF(L43=0,0,'Station equivalents'!L17/L43*100000)</f>
        <v>0</v>
      </c>
      <c r="M17" s="8" t="n">
        <f aca="false">IF(M43=0,0,'Station equivalents'!M17/M43*100000)</f>
        <v>0</v>
      </c>
      <c r="N17" s="8" t="n">
        <f aca="false">IF(N43=0,0,'Station equivalents'!N17/N43*100000)</f>
        <v>0.408377177160826</v>
      </c>
      <c r="O17" s="8" t="n">
        <f aca="false">IF(O43=0,0,'Station equivalents'!O17/O43*100000)</f>
        <v>0.290275761973875</v>
      </c>
      <c r="P17" s="8" t="n">
        <f aca="false">IF(P43=0,0,'Station equivalents'!P17/P43*100000)</f>
        <v>0.0990785693054592</v>
      </c>
      <c r="Q17" s="8" t="n">
        <f aca="false">IF(Q43=0,0,'Station equivalents'!Q17/Q43*100000)</f>
        <v>0.0832720358624901</v>
      </c>
      <c r="R17" s="8" t="n">
        <f aca="false">IF(R43=0,0,'Station equivalents'!R17/R43*100000)</f>
        <v>1.42743166808135</v>
      </c>
    </row>
    <row r="18" customFormat="false" ht="15" hidden="false" customHeight="false" outlineLevel="0" collapsed="false">
      <c r="A18" s="5" t="s">
        <v>24</v>
      </c>
      <c r="B18" s="8" t="n">
        <f aca="false">IF(B44=0,0,'Station equivalents'!B18/B44*100000)</f>
        <v>0</v>
      </c>
      <c r="C18" s="8" t="n">
        <f aca="false">IF(C44=0,0,'Station equivalents'!C18/C44*100000)</f>
        <v>10.2564102564103</v>
      </c>
      <c r="D18" s="8" t="n">
        <f aca="false">IF(D44=0,0,'Station equivalents'!D18/D44*100000)</f>
        <v>8.48656294200849</v>
      </c>
      <c r="E18" s="8" t="n">
        <f aca="false">IF(E44=0,0,'Station equivalents'!E18/E44*100000)</f>
        <v>12.3076923076923</v>
      </c>
      <c r="F18" s="8" t="n">
        <f aca="false">IF(F44=0,0,'Station equivalents'!F18/F44*100000)</f>
        <v>15.1584053357587</v>
      </c>
      <c r="G18" s="8" t="n">
        <f aca="false">IF(G44=0,0,'Station equivalents'!G18/G44*100000)</f>
        <v>36.7017372155615</v>
      </c>
      <c r="H18" s="8" t="n">
        <f aca="false">IF(H44=0,0,'Station equivalents'!H18/H44*100000)</f>
        <v>29.9790146897172</v>
      </c>
      <c r="I18" s="8" t="n">
        <f aca="false">IF(I44=0,0,'Station equivalents'!I18/I44*100000)</f>
        <v>22.3964165733483</v>
      </c>
      <c r="J18" s="8" t="n">
        <f aca="false">IF(J44=0,0,'Station equivalents'!J18/J44*100000)</f>
        <v>15.8002844051193</v>
      </c>
      <c r="K18" s="8" t="n">
        <f aca="false">IF(K44=0,0,'Station equivalents'!K18/K44*100000)</f>
        <v>9.15555284279916</v>
      </c>
      <c r="L18" s="8" t="n">
        <f aca="false">IF(L44=0,0,'Station equivalents'!L18/L44*100000)</f>
        <v>4.24871313015769</v>
      </c>
      <c r="M18" s="8" t="n">
        <f aca="false">IF(M44=0,0,'Station equivalents'!M18/M44*100000)</f>
        <v>1.14749959837514</v>
      </c>
      <c r="N18" s="8" t="n">
        <f aca="false">IF(N44=0,0,'Station equivalents'!N18/N44*100000)</f>
        <v>0.650452335394906</v>
      </c>
      <c r="O18" s="8" t="n">
        <f aca="false">IF(O44=0,0,'Station equivalents'!O18/O44*100000)</f>
        <v>1.19620678702982</v>
      </c>
      <c r="P18" s="8" t="n">
        <f aca="false">IF(P44=0,0,'Station equivalents'!P18/P44*100000)</f>
        <v>0.945372915237864</v>
      </c>
      <c r="Q18" s="8" t="n">
        <f aca="false">IF(Q44=0,0,'Station equivalents'!Q18/Q44*100000)</f>
        <v>1.44489345447894</v>
      </c>
      <c r="R18" s="8" t="n">
        <f aca="false">IF(R44=0,0,'Station equivalents'!R18/R44*100000)</f>
        <v>1.82875952955161</v>
      </c>
    </row>
    <row r="19" customFormat="false" ht="15" hidden="false" customHeight="false" outlineLevel="0" collapsed="false">
      <c r="A19" s="5" t="s">
        <v>25</v>
      </c>
      <c r="B19" s="8" t="n">
        <f aca="false">IF(B45=0,0,'Station equivalents'!B19/B45*100000)</f>
        <v>0.78976465013426</v>
      </c>
      <c r="C19" s="8" t="n">
        <f aca="false">IF(C45=0,0,'Station equivalents'!C19/C45*100000)</f>
        <v>1.44791138782307</v>
      </c>
      <c r="D19" s="8" t="n">
        <f aca="false">IF(D45=0,0,'Station equivalents'!D19/D45*100000)</f>
        <v>1.79741172711296</v>
      </c>
      <c r="E19" s="8" t="n">
        <f aca="false">IF(E45=0,0,'Station equivalents'!E19/E45*100000)</f>
        <v>1.73749366538768</v>
      </c>
      <c r="F19" s="8" t="n">
        <f aca="false">IF(F45=0,0,'Station equivalents'!F19/F45*100000)</f>
        <v>3.74491761181254</v>
      </c>
      <c r="G19" s="8" t="n">
        <f aca="false">IF(G45=0,0,'Station equivalents'!G19/G45*100000)</f>
        <v>6.71281102691091</v>
      </c>
      <c r="H19" s="8" t="n">
        <f aca="false">IF(H45=0,0,'Station equivalents'!H19/H45*100000)</f>
        <v>5.78676913105875</v>
      </c>
      <c r="I19" s="8" t="n">
        <f aca="false">IF(I45=0,0,'Station equivalents'!I19/I45*100000)</f>
        <v>4.63235913416997</v>
      </c>
      <c r="J19" s="8" t="n">
        <f aca="false">IF(J45=0,0,'Station equivalents'!J19/J45*100000)</f>
        <v>3.21659058942561</v>
      </c>
      <c r="K19" s="8" t="n">
        <f aca="false">IF(K45=0,0,'Station equivalents'!K19/K45*100000)</f>
        <v>1.70989459002763</v>
      </c>
      <c r="L19" s="8" t="n">
        <f aca="false">IF(L45=0,0,'Station equivalents'!L19/L45*100000)</f>
        <v>0.992097611822629</v>
      </c>
      <c r="M19" s="8" t="n">
        <f aca="false">IF(M45=0,0,'Station equivalents'!M19/M45*100000)</f>
        <v>1.29051907258137</v>
      </c>
      <c r="N19" s="8" t="n">
        <f aca="false">IF(N45=0,0,'Station equivalents'!N19/N45*100000)</f>
        <v>2.39574192952478</v>
      </c>
      <c r="O19" s="8" t="n">
        <f aca="false">IF(O45=0,0,'Station equivalents'!O19/O45*100000)</f>
        <v>3.56023924807747</v>
      </c>
      <c r="P19" s="8" t="n">
        <f aca="false">IF(P45=0,0,'Station equivalents'!P19/P45*100000)</f>
        <v>4.0189625890762</v>
      </c>
      <c r="Q19" s="8" t="n">
        <f aca="false">IF(Q45=0,0,'Station equivalents'!Q19/Q45*100000)</f>
        <v>4.26935945686323</v>
      </c>
      <c r="R19" s="8" t="n">
        <f aca="false">IF(R45=0,0,'Station equivalents'!R19/R45*100000)</f>
        <v>7.75291635865352</v>
      </c>
    </row>
    <row r="20" customFormat="false" ht="15" hidden="false" customHeight="false" outlineLevel="0" collapsed="false">
      <c r="A20" s="5" t="s">
        <v>26</v>
      </c>
      <c r="B20" s="8" t="n">
        <f aca="false">IF(B46=0,0,'Station equivalents'!B20/B46*100000)</f>
        <v>0</v>
      </c>
      <c r="C20" s="8" t="n">
        <f aca="false">IF(C46=0,0,'Station equivalents'!C20/C46*100000)</f>
        <v>0</v>
      </c>
      <c r="D20" s="8" t="n">
        <f aca="false">IF(D46=0,0,'Station equivalents'!D20/D46*100000)</f>
        <v>0</v>
      </c>
      <c r="E20" s="8" t="n">
        <f aca="false">IF(E46=0,0,'Station equivalents'!E20/E46*100000)</f>
        <v>0</v>
      </c>
      <c r="F20" s="8" t="n">
        <f aca="false">IF(F46=0,0,'Station equivalents'!F20/F46*100000)</f>
        <v>0</v>
      </c>
      <c r="G20" s="8" t="n">
        <f aca="false">IF(G46=0,0,'Station equivalents'!G20/G46*100000)</f>
        <v>17.8179010512562</v>
      </c>
      <c r="H20" s="8" t="n">
        <f aca="false">IF(H46=0,0,'Station equivalents'!H20/H46*100000)</f>
        <v>17.0241743275451</v>
      </c>
      <c r="I20" s="8" t="n">
        <f aca="false">IF(I46=0,0,'Station equivalents'!I20/I46*100000)</f>
        <v>13.978194017333</v>
      </c>
      <c r="J20" s="8" t="n">
        <f aca="false">IF(J46=0,0,'Station equivalents'!J20/J46*100000)</f>
        <v>12.2583356682544</v>
      </c>
      <c r="K20" s="8" t="n">
        <f aca="false">IF(K46=0,0,'Station equivalents'!K20/K46*100000)</f>
        <v>7.43383883437407</v>
      </c>
      <c r="L20" s="8" t="n">
        <f aca="false">IF(L46=0,0,'Station equivalents'!L20/L46*100000)</f>
        <v>3.97834642872366</v>
      </c>
      <c r="M20" s="8" t="n">
        <f aca="false">IF(M46=0,0,'Station equivalents'!M20/M46*100000)</f>
        <v>2.91863030396676</v>
      </c>
      <c r="N20" s="8" t="n">
        <f aca="false">IF(N46=0,0,'Station equivalents'!N20/N46*100000)</f>
        <v>0.689715423416298</v>
      </c>
      <c r="O20" s="8" t="n">
        <f aca="false">IF(O46=0,0,'Station equivalents'!O20/O46*100000)</f>
        <v>2.21278918388647</v>
      </c>
      <c r="P20" s="8" t="n">
        <f aca="false">IF(P46=0,0,'Station equivalents'!P20/P46*100000)</f>
        <v>1.54142790309016</v>
      </c>
      <c r="Q20" s="8" t="n">
        <f aca="false">IF(Q46=0,0,'Station equivalents'!Q20/Q46*100000)</f>
        <v>1.30118287161421</v>
      </c>
      <c r="R20" s="8" t="n">
        <f aca="false">IF(R46=0,0,'Station equivalents'!R20/R46*100000)</f>
        <v>1.28907363098119</v>
      </c>
    </row>
    <row r="22" customFormat="false" ht="15" hidden="false" customHeight="false" outlineLevel="0" collapsed="false">
      <c r="A22" s="3" t="s">
        <v>31</v>
      </c>
    </row>
    <row r="23" customFormat="false" ht="15" hidden="false" customHeight="false" outlineLevel="0" collapsed="false">
      <c r="A23" s="5" t="s">
        <v>32</v>
      </c>
      <c r="B23" s="8" t="n">
        <f aca="false">MAX(B5:B20)</f>
        <v>6.71291116580891</v>
      </c>
      <c r="C23" s="8" t="n">
        <f aca="false">MAX(C5:C20)</f>
        <v>10.2564102564103</v>
      </c>
      <c r="D23" s="8" t="n">
        <f aca="false">MAX(D5:D20)</f>
        <v>11.31648434553</v>
      </c>
      <c r="E23" s="8" t="n">
        <f aca="false">MAX(E5:E20)</f>
        <v>12.3076923076923</v>
      </c>
      <c r="F23" s="8" t="n">
        <f aca="false">MAX(F5:F20)</f>
        <v>22.737608003638</v>
      </c>
      <c r="G23" s="8" t="n">
        <f aca="false">MAX(G5:G20)</f>
        <v>36.7017372155615</v>
      </c>
      <c r="H23" s="8" t="n">
        <f aca="false">MAX(H5:H20)</f>
        <v>29.9790146897172</v>
      </c>
      <c r="I23" s="8" t="n">
        <f aca="false">MAX(I5:I20)</f>
        <v>22.3964165733483</v>
      </c>
      <c r="J23" s="8" t="n">
        <f aca="false">MAX(J5:J20)</f>
        <v>15.8002844051193</v>
      </c>
      <c r="K23" s="8" t="n">
        <f aca="false">MAX(K5:K20)</f>
        <v>9.15555284279916</v>
      </c>
      <c r="L23" s="8" t="n">
        <f aca="false">MAX(L5:L20)</f>
        <v>4.24871313015769</v>
      </c>
      <c r="M23" s="8" t="n">
        <f aca="false">MAX(M5:M20)</f>
        <v>2.91863030396676</v>
      </c>
      <c r="N23" s="8" t="n">
        <f aca="false">MAX(N5:N20)</f>
        <v>4.60132297238102</v>
      </c>
      <c r="O23" s="8" t="n">
        <f aca="false">MAX(O5:O20)</f>
        <v>6.20847036713873</v>
      </c>
      <c r="P23" s="8" t="n">
        <f aca="false">MAX(P5:P20)</f>
        <v>6.97329807943749</v>
      </c>
      <c r="Q23" s="8" t="n">
        <f aca="false">MAX(Q5:Q20)</f>
        <v>9.30746797384884</v>
      </c>
      <c r="R23" s="8" t="n">
        <f aca="false">MAX(R5:R20)</f>
        <v>12.2370320434378</v>
      </c>
    </row>
    <row r="24" customFormat="false" ht="15" hidden="false" customHeight="false" outlineLevel="0" collapsed="false">
      <c r="A24" s="5" t="s">
        <v>33</v>
      </c>
      <c r="B24" s="8" t="n">
        <f aca="false">IFERROR(SUMPRODUCT(MIN(IF(B5:B20&gt;0,B5:B20))),0)</f>
        <v>0.78976465013426</v>
      </c>
      <c r="C24" s="8" t="n">
        <f aca="false">IFERROR(SUMPRODUCT(MIN(IF(C5:C20&gt;0,C5:C20))),0)</f>
        <v>0.879095118091777</v>
      </c>
      <c r="D24" s="8" t="n">
        <f aca="false">IFERROR(SUMPRODUCT(MIN(IF(D5:D20&gt;0,D5:D20))),0)</f>
        <v>0.727519643030362</v>
      </c>
      <c r="E24" s="8" t="n">
        <f aca="false">IFERROR(SUMPRODUCT(MIN(IF(E5:E20&gt;0,E5:E20))),0)</f>
        <v>1.05490795928055</v>
      </c>
      <c r="F24" s="8" t="n">
        <f aca="false">IFERROR(SUMPRODUCT(MIN(IF(F5:F20&gt;0,F5:F20))),0)</f>
        <v>3.24814530902854</v>
      </c>
      <c r="G24" s="8" t="n">
        <f aca="false">IFERROR(SUMPRODUCT(MIN(IF(G5:G20&gt;0,G5:G20))),0)</f>
        <v>5.59315397952906</v>
      </c>
      <c r="H24" s="8" t="n">
        <f aca="false">IFERROR(SUMPRODUCT(MIN(IF(H5:H20&gt;0,H5:H20))),0)</f>
        <v>4.42184390891002</v>
      </c>
      <c r="I24" s="8" t="n">
        <f aca="false">IFERROR(SUMPRODUCT(MIN(IF(I5:I20&gt;0,I5:I20))),0)</f>
        <v>3.24812420826972</v>
      </c>
      <c r="J24" s="8" t="n">
        <f aca="false">IFERROR(SUMPRODUCT(MIN(IF(J5:J20&gt;0,J5:J20))),0)</f>
        <v>2.26813944521309</v>
      </c>
      <c r="K24" s="8" t="n">
        <f aca="false">IFERROR(SUMPRODUCT(MIN(IF(K5:K20&gt;0,K5:K20))),0)</f>
        <v>1.30512522676551</v>
      </c>
      <c r="L24" s="8" t="n">
        <f aca="false">IFERROR(SUMPRODUCT(MIN(IF(L5:L20&gt;0,L5:L20))),0)</f>
        <v>0.668357217275068</v>
      </c>
      <c r="M24" s="8" t="n">
        <f aca="false">IFERROR(SUMPRODUCT(MIN(IF(M5:M20&gt;0,M5:M20))),0)</f>
        <v>0.397725012926063</v>
      </c>
      <c r="N24" s="8" t="n">
        <f aca="false">IFERROR(SUMPRODUCT(MIN(IF(N5:N20&gt;0,N5:N20))),0)</f>
        <v>0.346610438751047</v>
      </c>
      <c r="O24" s="8" t="n">
        <f aca="false">IFERROR(SUMPRODUCT(MIN(IF(O5:O20&gt;0,O5:O20))),0)</f>
        <v>0.290275761973875</v>
      </c>
      <c r="P24" s="8" t="n">
        <f aca="false">IFERROR(SUMPRODUCT(MIN(IF(P5:P20&gt;0,P5:P20))),0)</f>
        <v>0.0990785693054592</v>
      </c>
      <c r="Q24" s="8" t="n">
        <f aca="false">IFERROR(SUMPRODUCT(MIN(IF(Q5:Q20&gt;0,Q5:Q20))),0)</f>
        <v>0.0832720358624901</v>
      </c>
      <c r="R24" s="8" t="n">
        <f aca="false">IFERROR(SUMPRODUCT(MIN(IF(R5:R20&gt;0,R5:R20))),0)</f>
        <v>0.121152401644442</v>
      </c>
    </row>
    <row r="25" customFormat="false" ht="15" hidden="false" customHeight="false" outlineLevel="0" collapsed="false">
      <c r="A25" s="5" t="s">
        <v>34</v>
      </c>
      <c r="B25" s="9" t="n">
        <f aca="false">IF(B24=0,0,B23/B24)</f>
        <v>8.49988811814724</v>
      </c>
      <c r="C25" s="9" t="n">
        <f aca="false">IF(C24=0,0,C23/C24)</f>
        <v>11.6670085470085</v>
      </c>
      <c r="D25" s="9" t="n">
        <f aca="false">IF(D24=0,0,D23/D24)</f>
        <v>15.5548849490758</v>
      </c>
      <c r="E25" s="9" t="n">
        <f aca="false">IF(E24=0,0,E23/E24)</f>
        <v>11.6670769230769</v>
      </c>
      <c r="F25" s="9" t="n">
        <f aca="false">IF(F24=0,0,F23/F24)</f>
        <v>7.00018190086403</v>
      </c>
      <c r="G25" s="9" t="n">
        <f aca="false">IF(G24=0,0,G23/G24)</f>
        <v>6.56190359677025</v>
      </c>
      <c r="H25" s="9" t="n">
        <f aca="false">IF(H24=0,0,H23/H24)</f>
        <v>6.77975417207954</v>
      </c>
      <c r="I25" s="9" t="n">
        <f aca="false">IF(I24=0,0,I23/I24)</f>
        <v>6.89518477043673</v>
      </c>
      <c r="J25" s="9" t="n">
        <f aca="false">IF(J24=0,0,J23/J24)</f>
        <v>6.96618739137305</v>
      </c>
      <c r="K25" s="9" t="n">
        <f aca="false">IF(K24=0,0,K23/K24)</f>
        <v>7.01507614368114</v>
      </c>
      <c r="L25" s="9" t="n">
        <f aca="false">IF(L24=0,0,L23/L24)</f>
        <v>6.35694957777212</v>
      </c>
      <c r="M25" s="9" t="n">
        <f aca="false">IF(M24=0,0,M23/M24)</f>
        <v>7.33831217326363</v>
      </c>
      <c r="N25" s="9" t="n">
        <f aca="false">IF(N24=0,0,N23/N24)</f>
        <v>13.2752002189003</v>
      </c>
      <c r="O25" s="9" t="n">
        <f aca="false">IF(O24=0,0,O23/O24)</f>
        <v>21.3881804147929</v>
      </c>
      <c r="P25" s="9" t="n">
        <f aca="false">IF(P24=0,0,P23/P24)</f>
        <v>70.3814975157626</v>
      </c>
      <c r="Q25" s="9" t="n">
        <f aca="false">IF(Q24=0,0,Q23/Q24)</f>
        <v>111.771831653288</v>
      </c>
      <c r="R25" s="9" t="n">
        <f aca="false">IF(R24=0,0,R23/R24)</f>
        <v>101.005278288672</v>
      </c>
    </row>
    <row r="26" customFormat="false" ht="15" hidden="false" customHeight="false" outlineLevel="0" collapsed="false">
      <c r="A26" s="5" t="s">
        <v>35</v>
      </c>
      <c r="B26" s="10" t="n">
        <f aca="false">COUNTIF(B5:B20,0)</f>
        <v>12</v>
      </c>
      <c r="C26" s="10" t="n">
        <f aca="false">COUNTIF(C5:C20,0)</f>
        <v>8</v>
      </c>
      <c r="D26" s="10" t="n">
        <f aca="false">COUNTIF(D5:D20,0)</f>
        <v>7</v>
      </c>
      <c r="E26" s="10" t="n">
        <f aca="false">COUNTIF(E5:E20,0)</f>
        <v>7</v>
      </c>
      <c r="F26" s="10" t="n">
        <f aca="false">COUNTIF(F5:F20,0)</f>
        <v>6</v>
      </c>
      <c r="G26" s="10" t="n">
        <f aca="false">COUNTIF(G5:G20,0)</f>
        <v>3</v>
      </c>
      <c r="H26" s="10" t="n">
        <f aca="false">COUNTIF(H5:H20,0)</f>
        <v>3</v>
      </c>
      <c r="I26" s="10" t="n">
        <f aca="false">COUNTIF(I5:I20,0)</f>
        <v>3</v>
      </c>
      <c r="J26" s="10" t="n">
        <f aca="false">COUNTIF(J5:J20,0)</f>
        <v>3</v>
      </c>
      <c r="K26" s="10" t="n">
        <f aca="false">COUNTIF(K5:K20,0)</f>
        <v>3</v>
      </c>
      <c r="L26" s="10" t="n">
        <f aca="false">COUNTIF(L5:L20,0)</f>
        <v>4</v>
      </c>
      <c r="M26" s="10" t="n">
        <f aca="false">COUNTIF(M5:M20,0)</f>
        <v>3</v>
      </c>
      <c r="N26" s="10" t="n">
        <f aca="false">COUNTIF(N5:N20,0)</f>
        <v>2</v>
      </c>
      <c r="O26" s="10" t="n">
        <f aca="false">COUNTIF(O5:O20,0)</f>
        <v>2</v>
      </c>
      <c r="P26" s="10" t="n">
        <f aca="false">COUNTIF(P5:P20,0)</f>
        <v>2</v>
      </c>
      <c r="Q26" s="10" t="n">
        <f aca="false">COUNTIF(Q5:Q20,0)</f>
        <v>2</v>
      </c>
      <c r="R26" s="10" t="n">
        <f aca="false">COUNTIF(R5:R20,0)</f>
        <v>2</v>
      </c>
    </row>
    <row r="30" customFormat="false" ht="15" hidden="false" customHeight="false" outlineLevel="0" collapsed="false">
      <c r="A30" s="3" t="s">
        <v>36</v>
      </c>
      <c r="B30" s="11" t="n">
        <v>1860</v>
      </c>
      <c r="C30" s="11" t="n">
        <v>1870</v>
      </c>
      <c r="D30" s="11" t="n">
        <v>1880</v>
      </c>
      <c r="E30" s="11" t="n">
        <v>1890</v>
      </c>
      <c r="F30" s="11" t="n">
        <v>1900</v>
      </c>
      <c r="G30" s="11" t="n">
        <v>1910</v>
      </c>
      <c r="H30" s="11" t="n">
        <v>1920</v>
      </c>
      <c r="I30" s="11" t="n">
        <v>1930</v>
      </c>
      <c r="J30" s="11" t="n">
        <v>1940</v>
      </c>
      <c r="K30" s="11" t="n">
        <v>1950</v>
      </c>
      <c r="L30" s="11" t="n">
        <v>1960</v>
      </c>
      <c r="M30" s="11" t="n">
        <v>1970</v>
      </c>
      <c r="N30" s="11" t="n">
        <v>1980</v>
      </c>
      <c r="O30" s="11" t="n">
        <v>1990</v>
      </c>
      <c r="P30" s="11" t="n">
        <v>2000</v>
      </c>
      <c r="Q30" s="11" t="n">
        <v>2010</v>
      </c>
      <c r="R30" s="11" t="n">
        <v>2020</v>
      </c>
    </row>
    <row r="31" customFormat="false" ht="15" hidden="false" customHeight="false" outlineLevel="0" collapsed="false">
      <c r="A31" s="5" t="s">
        <v>4</v>
      </c>
      <c r="B31" s="12" t="n">
        <v>5363</v>
      </c>
      <c r="C31" s="12" t="n">
        <v>5850</v>
      </c>
      <c r="D31" s="12" t="n">
        <v>7069</v>
      </c>
      <c r="E31" s="12" t="n">
        <v>9750</v>
      </c>
      <c r="F31" s="12" t="n">
        <v>13194</v>
      </c>
      <c r="G31" s="12" t="n">
        <v>20166</v>
      </c>
      <c r="H31" s="12" t="n">
        <v>26498</v>
      </c>
      <c r="I31" s="12" t="n">
        <v>36753</v>
      </c>
      <c r="J31" s="12" t="n">
        <v>53222</v>
      </c>
      <c r="K31" s="12" t="n">
        <v>93176</v>
      </c>
      <c r="L31" s="12" t="n">
        <v>220011</v>
      </c>
      <c r="M31" s="12" t="n">
        <v>456709</v>
      </c>
      <c r="N31" s="12" t="n">
        <v>639213</v>
      </c>
      <c r="O31" s="12" t="n">
        <v>642753</v>
      </c>
      <c r="P31" s="12" t="n">
        <v>687020</v>
      </c>
      <c r="Q31" s="12" t="n">
        <v>727034</v>
      </c>
      <c r="R31" s="12" t="n">
        <v>759137</v>
      </c>
    </row>
    <row r="32" customFormat="false" ht="15" hidden="false" customHeight="false" outlineLevel="0" collapsed="false">
      <c r="A32" s="5" t="s">
        <v>12</v>
      </c>
      <c r="B32" s="12" t="n">
        <v>4916</v>
      </c>
      <c r="C32" s="12" t="n">
        <v>5363</v>
      </c>
      <c r="D32" s="12" t="n">
        <v>6480</v>
      </c>
      <c r="E32" s="12" t="n">
        <v>8938</v>
      </c>
      <c r="F32" s="12" t="n">
        <v>12095</v>
      </c>
      <c r="G32" s="12" t="n">
        <v>32638</v>
      </c>
      <c r="H32" s="12" t="n">
        <v>48320</v>
      </c>
      <c r="I32" s="12" t="n">
        <v>70615</v>
      </c>
      <c r="J32" s="12" t="n">
        <v>105306</v>
      </c>
      <c r="K32" s="12" t="n">
        <v>187864</v>
      </c>
      <c r="L32" s="12" t="n">
        <v>370724</v>
      </c>
      <c r="M32" s="12" t="n">
        <v>534554</v>
      </c>
      <c r="N32" s="12" t="n">
        <v>601524</v>
      </c>
      <c r="O32" s="12" t="n">
        <v>474688</v>
      </c>
      <c r="P32" s="12" t="n">
        <v>441008</v>
      </c>
      <c r="Q32" s="12" t="n">
        <v>414711</v>
      </c>
      <c r="R32" s="12" t="n">
        <v>432205</v>
      </c>
    </row>
    <row r="33" customFormat="false" ht="15" hidden="false" customHeight="false" outlineLevel="0" collapsed="false">
      <c r="A33" s="5" t="s">
        <v>13</v>
      </c>
      <c r="B33" s="12" t="n">
        <v>31283</v>
      </c>
      <c r="C33" s="12" t="n">
        <v>34126</v>
      </c>
      <c r="D33" s="12" t="n">
        <v>41236</v>
      </c>
      <c r="E33" s="12" t="n">
        <v>56877</v>
      </c>
      <c r="F33" s="12" t="n">
        <v>76967</v>
      </c>
      <c r="G33" s="12" t="n">
        <v>107351</v>
      </c>
      <c r="H33" s="12" t="n">
        <v>137115</v>
      </c>
      <c r="I33" s="12" t="n">
        <v>187569</v>
      </c>
      <c r="J33" s="12" t="n">
        <v>269404</v>
      </c>
      <c r="K33" s="12" t="n">
        <v>469100</v>
      </c>
      <c r="L33" s="12" t="n">
        <v>594485</v>
      </c>
      <c r="M33" s="12" t="n">
        <v>609354</v>
      </c>
      <c r="N33" s="12" t="n">
        <v>544882</v>
      </c>
      <c r="O33" s="12" t="n">
        <v>407811</v>
      </c>
      <c r="P33" s="12" t="n">
        <v>360478</v>
      </c>
      <c r="Q33" s="12" t="n">
        <v>385439</v>
      </c>
      <c r="R33" s="12" t="n">
        <v>434153</v>
      </c>
    </row>
    <row r="34" customFormat="false" ht="15" hidden="false" customHeight="false" outlineLevel="0" collapsed="false">
      <c r="A34" s="5" t="s">
        <v>14</v>
      </c>
      <c r="B34" s="12" t="n">
        <v>4022</v>
      </c>
      <c r="C34" s="12" t="n">
        <v>4388</v>
      </c>
      <c r="D34" s="12" t="n">
        <v>5302</v>
      </c>
      <c r="E34" s="12" t="n">
        <v>7313</v>
      </c>
      <c r="F34" s="12" t="n">
        <v>9896</v>
      </c>
      <c r="G34" s="12" t="n">
        <v>15141</v>
      </c>
      <c r="H34" s="12" t="n">
        <v>19902</v>
      </c>
      <c r="I34" s="12" t="n">
        <v>27609</v>
      </c>
      <c r="J34" s="12" t="n">
        <v>39984</v>
      </c>
      <c r="K34" s="12" t="n">
        <v>70005</v>
      </c>
      <c r="L34" s="12" t="n">
        <v>169811</v>
      </c>
      <c r="M34" s="12" t="n">
        <v>339446</v>
      </c>
      <c r="N34" s="12" t="n">
        <v>597129</v>
      </c>
      <c r="O34" s="12" t="n">
        <v>640066</v>
      </c>
      <c r="P34" s="12" t="n">
        <v>640423</v>
      </c>
      <c r="Q34" s="12" t="n">
        <v>620416</v>
      </c>
      <c r="R34" s="12" t="n">
        <v>614447</v>
      </c>
    </row>
    <row r="35" customFormat="false" ht="15" hidden="false" customHeight="false" outlineLevel="0" collapsed="false">
      <c r="A35" s="5" t="s">
        <v>15</v>
      </c>
      <c r="B35" s="12" t="n">
        <v>2234</v>
      </c>
      <c r="C35" s="12" t="n">
        <v>2438</v>
      </c>
      <c r="D35" s="12" t="n">
        <v>2945</v>
      </c>
      <c r="E35" s="12" t="n">
        <v>4063</v>
      </c>
      <c r="F35" s="12" t="n">
        <v>5498</v>
      </c>
      <c r="G35" s="12" t="n">
        <v>4376</v>
      </c>
      <c r="H35" s="12" t="n">
        <v>4204</v>
      </c>
      <c r="I35" s="12" t="n">
        <v>4809</v>
      </c>
      <c r="J35" s="12" t="n">
        <v>6096</v>
      </c>
      <c r="K35" s="12" t="n">
        <v>9676</v>
      </c>
      <c r="L35" s="12" t="n">
        <v>19199</v>
      </c>
      <c r="M35" s="12" t="n">
        <v>36200</v>
      </c>
      <c r="N35" s="12" t="n">
        <v>91200</v>
      </c>
      <c r="O35" s="12" t="n">
        <v>119669</v>
      </c>
      <c r="P35" s="12" t="n">
        <v>151222</v>
      </c>
      <c r="Q35" s="12" t="n">
        <v>186391</v>
      </c>
      <c r="R35" s="12" t="n">
        <v>217686</v>
      </c>
    </row>
    <row r="36" customFormat="false" ht="15" hidden="false" customHeight="false" outlineLevel="0" collapsed="false">
      <c r="A36" s="5" t="s">
        <v>16</v>
      </c>
      <c r="B36" s="12" t="n">
        <v>71503</v>
      </c>
      <c r="C36" s="12" t="n">
        <v>78003</v>
      </c>
      <c r="D36" s="12" t="n">
        <v>94254</v>
      </c>
      <c r="E36" s="12" t="n">
        <v>130005</v>
      </c>
      <c r="F36" s="12" t="n">
        <v>175924</v>
      </c>
      <c r="G36" s="12" t="n">
        <v>194179</v>
      </c>
      <c r="H36" s="12" t="n">
        <v>226485</v>
      </c>
      <c r="I36" s="12" t="n">
        <v>295164</v>
      </c>
      <c r="J36" s="12" t="n">
        <v>411339</v>
      </c>
      <c r="K36" s="12" t="n">
        <v>701635</v>
      </c>
      <c r="L36" s="12" t="n">
        <v>889175</v>
      </c>
      <c r="M36" s="12" t="n">
        <v>911414</v>
      </c>
      <c r="N36" s="12" t="n">
        <v>814983</v>
      </c>
      <c r="O36" s="12" t="n">
        <v>595960</v>
      </c>
      <c r="P36" s="12" t="n">
        <v>516255</v>
      </c>
      <c r="Q36" s="12" t="n">
        <v>531831</v>
      </c>
      <c r="R36" s="12" t="n">
        <v>545884</v>
      </c>
    </row>
    <row r="37" customFormat="false" ht="15" hidden="false" customHeight="false" outlineLevel="0" collapsed="false">
      <c r="A37" s="5" t="s">
        <v>17</v>
      </c>
      <c r="B37" s="12" t="n">
        <v>4469</v>
      </c>
      <c r="C37" s="12" t="n">
        <v>4875</v>
      </c>
      <c r="D37" s="12" t="n">
        <v>5891</v>
      </c>
      <c r="E37" s="12" t="n">
        <v>8125</v>
      </c>
      <c r="F37" s="12" t="n">
        <v>10995</v>
      </c>
      <c r="G37" s="12" t="n">
        <v>34375</v>
      </c>
      <c r="H37" s="12" t="n">
        <v>51913</v>
      </c>
      <c r="I37" s="12" t="n">
        <v>76467</v>
      </c>
      <c r="J37" s="12" t="n">
        <v>114516</v>
      </c>
      <c r="K37" s="12" t="n">
        <v>204833</v>
      </c>
      <c r="L37" s="12" t="n">
        <v>579180</v>
      </c>
      <c r="M37" s="12" t="n">
        <v>1186107</v>
      </c>
      <c r="N37" s="12" t="n">
        <v>1513360</v>
      </c>
      <c r="O37" s="12" t="n">
        <v>1268068</v>
      </c>
      <c r="P37" s="12" t="n">
        <v>1235542</v>
      </c>
      <c r="Q37" s="12" t="n">
        <v>1185772</v>
      </c>
      <c r="R37" s="12" t="n">
        <v>1173351</v>
      </c>
    </row>
    <row r="38" customFormat="false" ht="15" hidden="false" customHeight="false" outlineLevel="0" collapsed="false">
      <c r="A38" s="5" t="s">
        <v>18</v>
      </c>
      <c r="B38" s="12" t="n">
        <v>2011</v>
      </c>
      <c r="C38" s="12" t="n">
        <v>2194</v>
      </c>
      <c r="D38" s="12" t="n">
        <v>2651</v>
      </c>
      <c r="E38" s="12" t="n">
        <v>3656</v>
      </c>
      <c r="F38" s="12" t="n">
        <v>4948</v>
      </c>
      <c r="G38" s="12" t="n">
        <v>7424</v>
      </c>
      <c r="H38" s="12" t="n">
        <v>9703</v>
      </c>
      <c r="I38" s="12" t="n">
        <v>13423</v>
      </c>
      <c r="J38" s="12" t="n">
        <v>19409</v>
      </c>
      <c r="K38" s="12" t="n">
        <v>33945</v>
      </c>
      <c r="L38" s="12" t="n">
        <v>198904</v>
      </c>
      <c r="M38" s="12" t="n">
        <v>477331</v>
      </c>
      <c r="N38" s="12" t="n">
        <v>570377</v>
      </c>
      <c r="O38" s="12" t="n">
        <v>448322</v>
      </c>
      <c r="P38" s="12" t="n">
        <v>411321</v>
      </c>
      <c r="Q38" s="12" t="n">
        <v>384326</v>
      </c>
      <c r="R38" s="12" t="n">
        <v>404695</v>
      </c>
    </row>
    <row r="39" customFormat="false" ht="15" hidden="false" customHeight="false" outlineLevel="0" collapsed="false">
      <c r="A39" s="5" t="s">
        <v>19</v>
      </c>
      <c r="B39" s="12" t="n">
        <v>5363</v>
      </c>
      <c r="C39" s="12" t="n">
        <v>5850</v>
      </c>
      <c r="D39" s="12" t="n">
        <v>7069</v>
      </c>
      <c r="E39" s="12" t="n">
        <v>9750</v>
      </c>
      <c r="F39" s="12" t="n">
        <v>13194</v>
      </c>
      <c r="G39" s="12" t="n">
        <v>17879</v>
      </c>
      <c r="H39" s="12" t="n">
        <v>22615</v>
      </c>
      <c r="I39" s="12" t="n">
        <v>30787</v>
      </c>
      <c r="J39" s="12" t="n">
        <v>44089</v>
      </c>
      <c r="K39" s="12" t="n">
        <v>76621</v>
      </c>
      <c r="L39" s="12" t="n">
        <v>254355</v>
      </c>
      <c r="M39" s="12" t="n">
        <v>522095</v>
      </c>
      <c r="N39" s="12" t="n">
        <v>1262354</v>
      </c>
      <c r="O39" s="12" t="n">
        <v>1490499</v>
      </c>
      <c r="P39" s="12" t="n">
        <v>1773343</v>
      </c>
      <c r="Q39" s="12" t="n">
        <v>1815786</v>
      </c>
      <c r="R39" s="12" t="n">
        <v>1835486</v>
      </c>
    </row>
    <row r="40" customFormat="false" ht="15" hidden="false" customHeight="false" outlineLevel="0" collapsed="false">
      <c r="A40" s="5" t="s">
        <v>20</v>
      </c>
      <c r="B40" s="12" t="n">
        <v>1564</v>
      </c>
      <c r="C40" s="12" t="n">
        <v>1706</v>
      </c>
      <c r="D40" s="12" t="n">
        <v>2062</v>
      </c>
      <c r="E40" s="12" t="n">
        <v>2844</v>
      </c>
      <c r="F40" s="12" t="n">
        <v>3848</v>
      </c>
      <c r="G40" s="12" t="n">
        <v>5160</v>
      </c>
      <c r="H40" s="12" t="n">
        <v>6504</v>
      </c>
      <c r="I40" s="12" t="n">
        <v>8838</v>
      </c>
      <c r="J40" s="12" t="n">
        <v>12643</v>
      </c>
      <c r="K40" s="12" t="n">
        <v>21955</v>
      </c>
      <c r="L40" s="12" t="n">
        <v>40724</v>
      </c>
      <c r="M40" s="12" t="n">
        <v>75429</v>
      </c>
      <c r="N40" s="12" t="n">
        <v>173105</v>
      </c>
      <c r="O40" s="12" t="n">
        <v>195041</v>
      </c>
      <c r="P40" s="12" t="n">
        <v>222050</v>
      </c>
      <c r="Q40" s="12" t="n">
        <v>239086</v>
      </c>
      <c r="R40" s="12" t="n">
        <v>247622</v>
      </c>
    </row>
    <row r="41" customFormat="false" ht="15" hidden="false" customHeight="false" outlineLevel="0" collapsed="false">
      <c r="A41" s="5" t="s">
        <v>21</v>
      </c>
      <c r="B41" s="12" t="n">
        <v>33517</v>
      </c>
      <c r="C41" s="12" t="n">
        <v>36564</v>
      </c>
      <c r="D41" s="12" t="n">
        <v>44182</v>
      </c>
      <c r="E41" s="12" t="n">
        <v>60940</v>
      </c>
      <c r="F41" s="12" t="n">
        <v>82464</v>
      </c>
      <c r="G41" s="12" t="n">
        <v>110174</v>
      </c>
      <c r="H41" s="12" t="n">
        <v>138682</v>
      </c>
      <c r="I41" s="12" t="n">
        <v>188326</v>
      </c>
      <c r="J41" s="12" t="n">
        <v>269298</v>
      </c>
      <c r="K41" s="12" t="n">
        <v>467533</v>
      </c>
      <c r="L41" s="12" t="n">
        <v>592499</v>
      </c>
      <c r="M41" s="12" t="n">
        <v>607319</v>
      </c>
      <c r="N41" s="12" t="n">
        <v>543062</v>
      </c>
      <c r="O41" s="12" t="n">
        <v>406868</v>
      </c>
      <c r="P41" s="12" t="n">
        <v>352640</v>
      </c>
      <c r="Q41" s="12" t="n">
        <v>372889</v>
      </c>
      <c r="R41" s="12" t="n">
        <v>414470</v>
      </c>
    </row>
    <row r="42" customFormat="false" ht="15" hidden="false" customHeight="false" outlineLevel="0" collapsed="false">
      <c r="A42" s="5" t="s">
        <v>22</v>
      </c>
      <c r="B42" s="12" t="n">
        <v>4022</v>
      </c>
      <c r="C42" s="12" t="n">
        <v>4388</v>
      </c>
      <c r="D42" s="12" t="n">
        <v>5302</v>
      </c>
      <c r="E42" s="12" t="n">
        <v>7313</v>
      </c>
      <c r="F42" s="12" t="n">
        <v>9896</v>
      </c>
      <c r="G42" s="12" t="n">
        <v>7986</v>
      </c>
      <c r="H42" s="12" t="n">
        <v>7755</v>
      </c>
      <c r="I42" s="12" t="n">
        <v>8942</v>
      </c>
      <c r="J42" s="12" t="n">
        <v>11412</v>
      </c>
      <c r="K42" s="12" t="n">
        <v>18212</v>
      </c>
      <c r="L42" s="12" t="n">
        <v>24379</v>
      </c>
      <c r="M42" s="12" t="n">
        <v>33694</v>
      </c>
      <c r="N42" s="12" t="n">
        <v>53616</v>
      </c>
      <c r="O42" s="12" t="n">
        <v>63654</v>
      </c>
      <c r="P42" s="12" t="n">
        <v>96773</v>
      </c>
      <c r="Q42" s="12" t="n">
        <v>130582</v>
      </c>
      <c r="R42" s="12" t="n">
        <v>152685</v>
      </c>
    </row>
    <row r="43" customFormat="false" ht="15" hidden="false" customHeight="false" outlineLevel="0" collapsed="false">
      <c r="A43" s="5" t="s">
        <v>23</v>
      </c>
      <c r="B43" s="12" t="n">
        <v>1564</v>
      </c>
      <c r="C43" s="12" t="n">
        <v>1706</v>
      </c>
      <c r="D43" s="12" t="n">
        <v>2062</v>
      </c>
      <c r="E43" s="12" t="n">
        <v>2844</v>
      </c>
      <c r="F43" s="12" t="n">
        <v>3848</v>
      </c>
      <c r="G43" s="12" t="n">
        <v>4823</v>
      </c>
      <c r="H43" s="12" t="n">
        <v>5931</v>
      </c>
      <c r="I43" s="12" t="n">
        <v>7957</v>
      </c>
      <c r="J43" s="12" t="n">
        <v>11294</v>
      </c>
      <c r="K43" s="12" t="n">
        <v>19511</v>
      </c>
      <c r="L43" s="12" t="n">
        <v>29880</v>
      </c>
      <c r="M43" s="12" t="n">
        <v>62419</v>
      </c>
      <c r="N43" s="12" t="n">
        <v>146923</v>
      </c>
      <c r="O43" s="12" t="n">
        <v>206700</v>
      </c>
      <c r="P43" s="12" t="n">
        <v>302790</v>
      </c>
      <c r="Q43" s="12" t="n">
        <v>360265</v>
      </c>
      <c r="R43" s="12" t="n">
        <v>392313</v>
      </c>
    </row>
    <row r="44" customFormat="false" ht="15" hidden="false" customHeight="false" outlineLevel="0" collapsed="false">
      <c r="A44" s="5" t="s">
        <v>24</v>
      </c>
      <c r="B44" s="12" t="n">
        <v>2681</v>
      </c>
      <c r="C44" s="12" t="n">
        <v>2925</v>
      </c>
      <c r="D44" s="12" t="n">
        <v>3535</v>
      </c>
      <c r="E44" s="12" t="n">
        <v>4875</v>
      </c>
      <c r="F44" s="12" t="n">
        <v>6597</v>
      </c>
      <c r="G44" s="12" t="n">
        <v>8174</v>
      </c>
      <c r="H44" s="12" t="n">
        <v>10007</v>
      </c>
      <c r="I44" s="12" t="n">
        <v>13395</v>
      </c>
      <c r="J44" s="12" t="n">
        <v>18987</v>
      </c>
      <c r="K44" s="12" t="n">
        <v>32767</v>
      </c>
      <c r="L44" s="12" t="n">
        <v>61195</v>
      </c>
      <c r="M44" s="12" t="n">
        <v>130719</v>
      </c>
      <c r="N44" s="12" t="n">
        <v>368974</v>
      </c>
      <c r="O44" s="12" t="n">
        <v>484866</v>
      </c>
      <c r="P44" s="12" t="n">
        <v>581781</v>
      </c>
      <c r="Q44" s="12" t="n">
        <v>650567</v>
      </c>
      <c r="R44" s="12" t="n">
        <v>699928</v>
      </c>
    </row>
    <row r="45" customFormat="false" ht="15" hidden="false" customHeight="false" outlineLevel="0" collapsed="false">
      <c r="A45" s="5" t="s">
        <v>25</v>
      </c>
      <c r="B45" s="12" t="n">
        <v>37986</v>
      </c>
      <c r="C45" s="12" t="n">
        <v>41439</v>
      </c>
      <c r="D45" s="12" t="n">
        <v>50072</v>
      </c>
      <c r="E45" s="12" t="n">
        <v>69065</v>
      </c>
      <c r="F45" s="12" t="n">
        <v>93460</v>
      </c>
      <c r="G45" s="12" t="n">
        <v>134072</v>
      </c>
      <c r="H45" s="12" t="n">
        <v>172808</v>
      </c>
      <c r="I45" s="12" t="n">
        <v>237460</v>
      </c>
      <c r="J45" s="12" t="n">
        <v>341977</v>
      </c>
      <c r="K45" s="12" t="n">
        <v>596528</v>
      </c>
      <c r="L45" s="12" t="n">
        <v>755974</v>
      </c>
      <c r="M45" s="12" t="n">
        <v>774882</v>
      </c>
      <c r="N45" s="12" t="n">
        <v>692896</v>
      </c>
      <c r="O45" s="12" t="n">
        <v>519628</v>
      </c>
      <c r="P45" s="12" t="n">
        <v>462806</v>
      </c>
      <c r="Q45" s="12" t="n">
        <v>430978</v>
      </c>
      <c r="R45" s="12" t="n">
        <v>443704</v>
      </c>
    </row>
    <row r="46" customFormat="false" ht="15" hidden="false" customHeight="false" outlineLevel="0" collapsed="false">
      <c r="A46" s="5" t="s">
        <v>26</v>
      </c>
      <c r="B46" s="12" t="n">
        <v>7597</v>
      </c>
      <c r="C46" s="12" t="n">
        <v>8288</v>
      </c>
      <c r="D46" s="12" t="n">
        <v>10014</v>
      </c>
      <c r="E46" s="12" t="n">
        <v>13813</v>
      </c>
      <c r="F46" s="12" t="n">
        <v>18692</v>
      </c>
      <c r="G46" s="12" t="n">
        <v>16837</v>
      </c>
      <c r="H46" s="12" t="n">
        <v>17622</v>
      </c>
      <c r="I46" s="12" t="n">
        <v>21462</v>
      </c>
      <c r="J46" s="12" t="n">
        <v>28552</v>
      </c>
      <c r="K46" s="12" t="n">
        <v>47082</v>
      </c>
      <c r="L46" s="12" t="n">
        <v>70381</v>
      </c>
      <c r="M46" s="12" t="n">
        <v>116493</v>
      </c>
      <c r="N46" s="12" t="n">
        <v>217481</v>
      </c>
      <c r="O46" s="12" t="n">
        <v>271151</v>
      </c>
      <c r="P46" s="12" t="n">
        <v>369787</v>
      </c>
      <c r="Q46" s="12" t="n">
        <v>415007</v>
      </c>
      <c r="R46" s="12" t="n">
        <v>442178</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8" hidden="false" customHeight="true" outlineLevel="0" collapsed="false">
      <c r="A1" s="13" t="s">
        <v>37</v>
      </c>
    </row>
    <row r="2" customFormat="false" ht="34.5" hidden="false" customHeight="true" outlineLevel="0" collapsed="false">
      <c r="A2" s="14" t="s">
        <v>38</v>
      </c>
    </row>
    <row r="3" customFormat="false" ht="18" hidden="false" customHeight="true" outlineLevel="0" collapsed="false"/>
    <row r="4" customFormat="false" ht="18" hidden="false" customHeight="true" outlineLevel="0" collapsed="false">
      <c r="A4" s="15" t="s">
        <v>39</v>
      </c>
    </row>
    <row r="5" customFormat="false" ht="34.5" hidden="false" customHeight="true" outlineLevel="0" collapsed="false">
      <c r="A5" s="14" t="s">
        <v>40</v>
      </c>
    </row>
    <row r="6" customFormat="false" ht="18" hidden="false" customHeight="true" outlineLevel="0" collapsed="false"/>
    <row r="7" customFormat="false" ht="18" hidden="false" customHeight="true" outlineLevel="0" collapsed="false">
      <c r="A7" s="15" t="s">
        <v>41</v>
      </c>
    </row>
    <row r="8" customFormat="false" ht="18" hidden="false" customHeight="true" outlineLevel="0" collapsed="false">
      <c r="A8" s="14" t="s">
        <v>42</v>
      </c>
    </row>
    <row r="9" customFormat="false" ht="18" hidden="false" customHeight="true" outlineLevel="0" collapsed="false">
      <c r="A9" s="14" t="s">
        <v>43</v>
      </c>
    </row>
    <row r="10" customFormat="false" ht="34.5" hidden="false" customHeight="true" outlineLevel="0" collapsed="false">
      <c r="A10" s="14" t="s">
        <v>44</v>
      </c>
    </row>
    <row r="11" customFormat="false" ht="18" hidden="false" customHeight="true" outlineLevel="0" collapsed="false"/>
    <row r="12" customFormat="false" ht="18" hidden="false" customHeight="true" outlineLevel="0" collapsed="false">
      <c r="A12" s="15" t="s">
        <v>45</v>
      </c>
    </row>
    <row r="13" customFormat="false" ht="34.5" hidden="false" customHeight="true" outlineLevel="0" collapsed="false">
      <c r="A13" s="14" t="s">
        <v>46</v>
      </c>
    </row>
    <row r="14" customFormat="false" ht="18" hidden="false" customHeight="true" outlineLevel="0" collapsed="false">
      <c r="A14" s="14" t="s">
        <v>47</v>
      </c>
    </row>
    <row r="15" customFormat="false" ht="18" hidden="false" customHeight="true" outlineLevel="0" collapsed="false">
      <c r="A15" s="14" t="s">
        <v>48</v>
      </c>
    </row>
    <row r="16" customFormat="false" ht="18" hidden="false" customHeight="true" outlineLevel="0" collapsed="false">
      <c r="A16" s="14" t="s">
        <v>49</v>
      </c>
    </row>
    <row r="17" customFormat="false" ht="18" hidden="false" customHeight="true" outlineLevel="0" collapsed="false">
      <c r="A17" s="14" t="s">
        <v>50</v>
      </c>
    </row>
    <row r="18" customFormat="false" ht="18" hidden="false" customHeight="true" outlineLevel="0" collapsed="false">
      <c r="A18" s="14" t="s">
        <v>51</v>
      </c>
    </row>
    <row r="19" customFormat="false" ht="18" hidden="false" customHeight="true" outlineLevel="0" collapsed="false">
      <c r="A19" s="14" t="s">
        <v>52</v>
      </c>
    </row>
    <row r="20" customFormat="false" ht="18" hidden="false" customHeight="true" outlineLevel="0" collapsed="false">
      <c r="A20" s="14" t="s">
        <v>53</v>
      </c>
    </row>
    <row r="21" customFormat="false" ht="18" hidden="false" customHeight="true" outlineLevel="0" collapsed="false"/>
    <row r="22" customFormat="false" ht="18" hidden="false" customHeight="true" outlineLevel="0" collapsed="false">
      <c r="A22" s="15" t="s">
        <v>54</v>
      </c>
    </row>
    <row r="23" customFormat="false" ht="18" hidden="false" customHeight="true" outlineLevel="0" collapsed="false">
      <c r="A23" s="14" t="s">
        <v>55</v>
      </c>
    </row>
    <row r="24" customFormat="false" ht="34.5" hidden="false" customHeight="true" outlineLevel="0" collapsed="false">
      <c r="A24" s="14" t="s">
        <v>56</v>
      </c>
    </row>
    <row r="25" customFormat="false" ht="34.5" hidden="false" customHeight="true" outlineLevel="0" collapsed="false">
      <c r="A25" s="14" t="s">
        <v>57</v>
      </c>
    </row>
    <row r="26" customFormat="false" ht="34.5" hidden="false" customHeight="true" outlineLevel="0" collapsed="false">
      <c r="A26" s="14" t="s">
        <v>58</v>
      </c>
    </row>
    <row r="27" customFormat="false" ht="34.5" hidden="false" customHeight="true" outlineLevel="0" collapsed="false">
      <c r="A27" s="14" t="s">
        <v>59</v>
      </c>
    </row>
    <row r="28" customFormat="false" ht="34.5" hidden="false" customHeight="true" outlineLevel="0" collapsed="false">
      <c r="A28" s="14" t="s">
        <v>60</v>
      </c>
    </row>
    <row r="29" customFormat="false" ht="34.5" hidden="false" customHeight="true" outlineLevel="0" collapsed="false">
      <c r="A29" s="14" t="s">
        <v>61</v>
      </c>
    </row>
    <row r="30" customFormat="false" ht="34.5" hidden="false" customHeight="true" outlineLevel="0" collapsed="false">
      <c r="A30" s="14" t="s">
        <v>62</v>
      </c>
    </row>
    <row r="31" customFormat="false" ht="18" hidden="false" customHeight="true" outlineLevel="0" collapsed="false"/>
    <row r="32" customFormat="false" ht="18" hidden="false" customHeight="true" outlineLevel="0" collapsed="false">
      <c r="A32" s="15" t="s">
        <v>63</v>
      </c>
    </row>
    <row r="33" customFormat="false" ht="34.5" hidden="false" customHeight="true" outlineLevel="0" collapsed="false">
      <c r="A33" s="14" t="s">
        <v>64</v>
      </c>
    </row>
    <row r="34" customFormat="false" ht="34.5" hidden="false" customHeight="true" outlineLevel="0" collapsed="false">
      <c r="A34" s="14" t="s">
        <v>65</v>
      </c>
    </row>
    <row r="35" customFormat="false" ht="18" hidden="false" customHeight="true" outlineLevel="0" collapsed="false"/>
    <row r="36" customFormat="false" ht="18" hidden="false" customHeight="true" outlineLevel="0" collapsed="false">
      <c r="A36" s="15" t="s">
        <v>66</v>
      </c>
    </row>
    <row r="37" customFormat="false" ht="34.5" hidden="false" customHeight="true" outlineLevel="0" collapsed="false">
      <c r="A37" s="14" t="s">
        <v>67</v>
      </c>
    </row>
    <row r="38" customFormat="false" ht="34.5" hidden="false" customHeight="true" outlineLevel="0" collapsed="false">
      <c r="A38" s="14" t="s">
        <v>68</v>
      </c>
    </row>
    <row r="39" customFormat="false" ht="34.5" hidden="false" customHeight="true" outlineLevel="0" collapsed="false">
      <c r="A39" s="14" t="s">
        <v>69</v>
      </c>
    </row>
    <row r="40" customFormat="false" ht="34.5" hidden="false" customHeight="true" outlineLevel="0" collapsed="false">
      <c r="A40" s="14" t="s">
        <v>70</v>
      </c>
    </row>
    <row r="41" customFormat="false" ht="18" hidden="false" customHeight="true" outlineLevel="0" collapsed="false"/>
    <row r="42" customFormat="false" ht="18" hidden="false" customHeight="true" outlineLevel="0" collapsed="false">
      <c r="A42" s="15" t="s">
        <v>71</v>
      </c>
    </row>
    <row r="43" customFormat="false" ht="34.5" hidden="false" customHeight="true" outlineLevel="0" collapsed="false">
      <c r="A43" s="14" t="s">
        <v>72</v>
      </c>
    </row>
    <row r="44" customFormat="false" ht="34.5" hidden="false" customHeight="true" outlineLevel="0" collapsed="false">
      <c r="A44" s="14" t="s">
        <v>73</v>
      </c>
    </row>
    <row r="45" customFormat="false" ht="18" hidden="false" customHeight="true" outlineLevel="0" collapsed="false"/>
    <row r="46" customFormat="false" ht="18" hidden="false" customHeight="true" outlineLevel="0" collapsed="false">
      <c r="A46" s="15" t="s">
        <v>74</v>
      </c>
    </row>
    <row r="47" customFormat="false" ht="34.5" hidden="false" customHeight="true" outlineLevel="0" collapsed="false">
      <c r="A47" s="14" t="s">
        <v>75</v>
      </c>
    </row>
    <row r="48" customFormat="false" ht="34.5" hidden="false" customHeight="true" outlineLevel="0" collapsed="false">
      <c r="A48" s="14" t="s">
        <v>76</v>
      </c>
    </row>
    <row r="49" customFormat="false" ht="34.5" hidden="false" customHeight="true" outlineLevel="0" collapsed="false">
      <c r="A49" s="14" t="s">
        <v>77</v>
      </c>
    </row>
    <row r="50" customFormat="false" ht="18" hidden="false" customHeight="true" outlineLevel="0" collapsed="false"/>
    <row r="51" customFormat="false" ht="18" hidden="false" customHeight="true" outlineLevel="0" collapsed="false">
      <c r="A51" s="15" t="s">
        <v>78</v>
      </c>
    </row>
    <row r="52" customFormat="false" ht="18" hidden="false" customHeight="true" outlineLevel="0" collapsed="false">
      <c r="A52" s="14" t="s">
        <v>79</v>
      </c>
    </row>
    <row r="53" customFormat="false" ht="34.5" hidden="false" customHeight="true" outlineLevel="0" collapsed="false">
      <c r="A53" s="14" t="s">
        <v>80</v>
      </c>
    </row>
    <row r="54" customFormat="false" ht="18" hidden="false" customHeight="true" outlineLevel="0" collapsed="false">
      <c r="A54" s="14" t="s">
        <v>81</v>
      </c>
    </row>
    <row r="55" customFormat="false" ht="34.5" hidden="false" customHeight="true" outlineLevel="0" collapsed="false">
      <c r="A55" s="14" t="s">
        <v>82</v>
      </c>
    </row>
    <row r="56" customFormat="false" ht="34.5" hidden="false" customHeight="true" outlineLevel="0" collapsed="false">
      <c r="A56" s="14" t="s">
        <v>83</v>
      </c>
    </row>
    <row r="57" customFormat="false" ht="34.5" hidden="false" customHeight="true" outlineLevel="0" collapsed="false">
      <c r="A57" s="14" t="s">
        <v>84</v>
      </c>
    </row>
    <row r="58" customFormat="false" ht="18" hidden="false" customHeight="true" outlineLevel="0" collapsed="false">
      <c r="A58" s="14" t="s">
        <v>85</v>
      </c>
    </row>
    <row r="59" customFormat="false" ht="18" hidden="false" customHeight="true" outlineLevel="0" collapsed="false"/>
    <row r="60" customFormat="false" ht="18" hidden="false" customHeight="true" outlineLevel="0" collapsed="false">
      <c r="A60" s="15" t="s">
        <v>86</v>
      </c>
    </row>
    <row r="61" customFormat="false" ht="34.5" hidden="false" customHeight="true" outlineLevel="0" collapsed="false">
      <c r="A61" s="14" t="s">
        <v>87</v>
      </c>
    </row>
    <row r="62" customFormat="false" ht="34.5" hidden="false" customHeight="true" outlineLevel="0" collapsed="false">
      <c r="A62" s="14" t="s">
        <v>88</v>
      </c>
    </row>
    <row r="63" customFormat="false" ht="34.5" hidden="false" customHeight="true" outlineLevel="0" collapsed="false">
      <c r="A63" s="14" t="s">
        <v>89</v>
      </c>
    </row>
    <row r="64" customFormat="false" ht="34.5" hidden="false" customHeight="true" outlineLevel="0" collapsed="false">
      <c r="A64" s="14"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2026-05-25T20:22:42Z</dcterms:created>
  <dc:creator>openpyxl</dc:creator>
  <dc:description/>
  <dc:language>en-US</dc:language>
  <cp:lastModifiedBy/>
  <dcterms:modified xsi:type="dcterms:W3CDTF">2026-05-25T20:22:42Z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