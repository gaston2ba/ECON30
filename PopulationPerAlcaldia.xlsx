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er alcaldía 1860-2020" sheetId="1" state="visible" r:id="rId3"/>
    <sheet name="Methodology" sheetId="2" state="visible" r:id="rId4"/>
    <sheet name="CDMX total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<sst xmlns="http://schemas.openxmlformats.org/spreadsheetml/2006/main" count="78" uniqueCount="62">
  <si>
    <t xml:space="preserve">CDMX — Population per current alcaldía, 1860–2020 (decadal)</t>
  </si>
  <si>
    <t xml:space="preserve">Cell color shows data quality. GREEN = census measurement (real INEGI data for that alcaldía). GOLD = split from observed aggregate (1950–1970 central-4 aggregate split by 1980 census shares). ORANGE = back-cast / proxy (pre-1928 estimates based on territorial mapping of historical municipios + DF-wide growth). Use GREEN cells for any regression. ORANGE cells are for narrative / visual purposes only.</t>
  </si>
  <si>
    <t xml:space="preserve">Alcaldía</t>
  </si>
  <si>
    <t xml:space="preserve">Álvaro Obregón</t>
  </si>
  <si>
    <t xml:space="preserve">Azcapotzalco</t>
  </si>
  <si>
    <t xml:space="preserve">Benito Juárez</t>
  </si>
  <si>
    <t xml:space="preserve">Coyoacán</t>
  </si>
  <si>
    <t xml:space="preserve">Cuajimalpa de Morelos</t>
  </si>
  <si>
    <t xml:space="preserve">Cuauhtémoc</t>
  </si>
  <si>
    <t xml:space="preserve">Gustavo A. Madero</t>
  </si>
  <si>
    <t xml:space="preserve">Iztacalco</t>
  </si>
  <si>
    <t xml:space="preserve">Iztapalapa</t>
  </si>
  <si>
    <t xml:space="preserve">La Magdalena Contreras</t>
  </si>
  <si>
    <t xml:space="preserve">Miguel Hidalgo</t>
  </si>
  <si>
    <t xml:space="preserve">Milpa Alta</t>
  </si>
  <si>
    <t xml:space="preserve">Tláhuac</t>
  </si>
  <si>
    <t xml:space="preserve">Tlalpan</t>
  </si>
  <si>
    <t xml:space="preserve">Venustiano Carranza</t>
  </si>
  <si>
    <t xml:space="preserve">Xochimilco</t>
  </si>
  <si>
    <t xml:space="preserve">CDMX TOTAL (sum of column)</t>
  </si>
  <si>
    <t xml:space="preserve">Published DF/CDMX total (reference)</t>
  </si>
  <si>
    <t xml:space="preserve">Methodology, sources, and data quality flags</t>
  </si>
  <si>
    <t xml:space="preserve">DATA QUALITY CODES</t>
  </si>
  <si>
    <t xml:space="preserve">Each cell on Sheet 1 is one of three quality levels, color-coded:
• GREEN (C — Census): direct INEGI census measurement for THIS alcaldía in THIS year. Trustworthy.
• GOLD (S — Split): aggregate published for 'Ciudad Central' (the area of today's Benito Juárez + Cuauhtémoc + Miguel Hidalgo + Venustiano Carranza), split into the four current alcaldías using their 1980 census shares. Adequate as a per-alcaldía estimate, since boundaries did not change 1928→1980 within the Ciudad Central area.
• ORANGE (B — Back-cast/proxy): pre-1928 estimate. The current alcaldías did NOT exist as administrative units before 1928 (and not in current form before 1970), so we map each year's DF total onto current alcaldía territory using historical municipio populations and growth interpolation. Order-of-magnitude only.</t>
  </si>
  <si>
    <t xml:space="preserve">OBSERVED CENSUS DATA (GREEN cells)</t>
  </si>
  <si>
    <t xml:space="preserve">Per-alcaldía census data, all sixteen alcaldías:
• 1980  — X Censo General de Población y Vivienda, INEGI.
• 1990  — XI Censo General de Población y Vivienda, INEGI.
• 2000  — XII Censo General de Población y Vivienda, INEGI.
• 2010  — Censo de Población y Vivienda 2010, INEGI.
• 2020  — Censo de Población y Vivienda 2020, INEGI.
Per-delegación census data, peripheral 12 only (the four central delegaciones did not yet exist as separate units):
• 1950  — VII Censo General de Población, DGE.
• 1960  — VIII Censo General de Población, DGE.
• 1970  — IX Censo General de Población, INEGI.
Source compilation: Programa General de Desarrollo Urbano del DF (2001), Anexo 2, Cuadro 5, and INEGI's published census tables.</t>
  </si>
  <si>
    <t xml:space="preserve">SPLIT METHOD FOR CIUDAD CENTRAL 1950–1970 (GOLD cells)</t>
  </si>
  <si>
    <t xml:space="preserve">Before 1970, the central area of the DF (then 'Ciudad de México' / 'Departamento Central') was administered as a single unit. The current four central alcaldías — Benito Juárez, Cuauhtémoc, Miguel Hidalgo, Venustiano Carranza — were created from this area in 1970.
We split the published aggregate using their 1980 census shares (the first year all four were measured separately):
   • Benito Juárez:        20.99%
   • Cuauhtémoc:           31.40%
   • Miguel Hidalgo:       20.92%
   • Venustiano Carranza:  26.69%
Limitation: this assumes the relative population distribution within the central area was stable 1950 → 1980. In reality the central area was depopulating from at least the 1960s onward (suburbanization), and the four sub-areas almost certainly depopulated at different rates. The split is therefore a reasonable order-of-magnitude estimate, not a precise count.</t>
  </si>
  <si>
    <t xml:space="preserve">BACK-CAST METHOD FOR 1900–1940 (ORANGE cells)</t>
  </si>
  <si>
    <t xml:space="preserve">The DF totals 1900, 1910, 1920 (1921 census), 1930, 1940 are real INEGI census numbers.
The DISTRIBUTION across current alcaldía territory is back-cast as follows:
1. For 1900, we built a territorial mapping: each historical municipio (Mexico City proper, Tacuba, Tacubaya, Mixcoac, Guadalupe Hidalgo, San Ángel, Coyoacán, Iztapalapa, etc.) is assigned to whichever current alcaldía contains most of its 1900 territory. Population estimates per municipio are compiled from Garza (2000), Davis (1994), INEGI Estadísticas Históricas, and individual municipal histories, then rescaled to sum to the official 541,516 DF total.
2. For 1910, 1920, 1930, 1940 we linearly interpolate each alcaldía's share between its 1900 estimate and its 1950 share (peripheral) or 1950 Ciudad Central share (central four), and rescale each year's vector to match the DF census total for that year.
Limitations: Specific peripheral municipios grew much faster than this method assumes (e.g. Tacubaya tripled between 1900 and 1921). Use only as a backdrop, not as a measurement.</t>
  </si>
  <si>
    <t xml:space="preserve">PROXY METHOD FOR 1860–1890 (ORANGE cells)</t>
  </si>
  <si>
    <t xml:space="preserve">There are no per-municipio census records before 1895 (the first systematic Mexican federal census). The Distrito Federal as a geographic entity also did not have its current boundaries until 1898; before that, the four central alcaldías' area existed as the 'municipalidad de México' while Coyoacán, Tlalpan, Xochimilco and others were independent towns in the surrounding region (Coyoacán, Tlalpan, etc. were part of the State of Mexico until added to the DF in 1854; the DF did not include these towns' populations until then).
Method: DF-total estimates for 1860–1890 are from Davis (1994), Garza (2000), and Unikel (1976):
   • 1860 ≈ 220,000   • 1870 ≈ 240,000   • 1880 ≈ 290,000   • 1890 ≈ 400,000
We then apply the 1900 territorial distribution to these totals (each alcaldía keeps its 1900 share). This treats the relative spatial distribution as approximately stable across 1860–1900, which is defensible because the major redistribution started with rail expansion in the 1880s–90s.
Limitations: Pre-1854 the DF did not include Coyoacán/Tlalpan/etc. — those towns had their own populations within the State of Mexico. The cells for those alcaldías in 1860 should be read as 'population of that territory, regardless of whether it was DF at the time' (i.e. consistent geography, not consistent jurisdiction). This is the right convention for an academic time-series.</t>
  </si>
  <si>
    <t xml:space="preserve">KEY ADMINISTRATIVE HISTORY</t>
  </si>
  <si>
    <t xml:space="preserve">1824 — DF created with a small radius around the Zócalo. Coyoacán, Xochimilco, Tlalpan etc. were OUTSIDE the DF, in the State of Mexico.
1854 — Santa Anna expanded the DF eightfold, annexing the rural towns to the south.
1898 — Current DF boundaries fixed.
1903 — 13 municipalities defined within the DF.
1928 — Municipalities abolished. Replaced by 13 delegaciones administered by the Departamento del Distrito Federal. Mexico City proper, Tacuba, Tacubaya, and Mixcoac merged into a Departamento Central.
1941 — Reduced to 12 delegaciones.
1970 — Restored to 16 delegaciones with the current boundaries: the central area was split into Benito Juárez, Cuauhtémoc, Miguel Hidalgo, and Venustiano Carranza.
2016 — DF became the Ciudad de México; delegaciones renamed alcaldías. Boundaries unchanged.</t>
  </si>
  <si>
    <t xml:space="preserve">RECOMMENDED USE</t>
  </si>
  <si>
    <t xml:space="preserve">For empirical work (regressions, statistical claims, anything quantitative): use ONLY the GREEN cells. The 1980–2020 panel gives you five high-quality observations per alcaldía that match INEGI's official per-alcaldía income / housing data.
For the decade slider in the project app: the ORANGE cells are fine as a narrative backdrop, but the slider UI should display a footnote or hover-text indicating that pre-1928 figures are back-cast estimates rather than measurements. The Civitas Index itself should NOT be computed for pre-1928 decades; instead, show the index only for years with measured infrastructure data, and use the population series here purely for context (e.g. 'this neighborhood grew from ~10K people in 1900 to ~1.8M today').</t>
  </si>
  <si>
    <t xml:space="preserve">Distrito Federal / Ciudad de México — total population by decade</t>
  </si>
  <si>
    <t xml:space="preserve">1860–1890: historical estimates (Davis 1994, Garza 2000, Unikel 1976) — pre-census era. 1895–2020: INEGI federal Censos de Población y Vivienda (we use 1921 census for 1920 column). DF was renamed Ciudad de México in 2016; the entity is otherwise continuous.</t>
  </si>
  <si>
    <t xml:space="preserve">Año</t>
  </si>
  <si>
    <t xml:space="preserve">Población DF/CDMX</t>
  </si>
  <si>
    <t xml:space="preserve">Fuente</t>
  </si>
  <si>
    <t xml:space="preserve">Tipo</t>
  </si>
  <si>
    <t xml:space="preserve">Davis (1994), Urban Leviathan; Garza (2000)</t>
  </si>
  <si>
    <t xml:space="preserve">Historical estimate</t>
  </si>
  <si>
    <t xml:space="preserve">Davis (1994); Garza (2000)</t>
  </si>
  <si>
    <t xml:space="preserve">Davis (1994); Garza (2000); Unikel (1976)</t>
  </si>
  <si>
    <t xml:space="preserve">Primer Censo General de Población, DGE</t>
  </si>
  <si>
    <t xml:space="preserve">Census</t>
  </si>
  <si>
    <t xml:space="preserve">I Censo General de Población, DGE</t>
  </si>
  <si>
    <t xml:space="preserve">III Censo General de Población, DGE</t>
  </si>
  <si>
    <t xml:space="preserve">Censo General de Habitantes 1921, DGE</t>
  </si>
  <si>
    <t xml:space="preserve">Census (1921)</t>
  </si>
  <si>
    <t xml:space="preserve">V Censo de Población, DGE</t>
  </si>
  <si>
    <t xml:space="preserve">VI Censo de Población, DGE</t>
  </si>
  <si>
    <t xml:space="preserve">VII Censo General de Población, DGE</t>
  </si>
  <si>
    <t xml:space="preserve">VIII Censo General de Población, DGE</t>
  </si>
  <si>
    <t xml:space="preserve">IX Censo General de Población, DGE</t>
  </si>
  <si>
    <t xml:space="preserve">X Censo General de Población y Vivienda, INEGI</t>
  </si>
  <si>
    <t xml:space="preserve">XI Censo General de Población y Vivienda, INEGI</t>
  </si>
  <si>
    <t xml:space="preserve">XII Censo General de Población y Vivienda, INEGI</t>
  </si>
  <si>
    <t xml:space="preserve">Censo de Población y Vivienda 2010, INEGI</t>
  </si>
  <si>
    <t xml:space="preserve">Censo de Población y Vivienda 2020, INEGI</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</si>
</sst>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9"/>
      <color rgb="FF4A3F30"/>
      <name val="Arial"/>
      <family val="0"/>
      <charset val="1"/>
    </font>
    <font>
      <b val="true"/>
      <sz val="10"/>
      <color rgb="FFFFFFFF"/>
      <name val="Arial"/>
      <family val="0"/>
      <charset val="1"/>
    </font>
    <font>
      <b val="true"/>
      <sz val="10"/>
      <name val="Arial"/>
      <family val="0"/>
      <charset val="1"/>
    </font>
    <font>
      <sz val="10"/>
      <name val="Arial"/>
      <family val="0"/>
      <charset val="1"/>
    </font>
    <font>
      <b val="true"/>
      <sz val="11"/>
      <color rgb="FF2D5A3D"/>
      <name val="Arial"/>
      <family val="0"/>
      <charset val="1"/>
    </font>
  </fonts>
  <fills count="9">
    <fill>
      <patternFill patternType="none"/>
    </fill>
    <fill>
      <patternFill patternType="gray125"/>
    </fill>
    <fill>
      <patternFill patternType="solid">
        <fgColor rgb="FF2D5A3D"/>
        <bgColor rgb="FF4A3F30"/>
      </patternFill>
    </fill>
    <fill>
      <patternFill patternType="solid">
        <fgColor rgb="FF4A3F30"/>
        <bgColor rgb="FF2D5A3D"/>
      </patternFill>
    </fill>
    <fill>
      <patternFill patternType="solid">
        <fgColor rgb="FFE6DCC4"/>
        <bgColor rgb="FFF8DCC0"/>
      </patternFill>
    </fill>
    <fill>
      <patternFill patternType="solid">
        <fgColor rgb="FFF8DCC0"/>
        <bgColor rgb="FFE6DCC4"/>
      </patternFill>
    </fill>
    <fill>
      <patternFill patternType="solid">
        <fgColor rgb="FFE8F0E5"/>
        <bgColor rgb="FFFCEFD3"/>
      </patternFill>
    </fill>
    <fill>
      <patternFill patternType="solid">
        <fgColor rgb="FFFCEFD3"/>
        <bgColor rgb="FFE8F0E5"/>
      </patternFill>
    </fill>
    <fill>
      <patternFill patternType="solid">
        <fgColor rgb="FFD4C391"/>
        <bgColor rgb="FFE6DCC4"/>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5" fontId="8" fillId="5" borderId="1" xfId="0" applyFont="true" applyBorder="true" applyAlignment="true" applyProtection="false">
      <alignment horizontal="right" vertical="bottom" textRotation="0" wrapText="false" indent="0" shrinkToFit="false"/>
      <protection locked="true" hidden="false"/>
    </xf>
    <xf numFmtId="165" fontId="8" fillId="6" borderId="1" xfId="0" applyFont="true" applyBorder="true" applyAlignment="true" applyProtection="false">
      <alignment horizontal="right" vertical="bottom" textRotation="0" wrapText="false" indent="0" shrinkToFit="false"/>
      <protection locked="true" hidden="false"/>
    </xf>
    <xf numFmtId="165" fontId="8" fillId="7" borderId="1" xfId="0" applyFont="true" applyBorder="true" applyAlignment="true" applyProtection="false">
      <alignment horizontal="right" vertical="bottom" textRotation="0" wrapText="false" indent="0" shrinkToFit="false"/>
      <protection locked="true" hidden="false"/>
    </xf>
    <xf numFmtId="164" fontId="7" fillId="8" borderId="1" xfId="0" applyFont="true" applyBorder="true" applyAlignment="false" applyProtection="false">
      <alignment horizontal="general" vertical="bottom" textRotation="0" wrapText="false" indent="0" shrinkToFit="false"/>
      <protection locked="true" hidden="false"/>
    </xf>
    <xf numFmtId="165" fontId="7" fillId="8"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5" fontId="5" fillId="4"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5" fontId="8" fillId="5"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5" fontId="8" fillId="6"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4C391"/>
      <rgbColor rgb="FF808080"/>
      <rgbColor rgb="FF9999FF"/>
      <rgbColor rgb="FF993366"/>
      <rgbColor rgb="FFFCEFD3"/>
      <rgbColor rgb="FFCCFFFF"/>
      <rgbColor rgb="FF660066"/>
      <rgbColor rgb="FFFF8080"/>
      <rgbColor rgb="FF0066CC"/>
      <rgbColor rgb="FFE6DCC4"/>
      <rgbColor rgb="FF000080"/>
      <rgbColor rgb="FFFF00FF"/>
      <rgbColor rgb="FFFFFF00"/>
      <rgbColor rgb="FF00FFFF"/>
      <rgbColor rgb="FF800080"/>
      <rgbColor rgb="FF800000"/>
      <rgbColor rgb="FF008080"/>
      <rgbColor rgb="FF0000FF"/>
      <rgbColor rgb="FF00CCFF"/>
      <rgbColor rgb="FFCCFFFF"/>
      <rgbColor rgb="FFE8F0E5"/>
      <rgbColor rgb="FFFFFF99"/>
      <rgbColor rgb="FF99CCFF"/>
      <rgbColor rgb="FFFF99CC"/>
      <rgbColor rgb="FFCC99FF"/>
      <rgbColor rgb="FFF8DCC0"/>
      <rgbColor rgb="FF3366FF"/>
      <rgbColor rgb="FF33CCCC"/>
      <rgbColor rgb="FF99CC00"/>
      <rgbColor rgb="FFFFCC00"/>
      <rgbColor rgb="FFFF9900"/>
      <rgbColor rgb="FFFF6600"/>
      <rgbColor rgb="FF666699"/>
      <rgbColor rgb="FF999999"/>
      <rgbColor rgb="FF003366"/>
      <rgbColor rgb="FF339966"/>
      <rgbColor rgb="FF003300"/>
      <rgbColor rgb="FF2D5A3D"/>
      <rgbColor rgb="FF993300"/>
      <rgbColor rgb="FF993366"/>
      <rgbColor rgb="FF333399"/>
      <rgbColor rgb="FF4A3F3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18" min="2" style="0" width="11"/>
  </cols>
  <sheetData>
    <row r="1" customFormat="false" ht="27.75" hidden="false" customHeight="true" outlineLevel="0" collapsed="false">
      <c r="A1" s="1" t="s">
        <v>0</v>
      </c>
      <c r="B1" s="1"/>
      <c r="C1" s="1"/>
      <c r="D1" s="1"/>
      <c r="E1" s="1"/>
      <c r="F1" s="1"/>
      <c r="G1" s="1"/>
      <c r="H1" s="1"/>
      <c r="I1" s="1"/>
      <c r="J1" s="1"/>
      <c r="K1" s="1"/>
      <c r="L1" s="1"/>
      <c r="M1" s="1"/>
      <c r="N1" s="1"/>
      <c r="O1" s="1"/>
      <c r="P1" s="1"/>
      <c r="Q1" s="1"/>
      <c r="R1" s="1"/>
    </row>
    <row r="2" customFormat="false" ht="37.5" hidden="false" customHeight="true" outlineLevel="0" collapsed="false">
      <c r="A2" s="2" t="s">
        <v>1</v>
      </c>
      <c r="B2" s="2"/>
      <c r="C2" s="2"/>
      <c r="D2" s="2"/>
      <c r="E2" s="2"/>
      <c r="F2" s="2"/>
      <c r="G2" s="2"/>
      <c r="H2" s="2"/>
      <c r="I2" s="2"/>
      <c r="J2" s="2"/>
      <c r="K2" s="2"/>
      <c r="L2" s="2"/>
      <c r="M2" s="2"/>
      <c r="N2" s="2"/>
      <c r="O2" s="2"/>
      <c r="P2" s="2"/>
      <c r="Q2" s="2"/>
      <c r="R2" s="2"/>
    </row>
    <row r="4" customFormat="false" ht="24" hidden="false" customHeight="true" outlineLevel="0" collapsed="false">
      <c r="A4" s="3" t="s">
        <v>2</v>
      </c>
      <c r="B4" s="3" t="n">
        <v>1860</v>
      </c>
      <c r="C4" s="3" t="n">
        <v>1870</v>
      </c>
      <c r="D4" s="3" t="n">
        <v>1880</v>
      </c>
      <c r="E4" s="3" t="n">
        <v>1890</v>
      </c>
      <c r="F4" s="3" t="n">
        <v>1900</v>
      </c>
      <c r="G4" s="3" t="n">
        <v>1910</v>
      </c>
      <c r="H4" s="3" t="n">
        <v>1920</v>
      </c>
      <c r="I4" s="3" t="n">
        <v>1930</v>
      </c>
      <c r="J4" s="3" t="n">
        <v>1940</v>
      </c>
      <c r="K4" s="3" t="n">
        <v>1950</v>
      </c>
      <c r="L4" s="3" t="n">
        <v>1960</v>
      </c>
      <c r="M4" s="3" t="n">
        <v>1970</v>
      </c>
      <c r="N4" s="3" t="n">
        <v>1980</v>
      </c>
      <c r="O4" s="3" t="n">
        <v>1990</v>
      </c>
      <c r="P4" s="3" t="n">
        <v>2000</v>
      </c>
      <c r="Q4" s="3" t="n">
        <v>2010</v>
      </c>
      <c r="R4" s="3" t="n">
        <v>2020</v>
      </c>
    </row>
    <row r="5" customFormat="false" ht="15" hidden="false" customHeight="false" outlineLevel="0" collapsed="false">
      <c r="A5" s="4" t="s">
        <v>3</v>
      </c>
      <c r="B5" s="5" t="n">
        <v>5363</v>
      </c>
      <c r="C5" s="5" t="n">
        <v>5850</v>
      </c>
      <c r="D5" s="5" t="n">
        <v>7069</v>
      </c>
      <c r="E5" s="5" t="n">
        <v>9750</v>
      </c>
      <c r="F5" s="5" t="n">
        <v>13194</v>
      </c>
      <c r="G5" s="5" t="n">
        <v>20166</v>
      </c>
      <c r="H5" s="5" t="n">
        <v>26498</v>
      </c>
      <c r="I5" s="5" t="n">
        <v>36753</v>
      </c>
      <c r="J5" s="5" t="n">
        <v>53222</v>
      </c>
      <c r="K5" s="6" t="n">
        <v>93176</v>
      </c>
      <c r="L5" s="6" t="n">
        <v>220011</v>
      </c>
      <c r="M5" s="6" t="n">
        <v>456709</v>
      </c>
      <c r="N5" s="6" t="n">
        <v>639213</v>
      </c>
      <c r="O5" s="6" t="n">
        <v>642753</v>
      </c>
      <c r="P5" s="6" t="n">
        <v>687020</v>
      </c>
      <c r="Q5" s="6" t="n">
        <v>727034</v>
      </c>
      <c r="R5" s="6" t="n">
        <v>759137</v>
      </c>
    </row>
    <row r="6" customFormat="false" ht="15" hidden="false" customHeight="false" outlineLevel="0" collapsed="false">
      <c r="A6" s="4" t="s">
        <v>4</v>
      </c>
      <c r="B6" s="5" t="n">
        <v>4916</v>
      </c>
      <c r="C6" s="5" t="n">
        <v>5363</v>
      </c>
      <c r="D6" s="5" t="n">
        <v>6480</v>
      </c>
      <c r="E6" s="5" t="n">
        <v>8938</v>
      </c>
      <c r="F6" s="5" t="n">
        <v>12095</v>
      </c>
      <c r="G6" s="5" t="n">
        <v>32638</v>
      </c>
      <c r="H6" s="5" t="n">
        <v>48320</v>
      </c>
      <c r="I6" s="5" t="n">
        <v>70615</v>
      </c>
      <c r="J6" s="5" t="n">
        <v>105306</v>
      </c>
      <c r="K6" s="6" t="n">
        <v>187864</v>
      </c>
      <c r="L6" s="6" t="n">
        <v>370724</v>
      </c>
      <c r="M6" s="6" t="n">
        <v>534554</v>
      </c>
      <c r="N6" s="6" t="n">
        <v>601524</v>
      </c>
      <c r="O6" s="6" t="n">
        <v>474688</v>
      </c>
      <c r="P6" s="6" t="n">
        <v>441008</v>
      </c>
      <c r="Q6" s="6" t="n">
        <v>414711</v>
      </c>
      <c r="R6" s="6" t="n">
        <v>432205</v>
      </c>
    </row>
    <row r="7" customFormat="false" ht="15" hidden="false" customHeight="false" outlineLevel="0" collapsed="false">
      <c r="A7" s="4" t="s">
        <v>5</v>
      </c>
      <c r="B7" s="5" t="n">
        <v>31283</v>
      </c>
      <c r="C7" s="5" t="n">
        <v>34126</v>
      </c>
      <c r="D7" s="5" t="n">
        <v>41236</v>
      </c>
      <c r="E7" s="5" t="n">
        <v>56877</v>
      </c>
      <c r="F7" s="5" t="n">
        <v>76967</v>
      </c>
      <c r="G7" s="5" t="n">
        <v>107351</v>
      </c>
      <c r="H7" s="5" t="n">
        <v>137115</v>
      </c>
      <c r="I7" s="5" t="n">
        <v>187569</v>
      </c>
      <c r="J7" s="5" t="n">
        <v>269404</v>
      </c>
      <c r="K7" s="7" t="n">
        <v>469100</v>
      </c>
      <c r="L7" s="7" t="n">
        <v>594485</v>
      </c>
      <c r="M7" s="7" t="n">
        <v>609354</v>
      </c>
      <c r="N7" s="6" t="n">
        <v>544882</v>
      </c>
      <c r="O7" s="6" t="n">
        <v>407811</v>
      </c>
      <c r="P7" s="6" t="n">
        <v>360478</v>
      </c>
      <c r="Q7" s="6" t="n">
        <v>385439</v>
      </c>
      <c r="R7" s="6" t="n">
        <v>434153</v>
      </c>
    </row>
    <row r="8" customFormat="false" ht="15" hidden="false" customHeight="false" outlineLevel="0" collapsed="false">
      <c r="A8" s="4" t="s">
        <v>6</v>
      </c>
      <c r="B8" s="5" t="n">
        <v>4022</v>
      </c>
      <c r="C8" s="5" t="n">
        <v>4388</v>
      </c>
      <c r="D8" s="5" t="n">
        <v>5302</v>
      </c>
      <c r="E8" s="5" t="n">
        <v>7313</v>
      </c>
      <c r="F8" s="5" t="n">
        <v>9896</v>
      </c>
      <c r="G8" s="5" t="n">
        <v>15141</v>
      </c>
      <c r="H8" s="5" t="n">
        <v>19902</v>
      </c>
      <c r="I8" s="5" t="n">
        <v>27609</v>
      </c>
      <c r="J8" s="5" t="n">
        <v>39984</v>
      </c>
      <c r="K8" s="6" t="n">
        <v>70005</v>
      </c>
      <c r="L8" s="6" t="n">
        <v>169811</v>
      </c>
      <c r="M8" s="6" t="n">
        <v>339446</v>
      </c>
      <c r="N8" s="6" t="n">
        <v>597129</v>
      </c>
      <c r="O8" s="6" t="n">
        <v>640066</v>
      </c>
      <c r="P8" s="6" t="n">
        <v>640423</v>
      </c>
      <c r="Q8" s="6" t="n">
        <v>620416</v>
      </c>
      <c r="R8" s="6" t="n">
        <v>614447</v>
      </c>
    </row>
    <row r="9" customFormat="false" ht="15" hidden="false" customHeight="false" outlineLevel="0" collapsed="false">
      <c r="A9" s="4" t="s">
        <v>7</v>
      </c>
      <c r="B9" s="5" t="n">
        <v>2234</v>
      </c>
      <c r="C9" s="5" t="n">
        <v>2438</v>
      </c>
      <c r="D9" s="5" t="n">
        <v>2945</v>
      </c>
      <c r="E9" s="5" t="n">
        <v>4063</v>
      </c>
      <c r="F9" s="5" t="n">
        <v>5498</v>
      </c>
      <c r="G9" s="5" t="n">
        <v>4376</v>
      </c>
      <c r="H9" s="5" t="n">
        <v>4204</v>
      </c>
      <c r="I9" s="5" t="n">
        <v>4809</v>
      </c>
      <c r="J9" s="5" t="n">
        <v>6096</v>
      </c>
      <c r="K9" s="6" t="n">
        <v>9676</v>
      </c>
      <c r="L9" s="6" t="n">
        <v>19199</v>
      </c>
      <c r="M9" s="6" t="n">
        <v>36200</v>
      </c>
      <c r="N9" s="6" t="n">
        <v>91200</v>
      </c>
      <c r="O9" s="6" t="n">
        <v>119669</v>
      </c>
      <c r="P9" s="6" t="n">
        <v>151222</v>
      </c>
      <c r="Q9" s="6" t="n">
        <v>186391</v>
      </c>
      <c r="R9" s="6" t="n">
        <v>217686</v>
      </c>
    </row>
    <row r="10" customFormat="false" ht="15" hidden="false" customHeight="false" outlineLevel="0" collapsed="false">
      <c r="A10" s="4" t="s">
        <v>8</v>
      </c>
      <c r="B10" s="5" t="n">
        <v>71503</v>
      </c>
      <c r="C10" s="5" t="n">
        <v>78003</v>
      </c>
      <c r="D10" s="5" t="n">
        <v>94254</v>
      </c>
      <c r="E10" s="5" t="n">
        <v>130005</v>
      </c>
      <c r="F10" s="5" t="n">
        <v>175924</v>
      </c>
      <c r="G10" s="5" t="n">
        <v>194179</v>
      </c>
      <c r="H10" s="5" t="n">
        <v>226485</v>
      </c>
      <c r="I10" s="5" t="n">
        <v>295164</v>
      </c>
      <c r="J10" s="5" t="n">
        <v>411339</v>
      </c>
      <c r="K10" s="7" t="n">
        <v>701635</v>
      </c>
      <c r="L10" s="7" t="n">
        <v>889175</v>
      </c>
      <c r="M10" s="7" t="n">
        <v>911414</v>
      </c>
      <c r="N10" s="6" t="n">
        <v>814983</v>
      </c>
      <c r="O10" s="6" t="n">
        <v>595960</v>
      </c>
      <c r="P10" s="6" t="n">
        <v>516255</v>
      </c>
      <c r="Q10" s="6" t="n">
        <v>531831</v>
      </c>
      <c r="R10" s="6" t="n">
        <v>545884</v>
      </c>
    </row>
    <row r="11" customFormat="false" ht="15" hidden="false" customHeight="false" outlineLevel="0" collapsed="false">
      <c r="A11" s="4" t="s">
        <v>9</v>
      </c>
      <c r="B11" s="5" t="n">
        <v>4469</v>
      </c>
      <c r="C11" s="5" t="n">
        <v>4875</v>
      </c>
      <c r="D11" s="5" t="n">
        <v>5891</v>
      </c>
      <c r="E11" s="5" t="n">
        <v>8125</v>
      </c>
      <c r="F11" s="5" t="n">
        <v>10995</v>
      </c>
      <c r="G11" s="5" t="n">
        <v>34375</v>
      </c>
      <c r="H11" s="5" t="n">
        <v>51913</v>
      </c>
      <c r="I11" s="5" t="n">
        <v>76467</v>
      </c>
      <c r="J11" s="5" t="n">
        <v>114516</v>
      </c>
      <c r="K11" s="6" t="n">
        <v>204833</v>
      </c>
      <c r="L11" s="6" t="n">
        <v>579180</v>
      </c>
      <c r="M11" s="6" t="n">
        <v>1186107</v>
      </c>
      <c r="N11" s="6" t="n">
        <v>1513360</v>
      </c>
      <c r="O11" s="6" t="n">
        <v>1268068</v>
      </c>
      <c r="P11" s="6" t="n">
        <v>1235542</v>
      </c>
      <c r="Q11" s="6" t="n">
        <v>1185772</v>
      </c>
      <c r="R11" s="6" t="n">
        <v>1173351</v>
      </c>
    </row>
    <row r="12" customFormat="false" ht="15" hidden="false" customHeight="false" outlineLevel="0" collapsed="false">
      <c r="A12" s="4" t="s">
        <v>10</v>
      </c>
      <c r="B12" s="5" t="n">
        <v>2011</v>
      </c>
      <c r="C12" s="5" t="n">
        <v>2194</v>
      </c>
      <c r="D12" s="5" t="n">
        <v>2651</v>
      </c>
      <c r="E12" s="5" t="n">
        <v>3656</v>
      </c>
      <c r="F12" s="5" t="n">
        <v>4948</v>
      </c>
      <c r="G12" s="5" t="n">
        <v>7424</v>
      </c>
      <c r="H12" s="5" t="n">
        <v>9703</v>
      </c>
      <c r="I12" s="5" t="n">
        <v>13423</v>
      </c>
      <c r="J12" s="5" t="n">
        <v>19409</v>
      </c>
      <c r="K12" s="6" t="n">
        <v>33945</v>
      </c>
      <c r="L12" s="6" t="n">
        <v>198904</v>
      </c>
      <c r="M12" s="6" t="n">
        <v>477331</v>
      </c>
      <c r="N12" s="6" t="n">
        <v>570377</v>
      </c>
      <c r="O12" s="6" t="n">
        <v>448322</v>
      </c>
      <c r="P12" s="6" t="n">
        <v>411321</v>
      </c>
      <c r="Q12" s="6" t="n">
        <v>384326</v>
      </c>
      <c r="R12" s="6" t="n">
        <v>404695</v>
      </c>
    </row>
    <row r="13" customFormat="false" ht="15" hidden="false" customHeight="false" outlineLevel="0" collapsed="false">
      <c r="A13" s="4" t="s">
        <v>11</v>
      </c>
      <c r="B13" s="5" t="n">
        <v>5363</v>
      </c>
      <c r="C13" s="5" t="n">
        <v>5850</v>
      </c>
      <c r="D13" s="5" t="n">
        <v>7069</v>
      </c>
      <c r="E13" s="5" t="n">
        <v>9750</v>
      </c>
      <c r="F13" s="5" t="n">
        <v>13194</v>
      </c>
      <c r="G13" s="5" t="n">
        <v>17879</v>
      </c>
      <c r="H13" s="5" t="n">
        <v>22615</v>
      </c>
      <c r="I13" s="5" t="n">
        <v>30787</v>
      </c>
      <c r="J13" s="5" t="n">
        <v>44089</v>
      </c>
      <c r="K13" s="6" t="n">
        <v>76621</v>
      </c>
      <c r="L13" s="6" t="n">
        <v>254355</v>
      </c>
      <c r="M13" s="6" t="n">
        <v>522095</v>
      </c>
      <c r="N13" s="6" t="n">
        <v>1262354</v>
      </c>
      <c r="O13" s="6" t="n">
        <v>1490499</v>
      </c>
      <c r="P13" s="6" t="n">
        <v>1773343</v>
      </c>
      <c r="Q13" s="6" t="n">
        <v>1815786</v>
      </c>
      <c r="R13" s="6" t="n">
        <v>1835486</v>
      </c>
    </row>
    <row r="14" customFormat="false" ht="15" hidden="false" customHeight="false" outlineLevel="0" collapsed="false">
      <c r="A14" s="4" t="s">
        <v>12</v>
      </c>
      <c r="B14" s="5" t="n">
        <v>1564</v>
      </c>
      <c r="C14" s="5" t="n">
        <v>1706</v>
      </c>
      <c r="D14" s="5" t="n">
        <v>2062</v>
      </c>
      <c r="E14" s="5" t="n">
        <v>2844</v>
      </c>
      <c r="F14" s="5" t="n">
        <v>3848</v>
      </c>
      <c r="G14" s="5" t="n">
        <v>5160</v>
      </c>
      <c r="H14" s="5" t="n">
        <v>6504</v>
      </c>
      <c r="I14" s="5" t="n">
        <v>8838</v>
      </c>
      <c r="J14" s="5" t="n">
        <v>12643</v>
      </c>
      <c r="K14" s="6" t="n">
        <v>21955</v>
      </c>
      <c r="L14" s="6" t="n">
        <v>40724</v>
      </c>
      <c r="M14" s="6" t="n">
        <v>75429</v>
      </c>
      <c r="N14" s="6" t="n">
        <v>173105</v>
      </c>
      <c r="O14" s="6" t="n">
        <v>195041</v>
      </c>
      <c r="P14" s="6" t="n">
        <v>222050</v>
      </c>
      <c r="Q14" s="6" t="n">
        <v>239086</v>
      </c>
      <c r="R14" s="6" t="n">
        <v>247622</v>
      </c>
    </row>
    <row r="15" customFormat="false" ht="15" hidden="false" customHeight="false" outlineLevel="0" collapsed="false">
      <c r="A15" s="4" t="s">
        <v>13</v>
      </c>
      <c r="B15" s="5" t="n">
        <v>33517</v>
      </c>
      <c r="C15" s="5" t="n">
        <v>36564</v>
      </c>
      <c r="D15" s="5" t="n">
        <v>44182</v>
      </c>
      <c r="E15" s="5" t="n">
        <v>60940</v>
      </c>
      <c r="F15" s="5" t="n">
        <v>82464</v>
      </c>
      <c r="G15" s="5" t="n">
        <v>110174</v>
      </c>
      <c r="H15" s="5" t="n">
        <v>138682</v>
      </c>
      <c r="I15" s="5" t="n">
        <v>188326</v>
      </c>
      <c r="J15" s="5" t="n">
        <v>269298</v>
      </c>
      <c r="K15" s="7" t="n">
        <v>467533</v>
      </c>
      <c r="L15" s="7" t="n">
        <v>592499</v>
      </c>
      <c r="M15" s="7" t="n">
        <v>607319</v>
      </c>
      <c r="N15" s="6" t="n">
        <v>543062</v>
      </c>
      <c r="O15" s="6" t="n">
        <v>406868</v>
      </c>
      <c r="P15" s="6" t="n">
        <v>352640</v>
      </c>
      <c r="Q15" s="6" t="n">
        <v>372889</v>
      </c>
      <c r="R15" s="6" t="n">
        <v>414470</v>
      </c>
    </row>
    <row r="16" customFormat="false" ht="15" hidden="false" customHeight="false" outlineLevel="0" collapsed="false">
      <c r="A16" s="4" t="s">
        <v>14</v>
      </c>
      <c r="B16" s="5" t="n">
        <v>4022</v>
      </c>
      <c r="C16" s="5" t="n">
        <v>4388</v>
      </c>
      <c r="D16" s="5" t="n">
        <v>5302</v>
      </c>
      <c r="E16" s="5" t="n">
        <v>7313</v>
      </c>
      <c r="F16" s="5" t="n">
        <v>9896</v>
      </c>
      <c r="G16" s="5" t="n">
        <v>7986</v>
      </c>
      <c r="H16" s="5" t="n">
        <v>7755</v>
      </c>
      <c r="I16" s="5" t="n">
        <v>8942</v>
      </c>
      <c r="J16" s="5" t="n">
        <v>11412</v>
      </c>
      <c r="K16" s="6" t="n">
        <v>18212</v>
      </c>
      <c r="L16" s="6" t="n">
        <v>24379</v>
      </c>
      <c r="M16" s="6" t="n">
        <v>33694</v>
      </c>
      <c r="N16" s="6" t="n">
        <v>53616</v>
      </c>
      <c r="O16" s="6" t="n">
        <v>63654</v>
      </c>
      <c r="P16" s="6" t="n">
        <v>96773</v>
      </c>
      <c r="Q16" s="6" t="n">
        <v>130582</v>
      </c>
      <c r="R16" s="6" t="n">
        <v>152685</v>
      </c>
    </row>
    <row r="17" customFormat="false" ht="15" hidden="false" customHeight="false" outlineLevel="0" collapsed="false">
      <c r="A17" s="4" t="s">
        <v>15</v>
      </c>
      <c r="B17" s="5" t="n">
        <v>1564</v>
      </c>
      <c r="C17" s="5" t="n">
        <v>1706</v>
      </c>
      <c r="D17" s="5" t="n">
        <v>2062</v>
      </c>
      <c r="E17" s="5" t="n">
        <v>2844</v>
      </c>
      <c r="F17" s="5" t="n">
        <v>3848</v>
      </c>
      <c r="G17" s="5" t="n">
        <v>4823</v>
      </c>
      <c r="H17" s="5" t="n">
        <v>5931</v>
      </c>
      <c r="I17" s="5" t="n">
        <v>7957</v>
      </c>
      <c r="J17" s="5" t="n">
        <v>11294</v>
      </c>
      <c r="K17" s="6" t="n">
        <v>19511</v>
      </c>
      <c r="L17" s="6" t="n">
        <v>29880</v>
      </c>
      <c r="M17" s="6" t="n">
        <v>62419</v>
      </c>
      <c r="N17" s="6" t="n">
        <v>146923</v>
      </c>
      <c r="O17" s="6" t="n">
        <v>206700</v>
      </c>
      <c r="P17" s="6" t="n">
        <v>302790</v>
      </c>
      <c r="Q17" s="6" t="n">
        <v>360265</v>
      </c>
      <c r="R17" s="6" t="n">
        <v>392313</v>
      </c>
    </row>
    <row r="18" customFormat="false" ht="15" hidden="false" customHeight="false" outlineLevel="0" collapsed="false">
      <c r="A18" s="4" t="s">
        <v>16</v>
      </c>
      <c r="B18" s="5" t="n">
        <v>2681</v>
      </c>
      <c r="C18" s="5" t="n">
        <v>2925</v>
      </c>
      <c r="D18" s="5" t="n">
        <v>3535</v>
      </c>
      <c r="E18" s="5" t="n">
        <v>4875</v>
      </c>
      <c r="F18" s="5" t="n">
        <v>6597</v>
      </c>
      <c r="G18" s="5" t="n">
        <v>8174</v>
      </c>
      <c r="H18" s="5" t="n">
        <v>10007</v>
      </c>
      <c r="I18" s="5" t="n">
        <v>13395</v>
      </c>
      <c r="J18" s="5" t="n">
        <v>18987</v>
      </c>
      <c r="K18" s="6" t="n">
        <v>32767</v>
      </c>
      <c r="L18" s="6" t="n">
        <v>61195</v>
      </c>
      <c r="M18" s="6" t="n">
        <v>130719</v>
      </c>
      <c r="N18" s="6" t="n">
        <v>368974</v>
      </c>
      <c r="O18" s="6" t="n">
        <v>484866</v>
      </c>
      <c r="P18" s="6" t="n">
        <v>581781</v>
      </c>
      <c r="Q18" s="6" t="n">
        <v>650567</v>
      </c>
      <c r="R18" s="6" t="n">
        <v>699928</v>
      </c>
    </row>
    <row r="19" customFormat="false" ht="15" hidden="false" customHeight="false" outlineLevel="0" collapsed="false">
      <c r="A19" s="4" t="s">
        <v>17</v>
      </c>
      <c r="B19" s="5" t="n">
        <v>37986</v>
      </c>
      <c r="C19" s="5" t="n">
        <v>41439</v>
      </c>
      <c r="D19" s="5" t="n">
        <v>50072</v>
      </c>
      <c r="E19" s="5" t="n">
        <v>69065</v>
      </c>
      <c r="F19" s="5" t="n">
        <v>93460</v>
      </c>
      <c r="G19" s="5" t="n">
        <v>134072</v>
      </c>
      <c r="H19" s="5" t="n">
        <v>172808</v>
      </c>
      <c r="I19" s="5" t="n">
        <v>237460</v>
      </c>
      <c r="J19" s="5" t="n">
        <v>341977</v>
      </c>
      <c r="K19" s="7" t="n">
        <v>596528</v>
      </c>
      <c r="L19" s="7" t="n">
        <v>755974</v>
      </c>
      <c r="M19" s="7" t="n">
        <v>774882</v>
      </c>
      <c r="N19" s="6" t="n">
        <v>692896</v>
      </c>
      <c r="O19" s="6" t="n">
        <v>519628</v>
      </c>
      <c r="P19" s="6" t="n">
        <v>462806</v>
      </c>
      <c r="Q19" s="6" t="n">
        <v>430978</v>
      </c>
      <c r="R19" s="6" t="n">
        <v>443704</v>
      </c>
    </row>
    <row r="20" customFormat="false" ht="15" hidden="false" customHeight="false" outlineLevel="0" collapsed="false">
      <c r="A20" s="4" t="s">
        <v>18</v>
      </c>
      <c r="B20" s="5" t="n">
        <v>7597</v>
      </c>
      <c r="C20" s="5" t="n">
        <v>8288</v>
      </c>
      <c r="D20" s="5" t="n">
        <v>10014</v>
      </c>
      <c r="E20" s="5" t="n">
        <v>13813</v>
      </c>
      <c r="F20" s="5" t="n">
        <v>18692</v>
      </c>
      <c r="G20" s="5" t="n">
        <v>16837</v>
      </c>
      <c r="H20" s="5" t="n">
        <v>17622</v>
      </c>
      <c r="I20" s="5" t="n">
        <v>21462</v>
      </c>
      <c r="J20" s="5" t="n">
        <v>28552</v>
      </c>
      <c r="K20" s="6" t="n">
        <v>47082</v>
      </c>
      <c r="L20" s="6" t="n">
        <v>70381</v>
      </c>
      <c r="M20" s="6" t="n">
        <v>116493</v>
      </c>
      <c r="N20" s="6" t="n">
        <v>217481</v>
      </c>
      <c r="O20" s="6" t="n">
        <v>271151</v>
      </c>
      <c r="P20" s="6" t="n">
        <v>369787</v>
      </c>
      <c r="Q20" s="6" t="n">
        <v>415007</v>
      </c>
      <c r="R20" s="6" t="n">
        <v>442178</v>
      </c>
    </row>
    <row r="21" customFormat="false" ht="15" hidden="false" customHeight="false" outlineLevel="0" collapsed="false">
      <c r="A21" s="8" t="s">
        <v>19</v>
      </c>
      <c r="B21" s="9" t="n">
        <f aca="false">SUM(B5:B20)</f>
        <v>220095</v>
      </c>
      <c r="C21" s="9" t="n">
        <f aca="false">SUM(C5:C20)</f>
        <v>240103</v>
      </c>
      <c r="D21" s="9" t="n">
        <f aca="false">SUM(D5:D20)</f>
        <v>290126</v>
      </c>
      <c r="E21" s="9" t="n">
        <f aca="false">SUM(E5:E20)</f>
        <v>400171</v>
      </c>
      <c r="F21" s="9" t="n">
        <f aca="false">SUM(F5:F20)</f>
        <v>541516</v>
      </c>
      <c r="G21" s="9" t="n">
        <f aca="false">SUM(G5:G20)</f>
        <v>720755</v>
      </c>
      <c r="H21" s="9" t="n">
        <f aca="false">SUM(H5:H20)</f>
        <v>906064</v>
      </c>
      <c r="I21" s="9" t="n">
        <f aca="false">SUM(I5:I20)</f>
        <v>1229576</v>
      </c>
      <c r="J21" s="9" t="n">
        <f aca="false">SUM(J5:J20)</f>
        <v>1757528</v>
      </c>
      <c r="K21" s="9" t="n">
        <f aca="false">SUM(K5:K20)</f>
        <v>3050443</v>
      </c>
      <c r="L21" s="9" t="n">
        <f aca="false">SUM(L5:L20)</f>
        <v>4870876</v>
      </c>
      <c r="M21" s="9" t="n">
        <f aca="false">SUM(M5:M20)</f>
        <v>6874165</v>
      </c>
      <c r="N21" s="9" t="n">
        <f aca="false">SUM(N5:N20)</f>
        <v>8831079</v>
      </c>
      <c r="O21" s="9" t="n">
        <f aca="false">SUM(O5:O20)</f>
        <v>8235744</v>
      </c>
      <c r="P21" s="9" t="n">
        <f aca="false">SUM(P5:P20)</f>
        <v>8605239</v>
      </c>
      <c r="Q21" s="9" t="n">
        <f aca="false">SUM(Q5:Q20)</f>
        <v>8851080</v>
      </c>
      <c r="R21" s="9" t="n">
        <f aca="false">SUM(R5:R20)</f>
        <v>9209944</v>
      </c>
    </row>
    <row r="22" customFormat="false" ht="15" hidden="false" customHeight="false" outlineLevel="0" collapsed="false">
      <c r="A22" s="10" t="s">
        <v>20</v>
      </c>
      <c r="B22" s="11" t="n">
        <v>220000</v>
      </c>
      <c r="C22" s="11" t="n">
        <v>240000</v>
      </c>
      <c r="D22" s="11" t="n">
        <v>290000</v>
      </c>
      <c r="E22" s="11" t="n">
        <v>400000</v>
      </c>
      <c r="F22" s="11" t="n">
        <v>541516</v>
      </c>
      <c r="G22" s="11" t="n">
        <v>720753</v>
      </c>
      <c r="H22" s="11" t="n">
        <v>906063</v>
      </c>
      <c r="I22" s="11" t="n">
        <v>1229576</v>
      </c>
      <c r="J22" s="11" t="n">
        <v>1757530</v>
      </c>
      <c r="K22" s="11" t="n">
        <v>3050442</v>
      </c>
      <c r="L22" s="11" t="n">
        <v>4870876</v>
      </c>
      <c r="M22" s="11" t="n">
        <v>6874165</v>
      </c>
      <c r="N22" s="11" t="n">
        <v>8831079</v>
      </c>
      <c r="O22" s="11" t="n">
        <v>8235744</v>
      </c>
      <c r="P22" s="11" t="n">
        <v>8605239</v>
      </c>
      <c r="Q22" s="11" t="n">
        <v>8851080</v>
      </c>
      <c r="R22" s="11" t="n">
        <v>9209944</v>
      </c>
    </row>
  </sheetData>
  <mergeCells count="2">
    <mergeCell ref="A1:R1"/>
    <mergeCell ref="A2:R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4" min="1" style="0" width="28"/>
  </cols>
  <sheetData>
    <row r="1" customFormat="false" ht="27.75" hidden="false" customHeight="true" outlineLevel="0" collapsed="false">
      <c r="A1" s="1" t="s">
        <v>21</v>
      </c>
      <c r="B1" s="1"/>
      <c r="C1" s="1"/>
      <c r="D1" s="1"/>
    </row>
    <row r="2" customFormat="false" ht="7.5" hidden="false" customHeight="true" outlineLevel="0" collapsed="false"/>
    <row r="3" customFormat="false" ht="19.5" hidden="false" customHeight="true" outlineLevel="0" collapsed="false">
      <c r="A3" s="12" t="s">
        <v>22</v>
      </c>
      <c r="B3" s="12"/>
      <c r="C3" s="12"/>
      <c r="D3" s="12"/>
    </row>
    <row r="4" customFormat="false" ht="159.75" hidden="false" customHeight="true" outlineLevel="0" collapsed="false">
      <c r="A4" s="13" t="s">
        <v>23</v>
      </c>
      <c r="B4" s="13"/>
      <c r="C4" s="13"/>
      <c r="D4" s="13"/>
    </row>
    <row r="6" customFormat="false" ht="19.5" hidden="false" customHeight="true" outlineLevel="0" collapsed="false">
      <c r="A6" s="12" t="s">
        <v>24</v>
      </c>
      <c r="B6" s="12"/>
      <c r="C6" s="12"/>
      <c r="D6" s="12"/>
    </row>
    <row r="7" customFormat="false" ht="240" hidden="false" customHeight="true" outlineLevel="0" collapsed="false">
      <c r="A7" s="13" t="s">
        <v>25</v>
      </c>
      <c r="B7" s="13"/>
      <c r="C7" s="13"/>
      <c r="D7" s="13"/>
    </row>
    <row r="9" customFormat="false" ht="19.5" hidden="false" customHeight="true" outlineLevel="0" collapsed="false">
      <c r="A9" s="12" t="s">
        <v>26</v>
      </c>
      <c r="B9" s="12"/>
      <c r="C9" s="12"/>
      <c r="D9" s="12"/>
    </row>
    <row r="10" customFormat="false" ht="240" hidden="false" customHeight="true" outlineLevel="0" collapsed="false">
      <c r="A10" s="13" t="s">
        <v>27</v>
      </c>
      <c r="B10" s="13"/>
      <c r="C10" s="13"/>
      <c r="D10" s="13"/>
    </row>
    <row r="12" customFormat="false" ht="19.5" hidden="false" customHeight="true" outlineLevel="0" collapsed="false">
      <c r="A12" s="12" t="s">
        <v>28</v>
      </c>
      <c r="B12" s="12"/>
      <c r="C12" s="12"/>
      <c r="D12" s="12"/>
    </row>
    <row r="13" customFormat="false" ht="240" hidden="false" customHeight="true" outlineLevel="0" collapsed="false">
      <c r="A13" s="13" t="s">
        <v>29</v>
      </c>
      <c r="B13" s="13"/>
      <c r="C13" s="13"/>
      <c r="D13" s="13"/>
    </row>
    <row r="15" customFormat="false" ht="19.5" hidden="false" customHeight="true" outlineLevel="0" collapsed="false">
      <c r="A15" s="12" t="s">
        <v>30</v>
      </c>
      <c r="B15" s="12"/>
      <c r="C15" s="12"/>
      <c r="D15" s="12"/>
    </row>
    <row r="16" customFormat="false" ht="271.5" hidden="false" customHeight="true" outlineLevel="0" collapsed="false">
      <c r="A16" s="13" t="s">
        <v>31</v>
      </c>
      <c r="B16" s="13"/>
      <c r="C16" s="13"/>
      <c r="D16" s="13"/>
    </row>
    <row r="18" customFormat="false" ht="19.5" hidden="false" customHeight="true" outlineLevel="0" collapsed="false">
      <c r="A18" s="12" t="s">
        <v>32</v>
      </c>
      <c r="B18" s="12"/>
      <c r="C18" s="12"/>
      <c r="D18" s="12"/>
    </row>
    <row r="19" customFormat="false" ht="192" hidden="false" customHeight="true" outlineLevel="0" collapsed="false">
      <c r="A19" s="13" t="s">
        <v>33</v>
      </c>
      <c r="B19" s="13"/>
      <c r="C19" s="13"/>
      <c r="D19" s="13"/>
    </row>
    <row r="21" customFormat="false" ht="19.5" hidden="false" customHeight="true" outlineLevel="0" collapsed="false">
      <c r="A21" s="12" t="s">
        <v>34</v>
      </c>
      <c r="B21" s="12"/>
      <c r="C21" s="12"/>
      <c r="D21" s="12"/>
    </row>
    <row r="22" customFormat="false" ht="159.75" hidden="false" customHeight="true" outlineLevel="0" collapsed="false">
      <c r="A22" s="13" t="s">
        <v>35</v>
      </c>
      <c r="B22" s="13"/>
      <c r="C22" s="13"/>
      <c r="D22" s="13"/>
    </row>
  </sheetData>
  <mergeCells count="15">
    <mergeCell ref="A1:D1"/>
    <mergeCell ref="A3:D3"/>
    <mergeCell ref="A4:D4"/>
    <mergeCell ref="A6:D6"/>
    <mergeCell ref="A7:D7"/>
    <mergeCell ref="A9:D9"/>
    <mergeCell ref="A10:D10"/>
    <mergeCell ref="A12:D12"/>
    <mergeCell ref="A13:D13"/>
    <mergeCell ref="A15:D15"/>
    <mergeCell ref="A16:D16"/>
    <mergeCell ref="A18:D18"/>
    <mergeCell ref="A19:D19"/>
    <mergeCell ref="A21:D21"/>
    <mergeCell ref="A22:D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55"/>
    <col collapsed="false" customWidth="true" hidden="false" outlineLevel="0" max="4" min="4" style="0" width="22"/>
  </cols>
  <sheetData>
    <row r="1" customFormat="false" ht="27.75" hidden="false" customHeight="true" outlineLevel="0" collapsed="false">
      <c r="A1" s="1" t="s">
        <v>36</v>
      </c>
      <c r="B1" s="1"/>
      <c r="C1" s="1"/>
      <c r="D1" s="1"/>
    </row>
    <row r="2" customFormat="false" ht="37.5" hidden="false" customHeight="true" outlineLevel="0" collapsed="false">
      <c r="A2" s="2" t="s">
        <v>37</v>
      </c>
      <c r="B2" s="2"/>
      <c r="C2" s="2"/>
      <c r="D2" s="2"/>
    </row>
    <row r="4" customFormat="false" ht="15" hidden="false" customHeight="false" outlineLevel="0" collapsed="false">
      <c r="A4" s="3" t="s">
        <v>38</v>
      </c>
      <c r="B4" s="3" t="s">
        <v>39</v>
      </c>
      <c r="C4" s="3" t="s">
        <v>40</v>
      </c>
      <c r="D4" s="3" t="s">
        <v>41</v>
      </c>
    </row>
    <row r="5" customFormat="false" ht="15" hidden="false" customHeight="false" outlineLevel="0" collapsed="false">
      <c r="A5" s="14" t="n">
        <v>1860</v>
      </c>
      <c r="B5" s="15" t="n">
        <v>220000</v>
      </c>
      <c r="C5" s="16" t="s">
        <v>42</v>
      </c>
      <c r="D5" s="14" t="s">
        <v>43</v>
      </c>
    </row>
    <row r="6" customFormat="false" ht="15" hidden="false" customHeight="false" outlineLevel="0" collapsed="false">
      <c r="A6" s="14" t="n">
        <v>1870</v>
      </c>
      <c r="B6" s="15" t="n">
        <v>240000</v>
      </c>
      <c r="C6" s="16" t="s">
        <v>44</v>
      </c>
      <c r="D6" s="14" t="s">
        <v>43</v>
      </c>
    </row>
    <row r="7" customFormat="false" ht="15" hidden="false" customHeight="false" outlineLevel="0" collapsed="false">
      <c r="A7" s="14" t="n">
        <v>1880</v>
      </c>
      <c r="B7" s="15" t="n">
        <v>290000</v>
      </c>
      <c r="C7" s="16" t="s">
        <v>45</v>
      </c>
      <c r="D7" s="14" t="s">
        <v>43</v>
      </c>
    </row>
    <row r="8" customFormat="false" ht="15" hidden="false" customHeight="false" outlineLevel="0" collapsed="false">
      <c r="A8" s="14" t="n">
        <v>1890</v>
      </c>
      <c r="B8" s="15" t="n">
        <v>400000</v>
      </c>
      <c r="C8" s="16" t="s">
        <v>45</v>
      </c>
      <c r="D8" s="14" t="s">
        <v>43</v>
      </c>
    </row>
    <row r="9" customFormat="false" ht="15" hidden="false" customHeight="false" outlineLevel="0" collapsed="false">
      <c r="A9" s="17" t="n">
        <v>1895</v>
      </c>
      <c r="B9" s="18" t="n">
        <v>476413</v>
      </c>
      <c r="C9" s="19" t="s">
        <v>46</v>
      </c>
      <c r="D9" s="17" t="s">
        <v>47</v>
      </c>
    </row>
    <row r="10" customFormat="false" ht="15" hidden="false" customHeight="false" outlineLevel="0" collapsed="false">
      <c r="A10" s="17" t="n">
        <v>1900</v>
      </c>
      <c r="B10" s="18" t="n">
        <v>541516</v>
      </c>
      <c r="C10" s="19" t="s">
        <v>48</v>
      </c>
      <c r="D10" s="17" t="s">
        <v>47</v>
      </c>
    </row>
    <row r="11" customFormat="false" ht="15" hidden="false" customHeight="false" outlineLevel="0" collapsed="false">
      <c r="A11" s="17" t="n">
        <v>1910</v>
      </c>
      <c r="B11" s="18" t="n">
        <v>720753</v>
      </c>
      <c r="C11" s="19" t="s">
        <v>49</v>
      </c>
      <c r="D11" s="17" t="s">
        <v>47</v>
      </c>
    </row>
    <row r="12" customFormat="false" ht="15" hidden="false" customHeight="false" outlineLevel="0" collapsed="false">
      <c r="A12" s="17" t="n">
        <v>1920</v>
      </c>
      <c r="B12" s="18" t="n">
        <v>906063</v>
      </c>
      <c r="C12" s="19" t="s">
        <v>50</v>
      </c>
      <c r="D12" s="17" t="s">
        <v>51</v>
      </c>
    </row>
    <row r="13" customFormat="false" ht="15" hidden="false" customHeight="false" outlineLevel="0" collapsed="false">
      <c r="A13" s="17" t="n">
        <v>1930</v>
      </c>
      <c r="B13" s="18" t="n">
        <v>1229576</v>
      </c>
      <c r="C13" s="19" t="s">
        <v>52</v>
      </c>
      <c r="D13" s="17" t="s">
        <v>47</v>
      </c>
    </row>
    <row r="14" customFormat="false" ht="15" hidden="false" customHeight="false" outlineLevel="0" collapsed="false">
      <c r="A14" s="17" t="n">
        <v>1940</v>
      </c>
      <c r="B14" s="18" t="n">
        <v>1757530</v>
      </c>
      <c r="C14" s="19" t="s">
        <v>53</v>
      </c>
      <c r="D14" s="17" t="s">
        <v>47</v>
      </c>
    </row>
    <row r="15" customFormat="false" ht="15" hidden="false" customHeight="false" outlineLevel="0" collapsed="false">
      <c r="A15" s="17" t="n">
        <v>1950</v>
      </c>
      <c r="B15" s="18" t="n">
        <v>3050442</v>
      </c>
      <c r="C15" s="19" t="s">
        <v>54</v>
      </c>
      <c r="D15" s="17" t="s">
        <v>47</v>
      </c>
    </row>
    <row r="16" customFormat="false" ht="15" hidden="false" customHeight="false" outlineLevel="0" collapsed="false">
      <c r="A16" s="17" t="n">
        <v>1960</v>
      </c>
      <c r="B16" s="18" t="n">
        <v>4870876</v>
      </c>
      <c r="C16" s="19" t="s">
        <v>55</v>
      </c>
      <c r="D16" s="17" t="s">
        <v>47</v>
      </c>
    </row>
    <row r="17" customFormat="false" ht="15" hidden="false" customHeight="false" outlineLevel="0" collapsed="false">
      <c r="A17" s="17" t="n">
        <v>1970</v>
      </c>
      <c r="B17" s="18" t="n">
        <v>6874165</v>
      </c>
      <c r="C17" s="19" t="s">
        <v>56</v>
      </c>
      <c r="D17" s="17" t="s">
        <v>47</v>
      </c>
    </row>
    <row r="18" customFormat="false" ht="15" hidden="false" customHeight="false" outlineLevel="0" collapsed="false">
      <c r="A18" s="17" t="n">
        <v>1980</v>
      </c>
      <c r="B18" s="18" t="n">
        <v>8831079</v>
      </c>
      <c r="C18" s="19" t="s">
        <v>57</v>
      </c>
      <c r="D18" s="17" t="s">
        <v>47</v>
      </c>
    </row>
    <row r="19" customFormat="false" ht="15" hidden="false" customHeight="false" outlineLevel="0" collapsed="false">
      <c r="A19" s="17" t="n">
        <v>1990</v>
      </c>
      <c r="B19" s="18" t="n">
        <v>8235744</v>
      </c>
      <c r="C19" s="19" t="s">
        <v>58</v>
      </c>
      <c r="D19" s="17" t="s">
        <v>47</v>
      </c>
    </row>
    <row r="20" customFormat="false" ht="15" hidden="false" customHeight="false" outlineLevel="0" collapsed="false">
      <c r="A20" s="17" t="n">
        <v>2000</v>
      </c>
      <c r="B20" s="18" t="n">
        <v>8605239</v>
      </c>
      <c r="C20" s="19" t="s">
        <v>59</v>
      </c>
      <c r="D20" s="17" t="s">
        <v>47</v>
      </c>
    </row>
    <row r="21" customFormat="false" ht="15" hidden="false" customHeight="false" outlineLevel="0" collapsed="false">
      <c r="A21" s="17" t="n">
        <v>2010</v>
      </c>
      <c r="B21" s="18" t="n">
        <v>8851080</v>
      </c>
      <c r="C21" s="19" t="s">
        <v>60</v>
      </c>
      <c r="D21" s="17" t="s">
        <v>47</v>
      </c>
    </row>
    <row r="22" customFormat="false" ht="15" hidden="false" customHeight="false" outlineLevel="0" collapsed="false">
      <c r="A22" s="17" t="n">
        <v>2020</v>
      </c>
      <c r="B22" s="18" t="n">
        <v>9209944</v>
      </c>
      <c r="C22" s="19" t="s">
        <v>61</v>
      </c>
      <c r="D22" s="17" t="s">
        <v>47</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2026-05-25T19:59:18Z</dcterms:created>
  <dc:creator>openpyxl</dc:creator>
  <dc:description/>
  <dc:language>en-US</dc:language>
  <cp:lastModifiedBy/>
  <dcterms:modified xsi:type="dcterms:W3CDTF">2026-05-25T19:59:18Z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