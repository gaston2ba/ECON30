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s per dwelling" sheetId="1" state="visible" r:id="rId3"/>
    <sheet name="Dwellings count" sheetId="2" state="visible" r:id="rId4"/>
    <sheet name="% Electricity" sheetId="3" state="visible" r:id="rId5"/>
    <sheet name="% Piped water" sheetId="4" state="visible" r:id="rId6"/>
    <sheet name="% Drainage" sheetId="5" state="visible" r:id="rId7"/>
    <sheet name="Inequality summary" sheetId="6" state="visible" r:id="rId8"/>
    <sheet name="Methodolo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<sst xmlns="http://schemas.openxmlformats.org/spreadsheetml/2006/main" count="150" uniqueCount="73">
  <si>
    <t xml:space="preserve">CDMX — Average persons per dwelling per alcaldía per decade, 1860–2020</t>
  </si>
  <si>
    <t xml:space="preserve">Hacinamiento (crowding) indicator. Lower = wealthier/smaller households. Cell color shows data quality: GREEN=census, GOLD=split from Ciudad Central aggregate, ORANGE=reconstructed.</t>
  </si>
  <si>
    <t xml:space="preserve">Alcaldía</t>
  </si>
  <si>
    <t xml:space="preserve">Álvaro Obregón</t>
  </si>
  <si>
    <t xml:space="preserve">Azcapotzalco</t>
  </si>
  <si>
    <t xml:space="preserve">Benito Juárez</t>
  </si>
  <si>
    <t xml:space="preserve">Coyoacán</t>
  </si>
  <si>
    <t xml:space="preserve">Cuajimalpa de Morelos</t>
  </si>
  <si>
    <t xml:space="preserve">Cuauhtémoc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</si>
  <si>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</si>
  <si>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</si>
  <si>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</si>
  <si>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</si>
  <si>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Miguel Hidalgo</t>
  </si>
  <si>
    <t xml:space="preserve">Milpa Alta</t>
  </si>
  <si>
    <t xml:space="preserve">Tláhuac</t>
  </si>
  <si>
    <t xml:space="preserve">Tlalpan</t>
  </si>
  <si>
    <t xml:space="preserve">Venustiano Carranza</t>
  </si>
  <si>
    <t xml:space="preserve">Xochimilco</t>
  </si>
  <si>
    <t xml:space="preserve">CDMX — Inhabited dwellings (viviendas particulares habitadas) per alcaldía per decade</t>
  </si>
  <si>
    <t xml:space="preserve">Computed as Population ÷ Persons-per-dwelling, rounded. 2020 anchored to INEGI Panorama Sociodemográfico 2020 direct counts.</t>
  </si>
  <si>
    <t xml:space="preserve">CDMX — % of inhabited dwellings with electricity per alcaldía per decade</t>
  </si>
  <si>
    <t xml:space="preserve">By 2020 all alcaldías are at 99.6%+ (universal coverage). Inequality is HISTORICAL — when did each alcaldía get electricity? Source: INEGI censuses; pre-1950 reconstructed from CDMX-wide series.</t>
  </si>
  <si>
    <t xml:space="preserve">CDMX — % of inhabited dwellings with piped water (agua entubada) per alcaldía per decade</t>
  </si>
  <si>
    <t xml:space="preserve">Unlike electricity, water coverage is NOT universal even in 2020 — Iztapalapa is at ~62%, Milpa Alta ~84%. Many residents rely on pipas (water trucks).</t>
  </si>
  <si>
    <t xml:space="preserve">CDMX — % of inhabited dwellings with drainage (drenaje) per alcaldía per decade</t>
  </si>
  <si>
    <t xml:space="preserve">Drainage was slowest to roll out historically. Universal by 2020 (~99.7% citywide) but rural Milpa Alta and Tláhuac only reached 98%+ by 2000s.</t>
  </si>
  <si>
    <t xml:space="preserve">CDMX — Inequality in living conditions across alcaldías, by decade</t>
  </si>
  <si>
    <t xml:space="preserve">Min/max and gap across the 16 alcaldías for each indicator. Formulas reference the four data sheets so values update if you edit them.</t>
  </si>
  <si>
    <t xml:space="preserve">Indicator</t>
  </si>
  <si>
    <t xml:space="preserve">Persons per dwelling</t>
  </si>
  <si>
    <t xml:space="preserve">  Max alcaldía</t>
  </si>
  <si>
    <t xml:space="preserve">  Min alcaldía</t>
  </si>
  <si>
    <t xml:space="preserve">  Gap (max − min)</t>
  </si>
  <si>
    <t xml:space="preserve">% Electricity</t>
  </si>
  <si>
    <t xml:space="preserve">% Piped water</t>
  </si>
  <si>
    <t xml:space="preserve">% Drainage</t>
  </si>
  <si>
    <t xml:space="preserve">CDMX Housing &amp; Living Conditions per Alcaldía per Decade, 1860–2020 — Methodology</t>
  </si>
  <si>
    <t xml:space="preserve">This workbook adds the 'how do people actually live' layer to your CDMX inequality series. Four indicators across five sheets, plus inequality summary and methodology.</t>
  </si>
  <si>
    <t xml:space="preserve">1. INDICATORS</t>
  </si>
  <si>
    <t xml:space="preserve">Persons per dwelling — average household size. Crowding indicator. Lower values typically indicate wealthier alcaldías (smaller households, more dwellings per resident).</t>
  </si>
  <si>
    <t xml:space="preserve">Dwellings count — total inhabited private dwellings (viviendas particulares habitadas). Computed as Population ÷ Persons-per-dwelling, with the 2020 column anchored to INEGI's published per-alcaldía counts.</t>
  </si>
  <si>
    <t xml:space="preserve">% Electricity — share of dwellings with electric service (energía eléctrica). Reached near-universal coverage citywide by 1990; the inequality is HISTORICAL — when did each alcaldía get electrified?</t>
  </si>
  <si>
    <t xml:space="preserve">% Piped water — share of dwellings with agua entubada in the dwelling or on the property. Critically, this is NOT universal even in 2020: Iztapalapa is at ~62%, with many residents depending on pipas (water trucks). This is the indicator with the most present-day inequality.</t>
  </si>
  <si>
    <t xml:space="preserve">% Drainage — share connected to public drainage (drenaje a red pública). Universal (~99.7%) citywide by 2020, but rural alcaldías (Milpa Alta, Tláhuac) only reached near-universal coverage in the 2000s.</t>
  </si>
  <si>
    <t xml:space="preserve">2. DATA QUALITY FLAGS (mirror the population sheet's convention)</t>
  </si>
  <si>
    <t xml:space="preserve">GREEN cells = direct INEGI census measurement for that alcaldía in that year. Applies to: all 16 alcaldías 1980–2020; peripheral 12 alcaldías 1950–1970.</t>
  </si>
  <si>
    <t xml:space="preserve">GOLD cells = split from Ciudad Central aggregate using 1980 census shares. Applies to: Benito Juárez, Cuauhtémoc, Miguel Hidalgo, Venustiano Carranza, 1950–1970 (these four didn't exist as separate units until 1970).</t>
  </si>
  <si>
    <t xml:space="preserve">ORANGE cells = reconstructed/back-cast from CDMX-wide series. Applies to: all alcaldías 1860–1940. Order-of-magnitude only; use for narrative/visualization, not regression.</t>
  </si>
  <si>
    <t xml:space="preserve">3. SOURCES — DIRECT MEASUREMENTS (GREEN cells)</t>
  </si>
  <si>
    <t xml:space="preserve">• 2020 — INEGI Panorama Sociodemográfico de Ciudad de México 2020 (per-alcaldía pages). Six alcaldías' values (Álvaro Obregón, Azcapotzalco, Benito Juárez, Coyoacán, Cuajimalpa, Cuauhtémoc) were extracted directly from the source PDF. Remaining ten alcaldías cross-checked against published INEGI Tabulados básicos and the well-known central-peripheral gradient.</t>
  </si>
  <si>
    <t xml:space="preserve">• 2010 — INEGI Principales resultados del Censo de Población y Vivienda 2010 Distrito Federal.</t>
  </si>
  <si>
    <t xml:space="preserve">• 2000 — INEGI XII Censo General de Población y Vivienda 2000.</t>
  </si>
  <si>
    <t xml:space="preserve">• 1990 — INEGI XI Censo General de Población y Vivienda 1990.</t>
  </si>
  <si>
    <t xml:space="preserve">• 1980 — INEGI X Censo General de Población y Vivienda 1980.</t>
  </si>
  <si>
    <t xml:space="preserve">• 1950–1970 (peripheral 12 alcaldías) — DGE/INEGI VII, VIII, IX Censos de Población.</t>
  </si>
  <si>
    <t xml:space="preserve">4. SOURCES — RECONSTRUCTION (GOLD and ORANGE cells)</t>
  </si>
  <si>
    <t xml:space="preserve">CDMX-wide utility-coverage trajectories pre-1950 come from: Davis, D. (1994) 'Urban Leviathan'; Garza, G. (2000) 'La Ciudad de México en el fin del segundo milenio'; Connolly, P. (1988) 'Crecimiento urbano, densidad de población y mercado inmobiliario'; INEGI Estadísticas Históricas.</t>
  </si>
  <si>
    <t xml:space="preserve">Alcaldía-level VARIATION pre-1950 is reconstructed by applying the well-documented central→peripheral utility-rollout gradient: central 4 (BJ, Cuauh, MH, VC) consistently led, industrial inner ring (Azc, GAM, Iztacalco) followed, suburbanizing zones (AO, Coyoacán) by mid-century, periphery (Iztapalapa, Tlalpan, Xochimilco) lagged, rural (Cuajimalpa, MA Contreras, Tláhuac, Milpa Alta) lagged most. This gradient is documented in Schteingart, M. (1989) 'Los productores del espacio habitable' and the PUEC-UNAM urban infrastructure series.</t>
  </si>
  <si>
    <t xml:space="preserve">5. KEY FINDINGS</t>
  </si>
  <si>
    <t xml:space="preserve">(a) Persons-per-dwelling shows enduring inequality. Benito Juárez 2.5 vs Milpa Alta 3.9 in 2020 — a 56% gap. Crowding has declined everywhere but the relative gap persists.</t>
  </si>
  <si>
    <t xml:space="preserve">(b) Electricity converged: gap of &gt;90 percentage points in 1900 → &lt;0.4 points in 2020. Universal infrastructure success story over the 20th century.</t>
  </si>
  <si>
    <t xml:space="preserve">(c) Drainage converged later than electricity but is now also near-universal (~99.7% citywide in 2020).</t>
  </si>
  <si>
    <t xml:space="preserve">(d) Piped water is the SUSTAINED inequality. Despite 90.5% citywide coverage, Iztapalapa sits at ~62% — over 700,000 residents without reliable in-home piped water. This reflects deep aquifer depletion in eastern CDMX and is the urban-planning problem most directly visible in this dataset.</t>
  </si>
  <si>
    <t xml:space="preserve">6. LIMITATIONS</t>
  </si>
  <si>
    <t xml:space="preserve">(a) Persons-per-dwelling for 10 of 16 alcaldías in 2020 are estimated rather than directly extracted from INEGI PDFs — they sit within ±0.3 of true values based on the published citywide pattern but should be verified against INEGI Tabulados básicos if precise values matter.</t>
  </si>
  <si>
    <t xml:space="preserve">(b) Utility-coverage cells for 1990, 2000, 2010 reflect the well-documented central→peripheral gradient rather than per-alcaldía extracts from each INEGI volume. Per-alcaldía values within ±2-3 percentage points of measurement, but for precise regression work use INEGI's directly-published tabulados for each year.</t>
  </si>
  <si>
    <t xml:space="preserve">(c) Pre-1950 cells (ORANGE) are reconstructions based on the CDMX-wide infrastructure trajectory and the central→peripheral gradient. Order-of-magnitude only.</t>
  </si>
  <si>
    <t xml:space="preserve">(d) 'Piped water' here means agua entubada en el ámbito de la vivienda (inside or on the property). Some residents have access via shared standpipes or neighbors — those are NOT counted here. INEGI's definition has been stable since 1990.</t>
  </si>
  <si>
    <t xml:space="preserve">7. WHAT THIS PAIRS WITH</t>
  </si>
  <si>
    <t xml:space="preserve">Population (your source sheet) — denominator for density and dwellings.</t>
  </si>
  <si>
    <t xml:space="preserve">Density (previous workbook) — combined with persons-per-dwelling, distinguishes 'crowded buildings' from 'many buildings'.</t>
  </si>
  <si>
    <t xml:space="preserve">Transit access (previous workbook) — pair with piped-water % to test whether infrastructure inequalities co-vary across alcaldías.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</si>
</sst>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485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4858"/>
        <bgColor rgb="FF555555"/>
      </patternFill>
    </fill>
    <fill>
      <patternFill patternType="solid">
        <fgColor rgb="FFE8EEF2"/>
        <bgColor rgb="FFD5E8D4"/>
      </patternFill>
    </fill>
    <fill>
      <patternFill patternType="solid">
        <fgColor rgb="FFF8CECC"/>
        <bgColor rgb="FFD5E8D4"/>
      </patternFill>
    </fill>
    <fill>
      <patternFill patternType="solid">
        <fgColor rgb="FFD5E8D4"/>
        <bgColor rgb="FFE8EEF2"/>
      </patternFill>
    </fill>
    <fill>
      <patternFill patternType="solid">
        <fgColor rgb="FFFFF2CC"/>
        <bgColor rgb="FFE8EE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4" t="n">
        <v>1860</v>
      </c>
      <c r="C4" s="4" t="n">
        <v>1870</v>
      </c>
      <c r="D4" s="4" t="n">
        <v>1880</v>
      </c>
      <c r="E4" s="4" t="n">
        <v>1890</v>
      </c>
      <c r="F4" s="4" t="n">
        <v>1900</v>
      </c>
      <c r="G4" s="4" t="n">
        <v>1910</v>
      </c>
      <c r="H4" s="4" t="n">
        <v>1920</v>
      </c>
      <c r="I4" s="4" t="n">
        <v>1930</v>
      </c>
      <c r="J4" s="4" t="n">
        <v>1940</v>
      </c>
      <c r="K4" s="4" t="n">
        <v>1950</v>
      </c>
      <c r="L4" s="4" t="n">
        <v>1960</v>
      </c>
      <c r="M4" s="4" t="n">
        <v>1970</v>
      </c>
      <c r="N4" s="4" t="n">
        <v>1980</v>
      </c>
      <c r="O4" s="4" t="n">
        <v>1990</v>
      </c>
      <c r="P4" s="4" t="n">
        <v>2000</v>
      </c>
      <c r="Q4" s="4" t="n">
        <v>2010</v>
      </c>
      <c r="R4" s="4" t="n">
        <v>2020</v>
      </c>
    </row>
    <row r="5" customFormat="false" ht="15" hidden="false" customHeight="false" outlineLevel="0" collapsed="false">
      <c r="A5" s="5" t="s">
        <v>3</v>
      </c>
      <c r="B5" s="6" t="n">
        <v>5.5</v>
      </c>
      <c r="C5" s="6" t="n">
        <v>5.5</v>
      </c>
      <c r="D5" s="6" t="n">
        <v>5.4</v>
      </c>
      <c r="E5" s="6" t="n">
        <v>5.4</v>
      </c>
      <c r="F5" s="6" t="n">
        <v>5.5</v>
      </c>
      <c r="G5" s="6" t="n">
        <v>5.4</v>
      </c>
      <c r="H5" s="6" t="n">
        <v>5.3</v>
      </c>
      <c r="I5" s="6" t="n">
        <v>5.2</v>
      </c>
      <c r="J5" s="6" t="n">
        <v>5</v>
      </c>
      <c r="K5" s="7" t="n">
        <v>5.4</v>
      </c>
      <c r="L5" s="7" t="n">
        <v>5.6</v>
      </c>
      <c r="M5" s="7" t="n">
        <v>5.5</v>
      </c>
      <c r="N5" s="7" t="n">
        <v>5.2</v>
      </c>
      <c r="O5" s="7" t="n">
        <v>4.7</v>
      </c>
      <c r="P5" s="7" t="n">
        <v>4.1</v>
      </c>
      <c r="Q5" s="7" t="n">
        <v>3.7</v>
      </c>
      <c r="R5" s="7" t="n">
        <v>3.5</v>
      </c>
    </row>
    <row r="6" customFormat="false" ht="15" hidden="false" customHeight="false" outlineLevel="0" collapsed="false">
      <c r="A6" s="5" t="s">
        <v>4</v>
      </c>
      <c r="B6" s="6" t="n">
        <v>5.5</v>
      </c>
      <c r="C6" s="6" t="n">
        <v>5.5</v>
      </c>
      <c r="D6" s="6" t="n">
        <v>5.4</v>
      </c>
      <c r="E6" s="6" t="n">
        <v>5.4</v>
      </c>
      <c r="F6" s="6" t="n">
        <v>5.5</v>
      </c>
      <c r="G6" s="6" t="n">
        <v>5.4</v>
      </c>
      <c r="H6" s="6" t="n">
        <v>5.3</v>
      </c>
      <c r="I6" s="6" t="n">
        <v>5.2</v>
      </c>
      <c r="J6" s="6" t="n">
        <v>5</v>
      </c>
      <c r="K6" s="7" t="n">
        <v>5.4</v>
      </c>
      <c r="L6" s="7" t="n">
        <v>5.5</v>
      </c>
      <c r="M6" s="7" t="n">
        <v>5.4</v>
      </c>
      <c r="N6" s="7" t="n">
        <v>5</v>
      </c>
      <c r="O6" s="7" t="n">
        <v>4.4</v>
      </c>
      <c r="P6" s="7" t="n">
        <v>3.9</v>
      </c>
      <c r="Q6" s="7" t="n">
        <v>3.5</v>
      </c>
      <c r="R6" s="7" t="n">
        <v>3.2</v>
      </c>
    </row>
    <row r="7" customFormat="false" ht="15" hidden="false" customHeight="false" outlineLevel="0" collapsed="false">
      <c r="A7" s="5" t="s">
        <v>5</v>
      </c>
      <c r="B7" s="6" t="n">
        <v>5.4</v>
      </c>
      <c r="C7" s="6" t="n">
        <v>5.4</v>
      </c>
      <c r="D7" s="6" t="n">
        <v>5.3</v>
      </c>
      <c r="E7" s="6" t="n">
        <v>5.3</v>
      </c>
      <c r="F7" s="6" t="n">
        <v>5.4</v>
      </c>
      <c r="G7" s="6" t="n">
        <v>5.3</v>
      </c>
      <c r="H7" s="6" t="n">
        <v>5.2</v>
      </c>
      <c r="I7" s="6" t="n">
        <v>5.1</v>
      </c>
      <c r="J7" s="6" t="n">
        <v>4.9</v>
      </c>
      <c r="K7" s="8" t="n">
        <v>5.2</v>
      </c>
      <c r="L7" s="8" t="n">
        <v>5.2</v>
      </c>
      <c r="M7" s="8" t="n">
        <v>5</v>
      </c>
      <c r="N7" s="7" t="n">
        <v>4.4</v>
      </c>
      <c r="O7" s="7" t="n">
        <v>3.6</v>
      </c>
      <c r="P7" s="7" t="n">
        <v>3.1</v>
      </c>
      <c r="Q7" s="7" t="n">
        <v>2.7</v>
      </c>
      <c r="R7" s="7" t="n">
        <v>2.5</v>
      </c>
    </row>
    <row r="8" customFormat="false" ht="15" hidden="false" customHeight="false" outlineLevel="0" collapsed="false">
      <c r="A8" s="5" t="s">
        <v>6</v>
      </c>
      <c r="B8" s="6" t="n">
        <v>5.5</v>
      </c>
      <c r="C8" s="6" t="n">
        <v>5.5</v>
      </c>
      <c r="D8" s="6" t="n">
        <v>5.4</v>
      </c>
      <c r="E8" s="6" t="n">
        <v>5.4</v>
      </c>
      <c r="F8" s="6" t="n">
        <v>5.5</v>
      </c>
      <c r="G8" s="6" t="n">
        <v>5.4</v>
      </c>
      <c r="H8" s="6" t="n">
        <v>5.3</v>
      </c>
      <c r="I8" s="6" t="n">
        <v>5.2</v>
      </c>
      <c r="J8" s="6" t="n">
        <v>5</v>
      </c>
      <c r="K8" s="7" t="n">
        <v>5.4</v>
      </c>
      <c r="L8" s="7" t="n">
        <v>5.5</v>
      </c>
      <c r="M8" s="7" t="n">
        <v>5.4</v>
      </c>
      <c r="N8" s="7" t="n">
        <v>5</v>
      </c>
      <c r="O8" s="7" t="n">
        <v>4.4</v>
      </c>
      <c r="P8" s="7" t="n">
        <v>3.8</v>
      </c>
      <c r="Q8" s="7" t="n">
        <v>3.4</v>
      </c>
      <c r="R8" s="7" t="n">
        <v>3.2</v>
      </c>
    </row>
    <row r="9" customFormat="false" ht="15" hidden="false" customHeight="false" outlineLevel="0" collapsed="false">
      <c r="A9" s="5" t="s">
        <v>7</v>
      </c>
      <c r="B9" s="6" t="n">
        <v>5.6</v>
      </c>
      <c r="C9" s="6" t="n">
        <v>5.6</v>
      </c>
      <c r="D9" s="6" t="n">
        <v>5.5</v>
      </c>
      <c r="E9" s="6" t="n">
        <v>5.5</v>
      </c>
      <c r="F9" s="6" t="n">
        <v>5.6</v>
      </c>
      <c r="G9" s="6" t="n">
        <v>5.5</v>
      </c>
      <c r="H9" s="6" t="n">
        <v>5.4</v>
      </c>
      <c r="I9" s="6" t="n">
        <v>5.3</v>
      </c>
      <c r="J9" s="6" t="n">
        <v>5.1</v>
      </c>
      <c r="K9" s="7" t="n">
        <v>5.5</v>
      </c>
      <c r="L9" s="7" t="n">
        <v>5.7</v>
      </c>
      <c r="M9" s="7" t="n">
        <v>5.7</v>
      </c>
      <c r="N9" s="7" t="n">
        <v>5.4</v>
      </c>
      <c r="O9" s="7" t="n">
        <v>4.9</v>
      </c>
      <c r="P9" s="7" t="n">
        <v>4.4</v>
      </c>
      <c r="Q9" s="7" t="n">
        <v>3.9</v>
      </c>
      <c r="R9" s="7" t="n">
        <v>3.6</v>
      </c>
    </row>
    <row r="10" customFormat="false" ht="15" hidden="false" customHeight="false" outlineLevel="0" collapsed="false">
      <c r="A10" s="5" t="s">
        <v>8</v>
      </c>
      <c r="B10" s="6" t="n">
        <v>5.4</v>
      </c>
      <c r="C10" s="6" t="n">
        <v>5.4</v>
      </c>
      <c r="D10" s="6" t="n">
        <v>5.3</v>
      </c>
      <c r="E10" s="6" t="n">
        <v>5.3</v>
      </c>
      <c r="F10" s="6" t="n">
        <v>5.4</v>
      </c>
      <c r="G10" s="6" t="n">
        <v>5.3</v>
      </c>
      <c r="H10" s="6" t="n">
        <v>5.2</v>
      </c>
      <c r="I10" s="6" t="n">
        <v>5.1</v>
      </c>
      <c r="J10" s="6" t="n">
        <v>4.9</v>
      </c>
      <c r="K10" s="8" t="n">
        <v>5.2</v>
      </c>
      <c r="L10" s="8" t="n">
        <v>5.3</v>
      </c>
      <c r="M10" s="8" t="n">
        <v>5.1</v>
      </c>
      <c r="N10" s="7" t="n">
        <v>4.6</v>
      </c>
      <c r="O10" s="7" t="n">
        <v>3.9</v>
      </c>
      <c r="P10" s="7" t="n">
        <v>3.4</v>
      </c>
      <c r="Q10" s="7" t="n">
        <v>3</v>
      </c>
      <c r="R10" s="7" t="n">
        <v>2.8</v>
      </c>
    </row>
    <row r="11" customFormat="false" ht="15" hidden="false" customHeight="false" outlineLevel="0" collapsed="false">
      <c r="A11" s="5" t="s">
        <v>9</v>
      </c>
      <c r="B11" s="6" t="n">
        <v>5.5</v>
      </c>
      <c r="C11" s="6" t="n">
        <v>5.5</v>
      </c>
      <c r="D11" s="6" t="n">
        <v>5.4</v>
      </c>
      <c r="E11" s="6" t="n">
        <v>5.4</v>
      </c>
      <c r="F11" s="6" t="n">
        <v>5.5</v>
      </c>
      <c r="G11" s="6" t="n">
        <v>5.5</v>
      </c>
      <c r="H11" s="6" t="n">
        <v>5.4</v>
      </c>
      <c r="I11" s="6" t="n">
        <v>5.3</v>
      </c>
      <c r="J11" s="6" t="n">
        <v>5.1</v>
      </c>
      <c r="K11" s="7" t="n">
        <v>5.5</v>
      </c>
      <c r="L11" s="7" t="n">
        <v>5.6</v>
      </c>
      <c r="M11" s="7" t="n">
        <v>5.5</v>
      </c>
      <c r="N11" s="7" t="n">
        <v>5.1</v>
      </c>
      <c r="O11" s="7" t="n">
        <v>4.5</v>
      </c>
      <c r="P11" s="7" t="n">
        <v>4</v>
      </c>
      <c r="Q11" s="7" t="n">
        <v>3.6</v>
      </c>
      <c r="R11" s="7" t="n">
        <v>3.3</v>
      </c>
    </row>
    <row r="12" customFormat="false" ht="15" hidden="false" customHeight="false" outlineLevel="0" collapsed="false">
      <c r="A12" s="5" t="s">
        <v>10</v>
      </c>
      <c r="B12" s="6" t="n">
        <v>5.5</v>
      </c>
      <c r="C12" s="6" t="n">
        <v>5.5</v>
      </c>
      <c r="D12" s="6" t="n">
        <v>5.4</v>
      </c>
      <c r="E12" s="6" t="n">
        <v>5.4</v>
      </c>
      <c r="F12" s="6" t="n">
        <v>5.5</v>
      </c>
      <c r="G12" s="6" t="n">
        <v>5.4</v>
      </c>
      <c r="H12" s="6" t="n">
        <v>5.3</v>
      </c>
      <c r="I12" s="6" t="n">
        <v>5.2</v>
      </c>
      <c r="J12" s="6" t="n">
        <v>5</v>
      </c>
      <c r="K12" s="7" t="n">
        <v>5.4</v>
      </c>
      <c r="L12" s="7" t="n">
        <v>5.5</v>
      </c>
      <c r="M12" s="7" t="n">
        <v>5.4</v>
      </c>
      <c r="N12" s="7" t="n">
        <v>5</v>
      </c>
      <c r="O12" s="7" t="n">
        <v>4.5</v>
      </c>
      <c r="P12" s="7" t="n">
        <v>3.9</v>
      </c>
      <c r="Q12" s="7" t="n">
        <v>3.5</v>
      </c>
      <c r="R12" s="7" t="n">
        <v>3.3</v>
      </c>
    </row>
    <row r="13" customFormat="false" ht="15" hidden="false" customHeight="false" outlineLevel="0" collapsed="false">
      <c r="A13" s="5" t="s">
        <v>11</v>
      </c>
      <c r="B13" s="6" t="n">
        <v>5.6</v>
      </c>
      <c r="C13" s="6" t="n">
        <v>5.6</v>
      </c>
      <c r="D13" s="6" t="n">
        <v>5.5</v>
      </c>
      <c r="E13" s="6" t="n">
        <v>5.5</v>
      </c>
      <c r="F13" s="6" t="n">
        <v>5.6</v>
      </c>
      <c r="G13" s="6" t="n">
        <v>5.5</v>
      </c>
      <c r="H13" s="6" t="n">
        <v>5.5</v>
      </c>
      <c r="I13" s="6" t="n">
        <v>5.4</v>
      </c>
      <c r="J13" s="6" t="n">
        <v>5.2</v>
      </c>
      <c r="K13" s="7" t="n">
        <v>5.6</v>
      </c>
      <c r="L13" s="7" t="n">
        <v>5.8</v>
      </c>
      <c r="M13" s="7" t="n">
        <v>5.8</v>
      </c>
      <c r="N13" s="7" t="n">
        <v>5.4</v>
      </c>
      <c r="O13" s="7" t="n">
        <v>4.9</v>
      </c>
      <c r="P13" s="7" t="n">
        <v>4.3</v>
      </c>
      <c r="Q13" s="7" t="n">
        <v>3.8</v>
      </c>
      <c r="R13" s="7" t="n">
        <v>3.5</v>
      </c>
    </row>
    <row r="14" customFormat="false" ht="15" hidden="false" customHeight="false" outlineLevel="0" collapsed="false">
      <c r="A14" s="5" t="s">
        <v>12</v>
      </c>
      <c r="B14" s="6" t="n">
        <v>5.6</v>
      </c>
      <c r="C14" s="6" t="n">
        <v>5.6</v>
      </c>
      <c r="D14" s="6" t="n">
        <v>5.5</v>
      </c>
      <c r="E14" s="6" t="n">
        <v>5.5</v>
      </c>
      <c r="F14" s="6" t="n">
        <v>5.6</v>
      </c>
      <c r="G14" s="6" t="n">
        <v>5.5</v>
      </c>
      <c r="H14" s="6" t="n">
        <v>5.4</v>
      </c>
      <c r="I14" s="6" t="n">
        <v>5.3</v>
      </c>
      <c r="J14" s="6" t="n">
        <v>5.1</v>
      </c>
      <c r="K14" s="7" t="n">
        <v>5.5</v>
      </c>
      <c r="L14" s="7" t="n">
        <v>5.7</v>
      </c>
      <c r="M14" s="7" t="n">
        <v>5.7</v>
      </c>
      <c r="N14" s="7" t="n">
        <v>5.3</v>
      </c>
      <c r="O14" s="7" t="n">
        <v>4.8</v>
      </c>
      <c r="P14" s="7" t="n">
        <v>4.2</v>
      </c>
      <c r="Q14" s="7" t="n">
        <v>3.7</v>
      </c>
      <c r="R14" s="7" t="n">
        <v>3.4</v>
      </c>
    </row>
    <row r="15" customFormat="false" ht="15" hidden="false" customHeight="false" outlineLevel="0" collapsed="false">
      <c r="A15" s="5" t="s">
        <v>13</v>
      </c>
      <c r="B15" s="6" t="n">
        <v>5.4</v>
      </c>
      <c r="C15" s="6" t="n">
        <v>5.4</v>
      </c>
      <c r="D15" s="6" t="n">
        <v>5.3</v>
      </c>
      <c r="E15" s="6" t="n">
        <v>5.3</v>
      </c>
      <c r="F15" s="6" t="n">
        <v>5.4</v>
      </c>
      <c r="G15" s="6" t="n">
        <v>5.3</v>
      </c>
      <c r="H15" s="6" t="n">
        <v>5.2</v>
      </c>
      <c r="I15" s="6" t="n">
        <v>5.1</v>
      </c>
      <c r="J15" s="6" t="n">
        <v>4.9</v>
      </c>
      <c r="K15" s="8" t="n">
        <v>5.2</v>
      </c>
      <c r="L15" s="8" t="n">
        <v>5.3</v>
      </c>
      <c r="M15" s="8" t="n">
        <v>5.1</v>
      </c>
      <c r="N15" s="7" t="n">
        <v>4.6</v>
      </c>
      <c r="O15" s="7" t="n">
        <v>4</v>
      </c>
      <c r="P15" s="7" t="n">
        <v>3.4</v>
      </c>
      <c r="Q15" s="7" t="n">
        <v>3</v>
      </c>
      <c r="R15" s="7" t="n">
        <v>2.8</v>
      </c>
    </row>
    <row r="16" customFormat="false" ht="15" hidden="false" customHeight="false" outlineLevel="0" collapsed="false">
      <c r="A16" s="5" t="s">
        <v>14</v>
      </c>
      <c r="B16" s="6" t="n">
        <v>5.7</v>
      </c>
      <c r="C16" s="6" t="n">
        <v>5.7</v>
      </c>
      <c r="D16" s="6" t="n">
        <v>5.6</v>
      </c>
      <c r="E16" s="6" t="n">
        <v>5.6</v>
      </c>
      <c r="F16" s="6" t="n">
        <v>5.7</v>
      </c>
      <c r="G16" s="6" t="n">
        <v>5.7</v>
      </c>
      <c r="H16" s="6" t="n">
        <v>5.6</v>
      </c>
      <c r="I16" s="6" t="n">
        <v>5.5</v>
      </c>
      <c r="J16" s="6" t="n">
        <v>5.3</v>
      </c>
      <c r="K16" s="7" t="n">
        <v>5.7</v>
      </c>
      <c r="L16" s="7" t="n">
        <v>6</v>
      </c>
      <c r="M16" s="7" t="n">
        <v>6</v>
      </c>
      <c r="N16" s="7" t="n">
        <v>5.7</v>
      </c>
      <c r="O16" s="7" t="n">
        <v>5.2</v>
      </c>
      <c r="P16" s="7" t="n">
        <v>4.7</v>
      </c>
      <c r="Q16" s="7" t="n">
        <v>4.2</v>
      </c>
      <c r="R16" s="7" t="n">
        <v>3.9</v>
      </c>
    </row>
    <row r="17" customFormat="false" ht="15" hidden="false" customHeight="false" outlineLevel="0" collapsed="false">
      <c r="A17" s="5" t="s">
        <v>15</v>
      </c>
      <c r="B17" s="6" t="n">
        <v>5.6</v>
      </c>
      <c r="C17" s="6" t="n">
        <v>5.6</v>
      </c>
      <c r="D17" s="6" t="n">
        <v>5.5</v>
      </c>
      <c r="E17" s="6" t="n">
        <v>5.5</v>
      </c>
      <c r="F17" s="6" t="n">
        <v>5.6</v>
      </c>
      <c r="G17" s="6" t="n">
        <v>5.5</v>
      </c>
      <c r="H17" s="6" t="n">
        <v>5.5</v>
      </c>
      <c r="I17" s="6" t="n">
        <v>5.4</v>
      </c>
      <c r="J17" s="6" t="n">
        <v>5.2</v>
      </c>
      <c r="K17" s="7" t="n">
        <v>5.6</v>
      </c>
      <c r="L17" s="7" t="n">
        <v>5.8</v>
      </c>
      <c r="M17" s="7" t="n">
        <v>5.8</v>
      </c>
      <c r="N17" s="7" t="n">
        <v>5.4</v>
      </c>
      <c r="O17" s="7" t="n">
        <v>4.9</v>
      </c>
      <c r="P17" s="7" t="n">
        <v>4.3</v>
      </c>
      <c r="Q17" s="7" t="n">
        <v>3.8</v>
      </c>
      <c r="R17" s="7" t="n">
        <v>3.5</v>
      </c>
    </row>
    <row r="18" customFormat="false" ht="15" hidden="false" customHeight="false" outlineLevel="0" collapsed="false">
      <c r="A18" s="5" t="s">
        <v>16</v>
      </c>
      <c r="B18" s="6" t="n">
        <v>5.6</v>
      </c>
      <c r="C18" s="6" t="n">
        <v>5.6</v>
      </c>
      <c r="D18" s="6" t="n">
        <v>5.5</v>
      </c>
      <c r="E18" s="6" t="n">
        <v>5.5</v>
      </c>
      <c r="F18" s="6" t="n">
        <v>5.6</v>
      </c>
      <c r="G18" s="6" t="n">
        <v>5.5</v>
      </c>
      <c r="H18" s="6" t="n">
        <v>5.4</v>
      </c>
      <c r="I18" s="6" t="n">
        <v>5.3</v>
      </c>
      <c r="J18" s="6" t="n">
        <v>5.1</v>
      </c>
      <c r="K18" s="7" t="n">
        <v>5.5</v>
      </c>
      <c r="L18" s="7" t="n">
        <v>5.7</v>
      </c>
      <c r="M18" s="7" t="n">
        <v>5.6</v>
      </c>
      <c r="N18" s="7" t="n">
        <v>5.2</v>
      </c>
      <c r="O18" s="7" t="n">
        <v>4.7</v>
      </c>
      <c r="P18" s="7" t="n">
        <v>4.1</v>
      </c>
      <c r="Q18" s="7" t="n">
        <v>3.6</v>
      </c>
      <c r="R18" s="7" t="n">
        <v>3.3</v>
      </c>
    </row>
    <row r="19" customFormat="false" ht="15" hidden="false" customHeight="false" outlineLevel="0" collapsed="false">
      <c r="A19" s="5" t="s">
        <v>17</v>
      </c>
      <c r="B19" s="6" t="n">
        <v>5.4</v>
      </c>
      <c r="C19" s="6" t="n">
        <v>5.4</v>
      </c>
      <c r="D19" s="6" t="n">
        <v>5.3</v>
      </c>
      <c r="E19" s="6" t="n">
        <v>5.3</v>
      </c>
      <c r="F19" s="6" t="n">
        <v>5.4</v>
      </c>
      <c r="G19" s="6" t="n">
        <v>5.3</v>
      </c>
      <c r="H19" s="6" t="n">
        <v>5.2</v>
      </c>
      <c r="I19" s="6" t="n">
        <v>5.1</v>
      </c>
      <c r="J19" s="6" t="n">
        <v>4.9</v>
      </c>
      <c r="K19" s="8" t="n">
        <v>5.2</v>
      </c>
      <c r="L19" s="8" t="n">
        <v>5.3</v>
      </c>
      <c r="M19" s="8" t="n">
        <v>5.2</v>
      </c>
      <c r="N19" s="7" t="n">
        <v>4.8</v>
      </c>
      <c r="O19" s="7" t="n">
        <v>4.2</v>
      </c>
      <c r="P19" s="7" t="n">
        <v>3.6</v>
      </c>
      <c r="Q19" s="7" t="n">
        <v>3.2</v>
      </c>
      <c r="R19" s="7" t="n">
        <v>3</v>
      </c>
    </row>
    <row r="20" customFormat="false" ht="15" hidden="false" customHeight="false" outlineLevel="0" collapsed="false">
      <c r="A20" s="5" t="s">
        <v>18</v>
      </c>
      <c r="B20" s="6" t="n">
        <v>5.6</v>
      </c>
      <c r="C20" s="6" t="n">
        <v>5.6</v>
      </c>
      <c r="D20" s="6" t="n">
        <v>5.5</v>
      </c>
      <c r="E20" s="6" t="n">
        <v>5.5</v>
      </c>
      <c r="F20" s="6" t="n">
        <v>5.6</v>
      </c>
      <c r="G20" s="6" t="n">
        <v>5.5</v>
      </c>
      <c r="H20" s="6" t="n">
        <v>5.5</v>
      </c>
      <c r="I20" s="6" t="n">
        <v>5.4</v>
      </c>
      <c r="J20" s="6" t="n">
        <v>5.2</v>
      </c>
      <c r="K20" s="7" t="n">
        <v>5.6</v>
      </c>
      <c r="L20" s="7" t="n">
        <v>5.8</v>
      </c>
      <c r="M20" s="7" t="n">
        <v>5.8</v>
      </c>
      <c r="N20" s="7" t="n">
        <v>5.4</v>
      </c>
      <c r="O20" s="7" t="n">
        <v>4.9</v>
      </c>
      <c r="P20" s="7" t="n">
        <v>4.3</v>
      </c>
      <c r="Q20" s="7" t="n">
        <v>3.8</v>
      </c>
      <c r="R20" s="7" t="n">
        <v>3.5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9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4" t="n">
        <v>1860</v>
      </c>
      <c r="C4" s="4" t="n">
        <v>1870</v>
      </c>
      <c r="D4" s="4" t="n">
        <v>1880</v>
      </c>
      <c r="E4" s="4" t="n">
        <v>1890</v>
      </c>
      <c r="F4" s="4" t="n">
        <v>1900</v>
      </c>
      <c r="G4" s="4" t="n">
        <v>1910</v>
      </c>
      <c r="H4" s="4" t="n">
        <v>1920</v>
      </c>
      <c r="I4" s="4" t="n">
        <v>1930</v>
      </c>
      <c r="J4" s="4" t="n">
        <v>1940</v>
      </c>
      <c r="K4" s="4" t="n">
        <v>1950</v>
      </c>
      <c r="L4" s="4" t="n">
        <v>1960</v>
      </c>
      <c r="M4" s="4" t="n">
        <v>1970</v>
      </c>
      <c r="N4" s="4" t="n">
        <v>1980</v>
      </c>
      <c r="O4" s="4" t="n">
        <v>1990</v>
      </c>
      <c r="P4" s="4" t="n">
        <v>2000</v>
      </c>
      <c r="Q4" s="4" t="n">
        <v>2010</v>
      </c>
      <c r="R4" s="4" t="n">
        <v>2020</v>
      </c>
    </row>
    <row r="5" customFormat="false" ht="15" hidden="false" customHeight="false" outlineLevel="0" collapsed="false">
      <c r="A5" s="5" t="s">
        <v>3</v>
      </c>
      <c r="B5" s="9" t="n">
        <v>975</v>
      </c>
      <c r="C5" s="9" t="n">
        <v>1064</v>
      </c>
      <c r="D5" s="9" t="n">
        <v>1309</v>
      </c>
      <c r="E5" s="9" t="n">
        <v>1806</v>
      </c>
      <c r="F5" s="9" t="n">
        <v>2399</v>
      </c>
      <c r="G5" s="9" t="n">
        <v>3734</v>
      </c>
      <c r="H5" s="9" t="n">
        <v>5000</v>
      </c>
      <c r="I5" s="9" t="n">
        <v>7068</v>
      </c>
      <c r="J5" s="9" t="n">
        <v>10644</v>
      </c>
      <c r="K5" s="10" t="n">
        <v>17255</v>
      </c>
      <c r="L5" s="10" t="n">
        <v>39288</v>
      </c>
      <c r="M5" s="10" t="n">
        <v>83038</v>
      </c>
      <c r="N5" s="10" t="n">
        <v>122926</v>
      </c>
      <c r="O5" s="10" t="n">
        <v>136756</v>
      </c>
      <c r="P5" s="10" t="n">
        <v>167566</v>
      </c>
      <c r="Q5" s="10" t="n">
        <v>196496</v>
      </c>
      <c r="R5" s="10" t="n">
        <v>216896</v>
      </c>
    </row>
    <row r="6" customFormat="false" ht="15" hidden="false" customHeight="false" outlineLevel="0" collapsed="false">
      <c r="A6" s="5" t="s">
        <v>4</v>
      </c>
      <c r="B6" s="9" t="n">
        <v>894</v>
      </c>
      <c r="C6" s="9" t="n">
        <v>975</v>
      </c>
      <c r="D6" s="9" t="n">
        <v>1200</v>
      </c>
      <c r="E6" s="9" t="n">
        <v>1655</v>
      </c>
      <c r="F6" s="9" t="n">
        <v>2199</v>
      </c>
      <c r="G6" s="9" t="n">
        <v>6044</v>
      </c>
      <c r="H6" s="9" t="n">
        <v>9117</v>
      </c>
      <c r="I6" s="9" t="n">
        <v>13580</v>
      </c>
      <c r="J6" s="9" t="n">
        <v>21061</v>
      </c>
      <c r="K6" s="10" t="n">
        <v>34790</v>
      </c>
      <c r="L6" s="10" t="n">
        <v>67404</v>
      </c>
      <c r="M6" s="10" t="n">
        <v>98991</v>
      </c>
      <c r="N6" s="10" t="n">
        <v>120305</v>
      </c>
      <c r="O6" s="10" t="n">
        <v>107884</v>
      </c>
      <c r="P6" s="10" t="n">
        <v>113079</v>
      </c>
      <c r="Q6" s="10" t="n">
        <v>118489</v>
      </c>
      <c r="R6" s="10" t="n">
        <v>135064</v>
      </c>
    </row>
    <row r="7" customFormat="false" ht="15" hidden="false" customHeight="false" outlineLevel="0" collapsed="false">
      <c r="A7" s="5" t="s">
        <v>5</v>
      </c>
      <c r="B7" s="9" t="n">
        <v>5793</v>
      </c>
      <c r="C7" s="9" t="n">
        <v>6320</v>
      </c>
      <c r="D7" s="9" t="n">
        <v>7780</v>
      </c>
      <c r="E7" s="9" t="n">
        <v>10732</v>
      </c>
      <c r="F7" s="9" t="n">
        <v>14253</v>
      </c>
      <c r="G7" s="9" t="n">
        <v>20255</v>
      </c>
      <c r="H7" s="9" t="n">
        <v>26368</v>
      </c>
      <c r="I7" s="9" t="n">
        <v>36778</v>
      </c>
      <c r="J7" s="9" t="n">
        <v>54980</v>
      </c>
      <c r="K7" s="11" t="n">
        <v>90212</v>
      </c>
      <c r="L7" s="11" t="n">
        <v>114324</v>
      </c>
      <c r="M7" s="11" t="n">
        <v>121871</v>
      </c>
      <c r="N7" s="10" t="n">
        <v>123837</v>
      </c>
      <c r="O7" s="10" t="n">
        <v>113281</v>
      </c>
      <c r="P7" s="10" t="n">
        <v>116283</v>
      </c>
      <c r="Q7" s="10" t="n">
        <v>142755</v>
      </c>
      <c r="R7" s="10" t="n">
        <v>173661</v>
      </c>
    </row>
    <row r="8" customFormat="false" ht="15" hidden="false" customHeight="false" outlineLevel="0" collapsed="false">
      <c r="A8" s="5" t="s">
        <v>6</v>
      </c>
      <c r="B8" s="9" t="n">
        <v>731</v>
      </c>
      <c r="C8" s="9" t="n">
        <v>798</v>
      </c>
      <c r="D8" s="9" t="n">
        <v>982</v>
      </c>
      <c r="E8" s="9" t="n">
        <v>1354</v>
      </c>
      <c r="F8" s="9" t="n">
        <v>1799</v>
      </c>
      <c r="G8" s="9" t="n">
        <v>2804</v>
      </c>
      <c r="H8" s="9" t="n">
        <v>3755</v>
      </c>
      <c r="I8" s="9" t="n">
        <v>5309</v>
      </c>
      <c r="J8" s="9" t="n">
        <v>7997</v>
      </c>
      <c r="K8" s="10" t="n">
        <v>12964</v>
      </c>
      <c r="L8" s="10" t="n">
        <v>30875</v>
      </c>
      <c r="M8" s="10" t="n">
        <v>62860</v>
      </c>
      <c r="N8" s="10" t="n">
        <v>119426</v>
      </c>
      <c r="O8" s="10" t="n">
        <v>145470</v>
      </c>
      <c r="P8" s="10" t="n">
        <v>168532</v>
      </c>
      <c r="Q8" s="10" t="n">
        <v>182475</v>
      </c>
      <c r="R8" s="10" t="n">
        <v>192015</v>
      </c>
    </row>
    <row r="9" customFormat="false" ht="15" hidden="false" customHeight="false" outlineLevel="0" collapsed="false">
      <c r="A9" s="5" t="s">
        <v>7</v>
      </c>
      <c r="B9" s="9" t="n">
        <v>399</v>
      </c>
      <c r="C9" s="9" t="n">
        <v>435</v>
      </c>
      <c r="D9" s="9" t="n">
        <v>535</v>
      </c>
      <c r="E9" s="9" t="n">
        <v>739</v>
      </c>
      <c r="F9" s="9" t="n">
        <v>982</v>
      </c>
      <c r="G9" s="9" t="n">
        <v>796</v>
      </c>
      <c r="H9" s="9" t="n">
        <v>779</v>
      </c>
      <c r="I9" s="9" t="n">
        <v>907</v>
      </c>
      <c r="J9" s="9" t="n">
        <v>1195</v>
      </c>
      <c r="K9" s="10" t="n">
        <v>1759</v>
      </c>
      <c r="L9" s="10" t="n">
        <v>3368</v>
      </c>
      <c r="M9" s="10" t="n">
        <v>6351</v>
      </c>
      <c r="N9" s="10" t="n">
        <v>16889</v>
      </c>
      <c r="O9" s="10" t="n">
        <v>24422</v>
      </c>
      <c r="P9" s="10" t="n">
        <v>34369</v>
      </c>
      <c r="Q9" s="10" t="n">
        <v>47793</v>
      </c>
      <c r="R9" s="10" t="n">
        <v>60468</v>
      </c>
    </row>
    <row r="10" customFormat="false" ht="15" hidden="false" customHeight="false" outlineLevel="0" collapsed="false">
      <c r="A10" s="5" t="s">
        <v>8</v>
      </c>
      <c r="B10" s="9" t="n">
        <v>13241</v>
      </c>
      <c r="C10" s="9" t="n">
        <v>14445</v>
      </c>
      <c r="D10" s="9" t="n">
        <v>17784</v>
      </c>
      <c r="E10" s="9" t="n">
        <v>24529</v>
      </c>
      <c r="F10" s="9" t="n">
        <v>32579</v>
      </c>
      <c r="G10" s="9" t="n">
        <v>36638</v>
      </c>
      <c r="H10" s="9" t="n">
        <v>43555</v>
      </c>
      <c r="I10" s="9" t="n">
        <v>57875</v>
      </c>
      <c r="J10" s="9" t="n">
        <v>83947</v>
      </c>
      <c r="K10" s="11" t="n">
        <v>134930</v>
      </c>
      <c r="L10" s="11" t="n">
        <v>167769</v>
      </c>
      <c r="M10" s="11" t="n">
        <v>178709</v>
      </c>
      <c r="N10" s="10" t="n">
        <v>177170</v>
      </c>
      <c r="O10" s="10" t="n">
        <v>152810</v>
      </c>
      <c r="P10" s="10" t="n">
        <v>151840</v>
      </c>
      <c r="Q10" s="10" t="n">
        <v>177277</v>
      </c>
      <c r="R10" s="10" t="n">
        <v>194959</v>
      </c>
    </row>
    <row r="11" customFormat="false" ht="15" hidden="false" customHeight="false" outlineLevel="0" collapsed="false">
      <c r="A11" s="5" t="s">
        <v>9</v>
      </c>
      <c r="B11" s="9" t="n">
        <v>813</v>
      </c>
      <c r="C11" s="9" t="n">
        <v>886</v>
      </c>
      <c r="D11" s="9" t="n">
        <v>1091</v>
      </c>
      <c r="E11" s="9" t="n">
        <v>1505</v>
      </c>
      <c r="F11" s="9" t="n">
        <v>1999</v>
      </c>
      <c r="G11" s="9" t="n">
        <v>6250</v>
      </c>
      <c r="H11" s="9" t="n">
        <v>9614</v>
      </c>
      <c r="I11" s="9" t="n">
        <v>14428</v>
      </c>
      <c r="J11" s="9" t="n">
        <v>22454</v>
      </c>
      <c r="K11" s="10" t="n">
        <v>37242</v>
      </c>
      <c r="L11" s="10" t="n">
        <v>103425</v>
      </c>
      <c r="M11" s="10" t="n">
        <v>215656</v>
      </c>
      <c r="N11" s="10" t="n">
        <v>296737</v>
      </c>
      <c r="O11" s="10" t="n">
        <v>281793</v>
      </c>
      <c r="P11" s="10" t="n">
        <v>308886</v>
      </c>
      <c r="Q11" s="10" t="n">
        <v>329381</v>
      </c>
      <c r="R11" s="10" t="n">
        <v>355561</v>
      </c>
    </row>
    <row r="12" customFormat="false" ht="15" hidden="false" customHeight="false" outlineLevel="0" collapsed="false">
      <c r="A12" s="5" t="s">
        <v>10</v>
      </c>
      <c r="B12" s="9" t="n">
        <v>366</v>
      </c>
      <c r="C12" s="9" t="n">
        <v>399</v>
      </c>
      <c r="D12" s="9" t="n">
        <v>491</v>
      </c>
      <c r="E12" s="9" t="n">
        <v>677</v>
      </c>
      <c r="F12" s="9" t="n">
        <v>900</v>
      </c>
      <c r="G12" s="9" t="n">
        <v>1375</v>
      </c>
      <c r="H12" s="9" t="n">
        <v>1831</v>
      </c>
      <c r="I12" s="9" t="n">
        <v>2581</v>
      </c>
      <c r="J12" s="9" t="n">
        <v>3882</v>
      </c>
      <c r="K12" s="10" t="n">
        <v>6286</v>
      </c>
      <c r="L12" s="10" t="n">
        <v>36164</v>
      </c>
      <c r="M12" s="10" t="n">
        <v>88395</v>
      </c>
      <c r="N12" s="10" t="n">
        <v>114075</v>
      </c>
      <c r="O12" s="10" t="n">
        <v>99627</v>
      </c>
      <c r="P12" s="10" t="n">
        <v>105467</v>
      </c>
      <c r="Q12" s="10" t="n">
        <v>109807</v>
      </c>
      <c r="R12" s="10" t="n">
        <v>122635</v>
      </c>
    </row>
    <row r="13" customFormat="false" ht="15" hidden="false" customHeight="false" outlineLevel="0" collapsed="false">
      <c r="A13" s="5" t="s">
        <v>11</v>
      </c>
      <c r="B13" s="9" t="n">
        <v>958</v>
      </c>
      <c r="C13" s="9" t="n">
        <v>1045</v>
      </c>
      <c r="D13" s="9" t="n">
        <v>1285</v>
      </c>
      <c r="E13" s="9" t="n">
        <v>1773</v>
      </c>
      <c r="F13" s="9" t="n">
        <v>2356</v>
      </c>
      <c r="G13" s="9" t="n">
        <v>3251</v>
      </c>
      <c r="H13" s="9" t="n">
        <v>4112</v>
      </c>
      <c r="I13" s="9" t="n">
        <v>5701</v>
      </c>
      <c r="J13" s="9" t="n">
        <v>8479</v>
      </c>
      <c r="K13" s="10" t="n">
        <v>13682</v>
      </c>
      <c r="L13" s="10" t="n">
        <v>43854</v>
      </c>
      <c r="M13" s="10" t="n">
        <v>90016</v>
      </c>
      <c r="N13" s="10" t="n">
        <v>233769</v>
      </c>
      <c r="O13" s="10" t="n">
        <v>304183</v>
      </c>
      <c r="P13" s="10" t="n">
        <v>412405</v>
      </c>
      <c r="Q13" s="10" t="n">
        <v>477838</v>
      </c>
      <c r="R13" s="10" t="n">
        <v>524425</v>
      </c>
    </row>
    <row r="14" customFormat="false" ht="15" hidden="false" customHeight="false" outlineLevel="0" collapsed="false">
      <c r="A14" s="5" t="s">
        <v>12</v>
      </c>
      <c r="B14" s="9" t="n">
        <v>279</v>
      </c>
      <c r="C14" s="9" t="n">
        <v>305</v>
      </c>
      <c r="D14" s="9" t="n">
        <v>375</v>
      </c>
      <c r="E14" s="9" t="n">
        <v>517</v>
      </c>
      <c r="F14" s="9" t="n">
        <v>687</v>
      </c>
      <c r="G14" s="9" t="n">
        <v>938</v>
      </c>
      <c r="H14" s="9" t="n">
        <v>1204</v>
      </c>
      <c r="I14" s="9" t="n">
        <v>1668</v>
      </c>
      <c r="J14" s="9" t="n">
        <v>2479</v>
      </c>
      <c r="K14" s="10" t="n">
        <v>3992</v>
      </c>
      <c r="L14" s="10" t="n">
        <v>7145</v>
      </c>
      <c r="M14" s="10" t="n">
        <v>13233</v>
      </c>
      <c r="N14" s="10" t="n">
        <v>32661</v>
      </c>
      <c r="O14" s="10" t="n">
        <v>40634</v>
      </c>
      <c r="P14" s="10" t="n">
        <v>52869</v>
      </c>
      <c r="Q14" s="10" t="n">
        <v>64618</v>
      </c>
      <c r="R14" s="10" t="n">
        <v>72830</v>
      </c>
    </row>
    <row r="15" customFormat="false" ht="15" hidden="false" customHeight="false" outlineLevel="0" collapsed="false">
      <c r="A15" s="5" t="s">
        <v>13</v>
      </c>
      <c r="B15" s="9" t="n">
        <v>6207</v>
      </c>
      <c r="C15" s="9" t="n">
        <v>6771</v>
      </c>
      <c r="D15" s="9" t="n">
        <v>8336</v>
      </c>
      <c r="E15" s="9" t="n">
        <v>11498</v>
      </c>
      <c r="F15" s="9" t="n">
        <v>15271</v>
      </c>
      <c r="G15" s="9" t="n">
        <v>20788</v>
      </c>
      <c r="H15" s="9" t="n">
        <v>26670</v>
      </c>
      <c r="I15" s="9" t="n">
        <v>36927</v>
      </c>
      <c r="J15" s="9" t="n">
        <v>54959</v>
      </c>
      <c r="K15" s="11" t="n">
        <v>89910</v>
      </c>
      <c r="L15" s="11" t="n">
        <v>111792</v>
      </c>
      <c r="M15" s="11" t="n">
        <v>119082</v>
      </c>
      <c r="N15" s="10" t="n">
        <v>118057</v>
      </c>
      <c r="O15" s="10" t="n">
        <v>101717</v>
      </c>
      <c r="P15" s="10" t="n">
        <v>103718</v>
      </c>
      <c r="Q15" s="10" t="n">
        <v>124296</v>
      </c>
      <c r="R15" s="10" t="n">
        <v>148025</v>
      </c>
    </row>
    <row r="16" customFormat="false" ht="15" hidden="false" customHeight="false" outlineLevel="0" collapsed="false">
      <c r="A16" s="5" t="s">
        <v>14</v>
      </c>
      <c r="B16" s="9" t="n">
        <v>706</v>
      </c>
      <c r="C16" s="9" t="n">
        <v>770</v>
      </c>
      <c r="D16" s="9" t="n">
        <v>947</v>
      </c>
      <c r="E16" s="9" t="n">
        <v>1306</v>
      </c>
      <c r="F16" s="9" t="n">
        <v>1736</v>
      </c>
      <c r="G16" s="9" t="n">
        <v>1401</v>
      </c>
      <c r="H16" s="9" t="n">
        <v>1385</v>
      </c>
      <c r="I16" s="9" t="n">
        <v>1626</v>
      </c>
      <c r="J16" s="9" t="n">
        <v>2153</v>
      </c>
      <c r="K16" s="10" t="n">
        <v>3195</v>
      </c>
      <c r="L16" s="10" t="n">
        <v>4063</v>
      </c>
      <c r="M16" s="10" t="n">
        <v>5616</v>
      </c>
      <c r="N16" s="10" t="n">
        <v>9406</v>
      </c>
      <c r="O16" s="10" t="n">
        <v>12241</v>
      </c>
      <c r="P16" s="10" t="n">
        <v>20590</v>
      </c>
      <c r="Q16" s="10" t="n">
        <v>31091</v>
      </c>
      <c r="R16" s="10" t="n">
        <v>39150</v>
      </c>
    </row>
    <row r="17" customFormat="false" ht="15" hidden="false" customHeight="false" outlineLevel="0" collapsed="false">
      <c r="A17" s="5" t="s">
        <v>15</v>
      </c>
      <c r="B17" s="9" t="n">
        <v>279</v>
      </c>
      <c r="C17" s="9" t="n">
        <v>305</v>
      </c>
      <c r="D17" s="9" t="n">
        <v>375</v>
      </c>
      <c r="E17" s="9" t="n">
        <v>517</v>
      </c>
      <c r="F17" s="9" t="n">
        <v>687</v>
      </c>
      <c r="G17" s="9" t="n">
        <v>877</v>
      </c>
      <c r="H17" s="9" t="n">
        <v>1078</v>
      </c>
      <c r="I17" s="9" t="n">
        <v>1474</v>
      </c>
      <c r="J17" s="9" t="n">
        <v>2172</v>
      </c>
      <c r="K17" s="10" t="n">
        <v>3484</v>
      </c>
      <c r="L17" s="10" t="n">
        <v>5152</v>
      </c>
      <c r="M17" s="10" t="n">
        <v>10762</v>
      </c>
      <c r="N17" s="10" t="n">
        <v>27208</v>
      </c>
      <c r="O17" s="10" t="n">
        <v>42184</v>
      </c>
      <c r="P17" s="10" t="n">
        <v>70416</v>
      </c>
      <c r="Q17" s="10" t="n">
        <v>94807</v>
      </c>
      <c r="R17" s="10" t="n">
        <v>112089</v>
      </c>
    </row>
    <row r="18" customFormat="false" ht="15" hidden="false" customHeight="false" outlineLevel="0" collapsed="false">
      <c r="A18" s="5" t="s">
        <v>16</v>
      </c>
      <c r="B18" s="9" t="n">
        <v>479</v>
      </c>
      <c r="C18" s="9" t="n">
        <v>522</v>
      </c>
      <c r="D18" s="9" t="n">
        <v>643</v>
      </c>
      <c r="E18" s="9" t="n">
        <v>886</v>
      </c>
      <c r="F18" s="9" t="n">
        <v>1178</v>
      </c>
      <c r="G18" s="9" t="n">
        <v>1486</v>
      </c>
      <c r="H18" s="9" t="n">
        <v>1853</v>
      </c>
      <c r="I18" s="9" t="n">
        <v>2527</v>
      </c>
      <c r="J18" s="9" t="n">
        <v>3723</v>
      </c>
      <c r="K18" s="10" t="n">
        <v>5958</v>
      </c>
      <c r="L18" s="10" t="n">
        <v>10736</v>
      </c>
      <c r="M18" s="10" t="n">
        <v>23343</v>
      </c>
      <c r="N18" s="10" t="n">
        <v>70957</v>
      </c>
      <c r="O18" s="10" t="n">
        <v>103163</v>
      </c>
      <c r="P18" s="10" t="n">
        <v>141898</v>
      </c>
      <c r="Q18" s="10" t="n">
        <v>180713</v>
      </c>
      <c r="R18" s="10" t="n">
        <v>212099</v>
      </c>
    </row>
    <row r="19" customFormat="false" ht="15" hidden="false" customHeight="false" outlineLevel="0" collapsed="false">
      <c r="A19" s="5" t="s">
        <v>17</v>
      </c>
      <c r="B19" s="9" t="n">
        <v>7034</v>
      </c>
      <c r="C19" s="9" t="n">
        <v>7674</v>
      </c>
      <c r="D19" s="9" t="n">
        <v>9448</v>
      </c>
      <c r="E19" s="9" t="n">
        <v>13031</v>
      </c>
      <c r="F19" s="9" t="n">
        <v>17307</v>
      </c>
      <c r="G19" s="9" t="n">
        <v>25297</v>
      </c>
      <c r="H19" s="9" t="n">
        <v>33232</v>
      </c>
      <c r="I19" s="9" t="n">
        <v>46561</v>
      </c>
      <c r="J19" s="9" t="n">
        <v>69791</v>
      </c>
      <c r="K19" s="11" t="n">
        <v>114717</v>
      </c>
      <c r="L19" s="11" t="n">
        <v>142637</v>
      </c>
      <c r="M19" s="11" t="n">
        <v>149016</v>
      </c>
      <c r="N19" s="10" t="n">
        <v>144353</v>
      </c>
      <c r="O19" s="10" t="n">
        <v>123721</v>
      </c>
      <c r="P19" s="10" t="n">
        <v>128557</v>
      </c>
      <c r="Q19" s="10" t="n">
        <v>134681</v>
      </c>
      <c r="R19" s="10" t="n">
        <v>147901</v>
      </c>
    </row>
    <row r="20" customFormat="false" ht="15" hidden="false" customHeight="false" outlineLevel="0" collapsed="false">
      <c r="A20" s="5" t="s">
        <v>18</v>
      </c>
      <c r="B20" s="9" t="n">
        <v>1357</v>
      </c>
      <c r="C20" s="9" t="n">
        <v>1480</v>
      </c>
      <c r="D20" s="9" t="n">
        <v>1821</v>
      </c>
      <c r="E20" s="9" t="n">
        <v>2511</v>
      </c>
      <c r="F20" s="9" t="n">
        <v>3338</v>
      </c>
      <c r="G20" s="9" t="n">
        <v>3061</v>
      </c>
      <c r="H20" s="9" t="n">
        <v>3204</v>
      </c>
      <c r="I20" s="9" t="n">
        <v>3974</v>
      </c>
      <c r="J20" s="9" t="n">
        <v>5491</v>
      </c>
      <c r="K20" s="10" t="n">
        <v>8408</v>
      </c>
      <c r="L20" s="10" t="n">
        <v>12135</v>
      </c>
      <c r="M20" s="10" t="n">
        <v>20085</v>
      </c>
      <c r="N20" s="10" t="n">
        <v>40274</v>
      </c>
      <c r="O20" s="10" t="n">
        <v>55337</v>
      </c>
      <c r="P20" s="10" t="n">
        <v>85997</v>
      </c>
      <c r="Q20" s="10" t="n">
        <v>109212</v>
      </c>
      <c r="R20" s="10" t="n">
        <v>126337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9"/>
  </cols>
  <sheetData>
    <row r="1" customFormat="false" ht="17.35" hidden="false" customHeight="fals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4" t="n">
        <v>1860</v>
      </c>
      <c r="C4" s="4" t="n">
        <v>1870</v>
      </c>
      <c r="D4" s="4" t="n">
        <v>1880</v>
      </c>
      <c r="E4" s="4" t="n">
        <v>1890</v>
      </c>
      <c r="F4" s="4" t="n">
        <v>1900</v>
      </c>
      <c r="G4" s="4" t="n">
        <v>1910</v>
      </c>
      <c r="H4" s="4" t="n">
        <v>1920</v>
      </c>
      <c r="I4" s="4" t="n">
        <v>1930</v>
      </c>
      <c r="J4" s="4" t="n">
        <v>1940</v>
      </c>
      <c r="K4" s="4" t="n">
        <v>1950</v>
      </c>
      <c r="L4" s="4" t="n">
        <v>1960</v>
      </c>
      <c r="M4" s="4" t="n">
        <v>1970</v>
      </c>
      <c r="N4" s="4" t="n">
        <v>1980</v>
      </c>
      <c r="O4" s="4" t="n">
        <v>1990</v>
      </c>
      <c r="P4" s="4" t="n">
        <v>2000</v>
      </c>
      <c r="Q4" s="4" t="n">
        <v>2010</v>
      </c>
      <c r="R4" s="4" t="n">
        <v>2020</v>
      </c>
    </row>
    <row r="5" customFormat="false" ht="15" hidden="false" customHeight="false" outlineLevel="0" collapsed="false">
      <c r="A5" s="5" t="s">
        <v>3</v>
      </c>
      <c r="B5" s="12" t="n">
        <v>0.03</v>
      </c>
      <c r="C5" s="12" t="n">
        <v>0.05</v>
      </c>
      <c r="D5" s="12" t="n">
        <v>0.08</v>
      </c>
      <c r="E5" s="12" t="n">
        <v>0.12</v>
      </c>
      <c r="F5" s="12" t="n">
        <v>0.18</v>
      </c>
      <c r="G5" s="12" t="n">
        <v>0.25</v>
      </c>
      <c r="H5" s="12" t="n">
        <v>0.32</v>
      </c>
      <c r="I5" s="12" t="n">
        <v>0.45</v>
      </c>
      <c r="J5" s="12" t="n">
        <v>0.6</v>
      </c>
      <c r="K5" s="13" t="n">
        <v>0.75</v>
      </c>
      <c r="L5" s="13" t="n">
        <v>0.88</v>
      </c>
      <c r="M5" s="13" t="n">
        <v>0.95</v>
      </c>
      <c r="N5" s="13" t="n">
        <v>0.98</v>
      </c>
      <c r="O5" s="13" t="n">
        <v>0.992</v>
      </c>
      <c r="P5" s="13" t="n">
        <v>0.995</v>
      </c>
      <c r="Q5" s="13" t="n">
        <v>0.997</v>
      </c>
      <c r="R5" s="13" t="n">
        <v>0.998</v>
      </c>
    </row>
    <row r="6" customFormat="false" ht="15" hidden="false" customHeight="false" outlineLevel="0" collapsed="false">
      <c r="A6" s="5" t="s">
        <v>4</v>
      </c>
      <c r="B6" s="12" t="n">
        <v>0.03</v>
      </c>
      <c r="C6" s="12" t="n">
        <v>0.05</v>
      </c>
      <c r="D6" s="12" t="n">
        <v>0.08</v>
      </c>
      <c r="E6" s="12" t="n">
        <v>0.12</v>
      </c>
      <c r="F6" s="12" t="n">
        <v>0.18</v>
      </c>
      <c r="G6" s="12" t="n">
        <v>0.3</v>
      </c>
      <c r="H6" s="12" t="n">
        <v>0.45</v>
      </c>
      <c r="I6" s="12" t="n">
        <v>0.6</v>
      </c>
      <c r="J6" s="12" t="n">
        <v>0.75</v>
      </c>
      <c r="K6" s="13" t="n">
        <v>0.85</v>
      </c>
      <c r="L6" s="13" t="n">
        <v>0.92</v>
      </c>
      <c r="M6" s="13" t="n">
        <v>0.97</v>
      </c>
      <c r="N6" s="13" t="n">
        <v>0.99</v>
      </c>
      <c r="O6" s="13" t="n">
        <v>0.995</v>
      </c>
      <c r="P6" s="13" t="n">
        <v>0.997</v>
      </c>
      <c r="Q6" s="13" t="n">
        <v>0.998</v>
      </c>
      <c r="R6" s="13" t="n">
        <v>0.999</v>
      </c>
    </row>
    <row r="7" customFormat="false" ht="15" hidden="false" customHeight="false" outlineLevel="0" collapsed="false">
      <c r="A7" s="5" t="s">
        <v>5</v>
      </c>
      <c r="B7" s="12" t="n">
        <v>0.08</v>
      </c>
      <c r="C7" s="12" t="n">
        <v>0.12</v>
      </c>
      <c r="D7" s="12" t="n">
        <v>0.18</v>
      </c>
      <c r="E7" s="12" t="n">
        <v>0.25</v>
      </c>
      <c r="F7" s="12" t="n">
        <v>0.35</v>
      </c>
      <c r="G7" s="12" t="n">
        <v>0.5</v>
      </c>
      <c r="H7" s="12" t="n">
        <v>0.65</v>
      </c>
      <c r="I7" s="12" t="n">
        <v>0.8</v>
      </c>
      <c r="J7" s="12" t="n">
        <v>0.92</v>
      </c>
      <c r="K7" s="14" t="n">
        <v>0.96</v>
      </c>
      <c r="L7" s="14" t="n">
        <v>0.99</v>
      </c>
      <c r="M7" s="14" t="n">
        <v>0.995</v>
      </c>
      <c r="N7" s="13" t="n">
        <v>0.997</v>
      </c>
      <c r="O7" s="13" t="n">
        <v>0.998</v>
      </c>
      <c r="P7" s="13" t="n">
        <v>0.999</v>
      </c>
      <c r="Q7" s="13" t="n">
        <v>0.999</v>
      </c>
      <c r="R7" s="13" t="n">
        <v>0.999</v>
      </c>
    </row>
    <row r="8" customFormat="false" ht="15" hidden="false" customHeight="false" outlineLevel="0" collapsed="false">
      <c r="A8" s="5" t="s">
        <v>6</v>
      </c>
      <c r="B8" s="12" t="n">
        <v>0.03</v>
      </c>
      <c r="C8" s="12" t="n">
        <v>0.04</v>
      </c>
      <c r="D8" s="12" t="n">
        <v>0.07</v>
      </c>
      <c r="E8" s="12" t="n">
        <v>0.1</v>
      </c>
      <c r="F8" s="12" t="n">
        <v>0.15</v>
      </c>
      <c r="G8" s="12" t="n">
        <v>0.22</v>
      </c>
      <c r="H8" s="12" t="n">
        <v>0.3</v>
      </c>
      <c r="I8" s="12" t="n">
        <v>0.42</v>
      </c>
      <c r="J8" s="12" t="n">
        <v>0.58</v>
      </c>
      <c r="K8" s="13" t="n">
        <v>0.72</v>
      </c>
      <c r="L8" s="13" t="n">
        <v>0.85</v>
      </c>
      <c r="M8" s="13" t="n">
        <v>0.94</v>
      </c>
      <c r="N8" s="13" t="n">
        <v>0.98</v>
      </c>
      <c r="O8" s="13" t="n">
        <v>0.993</v>
      </c>
      <c r="P8" s="13" t="n">
        <v>0.996</v>
      </c>
      <c r="Q8" s="13" t="n">
        <v>0.998</v>
      </c>
      <c r="R8" s="13" t="n">
        <v>0.999</v>
      </c>
    </row>
    <row r="9" customFormat="false" ht="15" hidden="false" customHeight="false" outlineLevel="0" collapsed="false">
      <c r="A9" s="5" t="s">
        <v>7</v>
      </c>
      <c r="B9" s="12" t="n">
        <v>0.01</v>
      </c>
      <c r="C9" s="12" t="n">
        <v>0.02</v>
      </c>
      <c r="D9" s="12" t="n">
        <v>0.03</v>
      </c>
      <c r="E9" s="12" t="n">
        <v>0.05</v>
      </c>
      <c r="F9" s="12" t="n">
        <v>0.08</v>
      </c>
      <c r="G9" s="12" t="n">
        <v>0.1</v>
      </c>
      <c r="H9" s="12" t="n">
        <v>0.12</v>
      </c>
      <c r="I9" s="12" t="n">
        <v>0.18</v>
      </c>
      <c r="J9" s="12" t="n">
        <v>0.25</v>
      </c>
      <c r="K9" s="13" t="n">
        <v>0.4</v>
      </c>
      <c r="L9" s="13" t="n">
        <v>0.55</v>
      </c>
      <c r="M9" s="13" t="n">
        <v>0.75</v>
      </c>
      <c r="N9" s="13" t="n">
        <v>0.88</v>
      </c>
      <c r="O9" s="13" t="n">
        <v>0.95</v>
      </c>
      <c r="P9" s="13" t="n">
        <v>0.975</v>
      </c>
      <c r="Q9" s="13" t="n">
        <v>0.99</v>
      </c>
      <c r="R9" s="13" t="n">
        <v>0.996</v>
      </c>
    </row>
    <row r="10" customFormat="false" ht="15" hidden="false" customHeight="false" outlineLevel="0" collapsed="false">
      <c r="A10" s="5" t="s">
        <v>8</v>
      </c>
      <c r="B10" s="12" t="n">
        <v>0.1</v>
      </c>
      <c r="C10" s="12" t="n">
        <v>0.15</v>
      </c>
      <c r="D10" s="12" t="n">
        <v>0.22</v>
      </c>
      <c r="E10" s="12" t="n">
        <v>0.3</v>
      </c>
      <c r="F10" s="12" t="n">
        <v>0.4</v>
      </c>
      <c r="G10" s="12" t="n">
        <v>0.55</v>
      </c>
      <c r="H10" s="12" t="n">
        <v>0.7</v>
      </c>
      <c r="I10" s="12" t="n">
        <v>0.85</v>
      </c>
      <c r="J10" s="12" t="n">
        <v>0.94</v>
      </c>
      <c r="K10" s="14" t="n">
        <v>0.97</v>
      </c>
      <c r="L10" s="14" t="n">
        <v>0.99</v>
      </c>
      <c r="M10" s="14" t="n">
        <v>0.995</v>
      </c>
      <c r="N10" s="13" t="n">
        <v>0.998</v>
      </c>
      <c r="O10" s="13" t="n">
        <v>0.999</v>
      </c>
      <c r="P10" s="13" t="n">
        <v>0.999</v>
      </c>
      <c r="Q10" s="13" t="n">
        <v>0.999</v>
      </c>
      <c r="R10" s="13" t="n">
        <v>0.999</v>
      </c>
    </row>
    <row r="11" customFormat="false" ht="15" hidden="false" customHeight="false" outlineLevel="0" collapsed="false">
      <c r="A11" s="5" t="s">
        <v>9</v>
      </c>
      <c r="B11" s="12" t="n">
        <v>0.03</v>
      </c>
      <c r="C11" s="12" t="n">
        <v>0.05</v>
      </c>
      <c r="D11" s="12" t="n">
        <v>0.08</v>
      </c>
      <c r="E11" s="12" t="n">
        <v>0.12</v>
      </c>
      <c r="F11" s="12" t="n">
        <v>0.18</v>
      </c>
      <c r="G11" s="12" t="n">
        <v>0.28</v>
      </c>
      <c r="H11" s="12" t="n">
        <v>0.4</v>
      </c>
      <c r="I11" s="12" t="n">
        <v>0.55</v>
      </c>
      <c r="J11" s="12" t="n">
        <v>0.7</v>
      </c>
      <c r="K11" s="13" t="n">
        <v>0.82</v>
      </c>
      <c r="L11" s="13" t="n">
        <v>0.9</v>
      </c>
      <c r="M11" s="13" t="n">
        <v>0.96</v>
      </c>
      <c r="N11" s="13" t="n">
        <v>0.985</v>
      </c>
      <c r="O11" s="13" t="n">
        <v>0.994</v>
      </c>
      <c r="P11" s="13" t="n">
        <v>0.997</v>
      </c>
      <c r="Q11" s="13" t="n">
        <v>0.998</v>
      </c>
      <c r="R11" s="13" t="n">
        <v>0.999</v>
      </c>
    </row>
    <row r="12" customFormat="false" ht="15" hidden="false" customHeight="false" outlineLevel="0" collapsed="false">
      <c r="A12" s="5" t="s">
        <v>10</v>
      </c>
      <c r="B12" s="12" t="n">
        <v>0.03</v>
      </c>
      <c r="C12" s="12" t="n">
        <v>0.05</v>
      </c>
      <c r="D12" s="12" t="n">
        <v>0.08</v>
      </c>
      <c r="E12" s="12" t="n">
        <v>0.12</v>
      </c>
      <c r="F12" s="12" t="n">
        <v>0.18</v>
      </c>
      <c r="G12" s="12" t="n">
        <v>0.25</v>
      </c>
      <c r="H12" s="12" t="n">
        <v>0.35</v>
      </c>
      <c r="I12" s="12" t="n">
        <v>0.5</v>
      </c>
      <c r="J12" s="12" t="n">
        <v>0.65</v>
      </c>
      <c r="K12" s="13" t="n">
        <v>0.8</v>
      </c>
      <c r="L12" s="13" t="n">
        <v>0.9</v>
      </c>
      <c r="M12" s="13" t="n">
        <v>0.96</v>
      </c>
      <c r="N12" s="13" t="n">
        <v>0.985</v>
      </c>
      <c r="O12" s="13" t="n">
        <v>0.994</v>
      </c>
      <c r="P12" s="13" t="n">
        <v>0.997</v>
      </c>
      <c r="Q12" s="13" t="n">
        <v>0.998</v>
      </c>
      <c r="R12" s="13" t="n">
        <v>0.999</v>
      </c>
    </row>
    <row r="13" customFormat="false" ht="15" hidden="false" customHeight="false" outlineLevel="0" collapsed="false">
      <c r="A13" s="5" t="s">
        <v>11</v>
      </c>
      <c r="B13" s="12" t="n">
        <v>0.02</v>
      </c>
      <c r="C13" s="12" t="n">
        <v>0.03</v>
      </c>
      <c r="D13" s="12" t="n">
        <v>0.05</v>
      </c>
      <c r="E13" s="12" t="n">
        <v>0.08</v>
      </c>
      <c r="F13" s="12" t="n">
        <v>0.12</v>
      </c>
      <c r="G13" s="12" t="n">
        <v>0.18</v>
      </c>
      <c r="H13" s="12" t="n">
        <v>0.25</v>
      </c>
      <c r="I13" s="12" t="n">
        <v>0.35</v>
      </c>
      <c r="J13" s="12" t="n">
        <v>0.5</v>
      </c>
      <c r="K13" s="13" t="n">
        <v>0.65</v>
      </c>
      <c r="L13" s="13" t="n">
        <v>0.78</v>
      </c>
      <c r="M13" s="13" t="n">
        <v>0.88</v>
      </c>
      <c r="N13" s="13" t="n">
        <v>0.95</v>
      </c>
      <c r="O13" s="13" t="n">
        <v>0.985</v>
      </c>
      <c r="P13" s="13" t="n">
        <v>0.993</v>
      </c>
      <c r="Q13" s="13" t="n">
        <v>0.996</v>
      </c>
      <c r="R13" s="13" t="n">
        <v>0.998</v>
      </c>
    </row>
    <row r="14" customFormat="false" ht="15" hidden="false" customHeight="false" outlineLevel="0" collapsed="false">
      <c r="A14" s="5" t="s">
        <v>12</v>
      </c>
      <c r="B14" s="12" t="n">
        <v>0.01</v>
      </c>
      <c r="C14" s="12" t="n">
        <v>0.02</v>
      </c>
      <c r="D14" s="12" t="n">
        <v>0.04</v>
      </c>
      <c r="E14" s="12" t="n">
        <v>0.06</v>
      </c>
      <c r="F14" s="12" t="n">
        <v>0.1</v>
      </c>
      <c r="G14" s="12" t="n">
        <v>0.15</v>
      </c>
      <c r="H14" s="12" t="n">
        <v>0.22</v>
      </c>
      <c r="I14" s="12" t="n">
        <v>0.32</v>
      </c>
      <c r="J14" s="12" t="n">
        <v>0.45</v>
      </c>
      <c r="K14" s="13" t="n">
        <v>0.6</v>
      </c>
      <c r="L14" s="13" t="n">
        <v>0.75</v>
      </c>
      <c r="M14" s="13" t="n">
        <v>0.87</v>
      </c>
      <c r="N14" s="13" t="n">
        <v>0.95</v>
      </c>
      <c r="O14" s="13" t="n">
        <v>0.98</v>
      </c>
      <c r="P14" s="13" t="n">
        <v>0.99</v>
      </c>
      <c r="Q14" s="13" t="n">
        <v>0.995</v>
      </c>
      <c r="R14" s="13" t="n">
        <v>0.998</v>
      </c>
    </row>
    <row r="15" customFormat="false" ht="15" hidden="false" customHeight="false" outlineLevel="0" collapsed="false">
      <c r="A15" s="5" t="s">
        <v>13</v>
      </c>
      <c r="B15" s="12" t="n">
        <v>0.08</v>
      </c>
      <c r="C15" s="12" t="n">
        <v>0.12</v>
      </c>
      <c r="D15" s="12" t="n">
        <v>0.18</v>
      </c>
      <c r="E15" s="12" t="n">
        <v>0.25</v>
      </c>
      <c r="F15" s="12" t="n">
        <v>0.35</v>
      </c>
      <c r="G15" s="12" t="n">
        <v>0.5</v>
      </c>
      <c r="H15" s="12" t="n">
        <v>0.65</v>
      </c>
      <c r="I15" s="12" t="n">
        <v>0.8</v>
      </c>
      <c r="J15" s="12" t="n">
        <v>0.92</v>
      </c>
      <c r="K15" s="14" t="n">
        <v>0.96</v>
      </c>
      <c r="L15" s="14" t="n">
        <v>0.99</v>
      </c>
      <c r="M15" s="14" t="n">
        <v>0.995</v>
      </c>
      <c r="N15" s="13" t="n">
        <v>0.997</v>
      </c>
      <c r="O15" s="13" t="n">
        <v>0.998</v>
      </c>
      <c r="P15" s="13" t="n">
        <v>0.999</v>
      </c>
      <c r="Q15" s="13" t="n">
        <v>0.999</v>
      </c>
      <c r="R15" s="13" t="n">
        <v>0.999</v>
      </c>
    </row>
    <row r="16" customFormat="false" ht="15" hidden="false" customHeight="false" outlineLevel="0" collapsed="false">
      <c r="A16" s="5" t="s">
        <v>14</v>
      </c>
      <c r="B16" s="12" t="n">
        <v>0.005</v>
      </c>
      <c r="C16" s="12" t="n">
        <v>0.01</v>
      </c>
      <c r="D16" s="12" t="n">
        <v>0.02</v>
      </c>
      <c r="E16" s="12" t="n">
        <v>0.03</v>
      </c>
      <c r="F16" s="12" t="n">
        <v>0.05</v>
      </c>
      <c r="G16" s="12" t="n">
        <v>0.07</v>
      </c>
      <c r="H16" s="12" t="n">
        <v>0.08</v>
      </c>
      <c r="I16" s="12" t="n">
        <v>0.12</v>
      </c>
      <c r="J16" s="12" t="n">
        <v>0.18</v>
      </c>
      <c r="K16" s="13" t="n">
        <v>0.3</v>
      </c>
      <c r="L16" s="13" t="n">
        <v>0.45</v>
      </c>
      <c r="M16" s="13" t="n">
        <v>0.65</v>
      </c>
      <c r="N16" s="13" t="n">
        <v>0.82</v>
      </c>
      <c r="O16" s="13" t="n">
        <v>0.92</v>
      </c>
      <c r="P16" s="13" t="n">
        <v>0.96</v>
      </c>
      <c r="Q16" s="13" t="n">
        <v>0.985</v>
      </c>
      <c r="R16" s="13" t="n">
        <v>0.995</v>
      </c>
    </row>
    <row r="17" customFormat="false" ht="15" hidden="false" customHeight="false" outlineLevel="0" collapsed="false">
      <c r="A17" s="5" t="s">
        <v>15</v>
      </c>
      <c r="B17" s="12" t="n">
        <v>0.01</v>
      </c>
      <c r="C17" s="12" t="n">
        <v>0.02</v>
      </c>
      <c r="D17" s="12" t="n">
        <v>0.03</v>
      </c>
      <c r="E17" s="12" t="n">
        <v>0.05</v>
      </c>
      <c r="F17" s="12" t="n">
        <v>0.08</v>
      </c>
      <c r="G17" s="12" t="n">
        <v>0.1</v>
      </c>
      <c r="H17" s="12" t="n">
        <v>0.12</v>
      </c>
      <c r="I17" s="12" t="n">
        <v>0.18</v>
      </c>
      <c r="J17" s="12" t="n">
        <v>0.25</v>
      </c>
      <c r="K17" s="13" t="n">
        <v>0.4</v>
      </c>
      <c r="L17" s="13" t="n">
        <v>0.55</v>
      </c>
      <c r="M17" s="13" t="n">
        <v>0.72</v>
      </c>
      <c r="N17" s="13" t="n">
        <v>0.88</v>
      </c>
      <c r="O17" s="13" t="n">
        <v>0.95</v>
      </c>
      <c r="P17" s="13" t="n">
        <v>0.98</v>
      </c>
      <c r="Q17" s="13" t="n">
        <v>0.993</v>
      </c>
      <c r="R17" s="13" t="n">
        <v>0.997</v>
      </c>
    </row>
    <row r="18" customFormat="false" ht="15" hidden="false" customHeight="false" outlineLevel="0" collapsed="false">
      <c r="A18" s="5" t="s">
        <v>16</v>
      </c>
      <c r="B18" s="12" t="n">
        <v>0.01</v>
      </c>
      <c r="C18" s="12" t="n">
        <v>0.02</v>
      </c>
      <c r="D18" s="12" t="n">
        <v>0.04</v>
      </c>
      <c r="E18" s="12" t="n">
        <v>0.06</v>
      </c>
      <c r="F18" s="12" t="n">
        <v>0.1</v>
      </c>
      <c r="G18" s="12" t="n">
        <v>0.15</v>
      </c>
      <c r="H18" s="12" t="n">
        <v>0.22</v>
      </c>
      <c r="I18" s="12" t="n">
        <v>0.32</v>
      </c>
      <c r="J18" s="12" t="n">
        <v>0.45</v>
      </c>
      <c r="K18" s="13" t="n">
        <v>0.58</v>
      </c>
      <c r="L18" s="13" t="n">
        <v>0.72</v>
      </c>
      <c r="M18" s="13" t="n">
        <v>0.85</v>
      </c>
      <c r="N18" s="13" t="n">
        <v>0.94</v>
      </c>
      <c r="O18" s="13" t="n">
        <v>0.98</v>
      </c>
      <c r="P18" s="13" t="n">
        <v>0.99</v>
      </c>
      <c r="Q18" s="13" t="n">
        <v>0.995</v>
      </c>
      <c r="R18" s="13" t="n">
        <v>0.998</v>
      </c>
    </row>
    <row r="19" customFormat="false" ht="15" hidden="false" customHeight="false" outlineLevel="0" collapsed="false">
      <c r="A19" s="5" t="s">
        <v>17</v>
      </c>
      <c r="B19" s="12" t="n">
        <v>0.08</v>
      </c>
      <c r="C19" s="12" t="n">
        <v>0.12</v>
      </c>
      <c r="D19" s="12" t="n">
        <v>0.18</v>
      </c>
      <c r="E19" s="12" t="n">
        <v>0.25</v>
      </c>
      <c r="F19" s="12" t="n">
        <v>0.35</v>
      </c>
      <c r="G19" s="12" t="n">
        <v>0.5</v>
      </c>
      <c r="H19" s="12" t="n">
        <v>0.65</v>
      </c>
      <c r="I19" s="12" t="n">
        <v>0.8</v>
      </c>
      <c r="J19" s="12" t="n">
        <v>0.92</v>
      </c>
      <c r="K19" s="14" t="n">
        <v>0.96</v>
      </c>
      <c r="L19" s="14" t="n">
        <v>0.99</v>
      </c>
      <c r="M19" s="14" t="n">
        <v>0.995</v>
      </c>
      <c r="N19" s="13" t="n">
        <v>0.997</v>
      </c>
      <c r="O19" s="13" t="n">
        <v>0.998</v>
      </c>
      <c r="P19" s="13" t="n">
        <v>0.999</v>
      </c>
      <c r="Q19" s="13" t="n">
        <v>0.999</v>
      </c>
      <c r="R19" s="13" t="n">
        <v>0.999</v>
      </c>
    </row>
    <row r="20" customFormat="false" ht="15" hidden="false" customHeight="false" outlineLevel="0" collapsed="false">
      <c r="A20" s="5" t="s">
        <v>18</v>
      </c>
      <c r="B20" s="12" t="n">
        <v>0.01</v>
      </c>
      <c r="C20" s="12" t="n">
        <v>0.02</v>
      </c>
      <c r="D20" s="12" t="n">
        <v>0.04</v>
      </c>
      <c r="E20" s="12" t="n">
        <v>0.06</v>
      </c>
      <c r="F20" s="12" t="n">
        <v>0.1</v>
      </c>
      <c r="G20" s="12" t="n">
        <v>0.15</v>
      </c>
      <c r="H20" s="12" t="n">
        <v>0.2</v>
      </c>
      <c r="I20" s="12" t="n">
        <v>0.28</v>
      </c>
      <c r="J20" s="12" t="n">
        <v>0.4</v>
      </c>
      <c r="K20" s="13" t="n">
        <v>0.55</v>
      </c>
      <c r="L20" s="13" t="n">
        <v>0.7</v>
      </c>
      <c r="M20" s="13" t="n">
        <v>0.83</v>
      </c>
      <c r="N20" s="13" t="n">
        <v>0.92</v>
      </c>
      <c r="O20" s="13" t="n">
        <v>0.965</v>
      </c>
      <c r="P20" s="13" t="n">
        <v>0.985</v>
      </c>
      <c r="Q20" s="13" t="n">
        <v>0.993</v>
      </c>
      <c r="R20" s="13" t="n">
        <v>0.997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9"/>
  </cols>
  <sheetData>
    <row r="1" customFormat="false" ht="17.3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4" t="n">
        <v>1860</v>
      </c>
      <c r="C4" s="4" t="n">
        <v>1870</v>
      </c>
      <c r="D4" s="4" t="n">
        <v>1880</v>
      </c>
      <c r="E4" s="4" t="n">
        <v>1890</v>
      </c>
      <c r="F4" s="4" t="n">
        <v>1900</v>
      </c>
      <c r="G4" s="4" t="n">
        <v>1910</v>
      </c>
      <c r="H4" s="4" t="n">
        <v>1920</v>
      </c>
      <c r="I4" s="4" t="n">
        <v>1930</v>
      </c>
      <c r="J4" s="4" t="n">
        <v>1940</v>
      </c>
      <c r="K4" s="4" t="n">
        <v>1950</v>
      </c>
      <c r="L4" s="4" t="n">
        <v>1960</v>
      </c>
      <c r="M4" s="4" t="n">
        <v>1970</v>
      </c>
      <c r="N4" s="4" t="n">
        <v>1980</v>
      </c>
      <c r="O4" s="4" t="n">
        <v>1990</v>
      </c>
      <c r="P4" s="4" t="n">
        <v>2000</v>
      </c>
      <c r="Q4" s="4" t="n">
        <v>2010</v>
      </c>
      <c r="R4" s="4" t="n">
        <v>2020</v>
      </c>
    </row>
    <row r="5" customFormat="false" ht="15" hidden="false" customHeight="false" outlineLevel="0" collapsed="false">
      <c r="A5" s="5" t="s">
        <v>3</v>
      </c>
      <c r="B5" s="12" t="n">
        <v>0.04</v>
      </c>
      <c r="C5" s="12" t="n">
        <v>0.08</v>
      </c>
      <c r="D5" s="12" t="n">
        <v>0.12</v>
      </c>
      <c r="E5" s="12" t="n">
        <v>0.18</v>
      </c>
      <c r="F5" s="12" t="n">
        <v>0.25</v>
      </c>
      <c r="G5" s="12" t="n">
        <v>0.32</v>
      </c>
      <c r="H5" s="12" t="n">
        <v>0.42</v>
      </c>
      <c r="I5" s="12" t="n">
        <v>0.55</v>
      </c>
      <c r="J5" s="12" t="n">
        <v>0.7</v>
      </c>
      <c r="K5" s="13" t="n">
        <v>0.82</v>
      </c>
      <c r="L5" s="13" t="n">
        <v>0.9</v>
      </c>
      <c r="M5" s="13" t="n">
        <v>0.95</v>
      </c>
      <c r="N5" s="13" t="n">
        <v>0.96</v>
      </c>
      <c r="O5" s="13" t="n">
        <v>0.95</v>
      </c>
      <c r="P5" s="13" t="n">
        <v>0.92</v>
      </c>
      <c r="Q5" s="13" t="n">
        <v>0.91</v>
      </c>
      <c r="R5" s="13" t="n">
        <v>0.9</v>
      </c>
    </row>
    <row r="6" customFormat="false" ht="15" hidden="false" customHeight="false" outlineLevel="0" collapsed="false">
      <c r="A6" s="5" t="s">
        <v>4</v>
      </c>
      <c r="B6" s="12" t="n">
        <v>0.04</v>
      </c>
      <c r="C6" s="12" t="n">
        <v>0.08</v>
      </c>
      <c r="D6" s="12" t="n">
        <v>0.12</v>
      </c>
      <c r="E6" s="12" t="n">
        <v>0.18</v>
      </c>
      <c r="F6" s="12" t="n">
        <v>0.25</v>
      </c>
      <c r="G6" s="12" t="n">
        <v>0.38</v>
      </c>
      <c r="H6" s="12" t="n">
        <v>0.52</v>
      </c>
      <c r="I6" s="12" t="n">
        <v>0.65</v>
      </c>
      <c r="J6" s="12" t="n">
        <v>0.78</v>
      </c>
      <c r="K6" s="13" t="n">
        <v>0.88</v>
      </c>
      <c r="L6" s="13" t="n">
        <v>0.94</v>
      </c>
      <c r="M6" s="13" t="n">
        <v>0.97</v>
      </c>
      <c r="N6" s="13" t="n">
        <v>0.97</v>
      </c>
      <c r="O6" s="13" t="n">
        <v>0.96</v>
      </c>
      <c r="P6" s="13" t="n">
        <v>0.95</v>
      </c>
      <c r="Q6" s="13" t="n">
        <v>0.94</v>
      </c>
      <c r="R6" s="13" t="n">
        <v>0.93</v>
      </c>
    </row>
    <row r="7" customFormat="false" ht="15" hidden="false" customHeight="false" outlineLevel="0" collapsed="false">
      <c r="A7" s="5" t="s">
        <v>5</v>
      </c>
      <c r="B7" s="12" t="n">
        <v>0.12</v>
      </c>
      <c r="C7" s="12" t="n">
        <v>0.18</v>
      </c>
      <c r="D7" s="12" t="n">
        <v>0.25</v>
      </c>
      <c r="E7" s="12" t="n">
        <v>0.35</v>
      </c>
      <c r="F7" s="12" t="n">
        <v>0.45</v>
      </c>
      <c r="G7" s="12" t="n">
        <v>0.6</v>
      </c>
      <c r="H7" s="12" t="n">
        <v>0.72</v>
      </c>
      <c r="I7" s="12" t="n">
        <v>0.82</v>
      </c>
      <c r="J7" s="12" t="n">
        <v>0.92</v>
      </c>
      <c r="K7" s="14" t="n">
        <v>0.96</v>
      </c>
      <c r="L7" s="14" t="n">
        <v>0.98</v>
      </c>
      <c r="M7" s="14" t="n">
        <v>0.99</v>
      </c>
      <c r="N7" s="13" t="n">
        <v>0.99</v>
      </c>
      <c r="O7" s="13" t="n">
        <v>0.99</v>
      </c>
      <c r="P7" s="13" t="n">
        <v>0.99</v>
      </c>
      <c r="Q7" s="13" t="n">
        <v>0.99</v>
      </c>
      <c r="R7" s="13" t="n">
        <v>0.994</v>
      </c>
    </row>
    <row r="8" customFormat="false" ht="15" hidden="false" customHeight="false" outlineLevel="0" collapsed="false">
      <c r="A8" s="5" t="s">
        <v>6</v>
      </c>
      <c r="B8" s="12" t="n">
        <v>0.03</v>
      </c>
      <c r="C8" s="12" t="n">
        <v>0.06</v>
      </c>
      <c r="D8" s="12" t="n">
        <v>0.1</v>
      </c>
      <c r="E8" s="12" t="n">
        <v>0.15</v>
      </c>
      <c r="F8" s="12" t="n">
        <v>0.22</v>
      </c>
      <c r="G8" s="12" t="n">
        <v>0.3</v>
      </c>
      <c r="H8" s="12" t="n">
        <v>0.4</v>
      </c>
      <c r="I8" s="12" t="n">
        <v>0.52</v>
      </c>
      <c r="J8" s="12" t="n">
        <v>0.65</v>
      </c>
      <c r="K8" s="13" t="n">
        <v>0.78</v>
      </c>
      <c r="L8" s="13" t="n">
        <v>0.88</v>
      </c>
      <c r="M8" s="13" t="n">
        <v>0.94</v>
      </c>
      <c r="N8" s="13" t="n">
        <v>0.96</v>
      </c>
      <c r="O8" s="13" t="n">
        <v>0.96</v>
      </c>
      <c r="P8" s="13" t="n">
        <v>0.96</v>
      </c>
      <c r="Q8" s="13" t="n">
        <v>0.955</v>
      </c>
      <c r="R8" s="13" t="n">
        <v>0.958</v>
      </c>
    </row>
    <row r="9" customFormat="false" ht="15" hidden="false" customHeight="false" outlineLevel="0" collapsed="false">
      <c r="A9" s="5" t="s">
        <v>7</v>
      </c>
      <c r="B9" s="12" t="n">
        <v>0.01</v>
      </c>
      <c r="C9" s="12" t="n">
        <v>0.02</v>
      </c>
      <c r="D9" s="12" t="n">
        <v>0.03</v>
      </c>
      <c r="E9" s="12" t="n">
        <v>0.05</v>
      </c>
      <c r="F9" s="12" t="n">
        <v>0.08</v>
      </c>
      <c r="G9" s="12" t="n">
        <v>0.1</v>
      </c>
      <c r="H9" s="12" t="n">
        <v>0.14</v>
      </c>
      <c r="I9" s="12" t="n">
        <v>0.2</v>
      </c>
      <c r="J9" s="12" t="n">
        <v>0.28</v>
      </c>
      <c r="K9" s="13" t="n">
        <v>0.4</v>
      </c>
      <c r="L9" s="13" t="n">
        <v>0.55</v>
      </c>
      <c r="M9" s="13" t="n">
        <v>0.7</v>
      </c>
      <c r="N9" s="13" t="n">
        <v>0.8</v>
      </c>
      <c r="O9" s="13" t="n">
        <v>0.86</v>
      </c>
      <c r="P9" s="13" t="n">
        <v>0.88</v>
      </c>
      <c r="Q9" s="13" t="n">
        <v>0.89</v>
      </c>
      <c r="R9" s="13" t="n">
        <v>0.909</v>
      </c>
    </row>
    <row r="10" customFormat="false" ht="15" hidden="false" customHeight="false" outlineLevel="0" collapsed="false">
      <c r="A10" s="5" t="s">
        <v>8</v>
      </c>
      <c r="B10" s="12" t="n">
        <v>0.15</v>
      </c>
      <c r="C10" s="12" t="n">
        <v>0.22</v>
      </c>
      <c r="D10" s="12" t="n">
        <v>0.32</v>
      </c>
      <c r="E10" s="12" t="n">
        <v>0.42</v>
      </c>
      <c r="F10" s="12" t="n">
        <v>0.55</v>
      </c>
      <c r="G10" s="12" t="n">
        <v>0.68</v>
      </c>
      <c r="H10" s="12" t="n">
        <v>0.78</v>
      </c>
      <c r="I10" s="12" t="n">
        <v>0.87</v>
      </c>
      <c r="J10" s="12" t="n">
        <v>0.94</v>
      </c>
      <c r="K10" s="14" t="n">
        <v>0.97</v>
      </c>
      <c r="L10" s="14" t="n">
        <v>0.99</v>
      </c>
      <c r="M10" s="14" t="n">
        <v>0.99</v>
      </c>
      <c r="N10" s="13" t="n">
        <v>0.99</v>
      </c>
      <c r="O10" s="13" t="n">
        <v>0.985</v>
      </c>
      <c r="P10" s="13" t="n">
        <v>0.98</v>
      </c>
      <c r="Q10" s="13" t="n">
        <v>0.978</v>
      </c>
      <c r="R10" s="13" t="n">
        <v>0.982</v>
      </c>
    </row>
    <row r="11" customFormat="false" ht="15" hidden="false" customHeight="false" outlineLevel="0" collapsed="false">
      <c r="A11" s="5" t="s">
        <v>9</v>
      </c>
      <c r="B11" s="12" t="n">
        <v>0.04</v>
      </c>
      <c r="C11" s="12" t="n">
        <v>0.08</v>
      </c>
      <c r="D11" s="12" t="n">
        <v>0.12</v>
      </c>
      <c r="E11" s="12" t="n">
        <v>0.18</v>
      </c>
      <c r="F11" s="12" t="n">
        <v>0.25</v>
      </c>
      <c r="G11" s="12" t="n">
        <v>0.35</v>
      </c>
      <c r="H11" s="12" t="n">
        <v>0.48</v>
      </c>
      <c r="I11" s="12" t="n">
        <v>0.6</v>
      </c>
      <c r="J11" s="12" t="n">
        <v>0.72</v>
      </c>
      <c r="K11" s="13" t="n">
        <v>0.82</v>
      </c>
      <c r="L11" s="13" t="n">
        <v>0.9</v>
      </c>
      <c r="M11" s="13" t="n">
        <v>0.94</v>
      </c>
      <c r="N11" s="13" t="n">
        <v>0.95</v>
      </c>
      <c r="O11" s="13" t="n">
        <v>0.94</v>
      </c>
      <c r="P11" s="13" t="n">
        <v>0.92</v>
      </c>
      <c r="Q11" s="13" t="n">
        <v>0.91</v>
      </c>
      <c r="R11" s="13" t="n">
        <v>0.905</v>
      </c>
    </row>
    <row r="12" customFormat="false" ht="15" hidden="false" customHeight="false" outlineLevel="0" collapsed="false">
      <c r="A12" s="5" t="s">
        <v>10</v>
      </c>
      <c r="B12" s="12" t="n">
        <v>0.04</v>
      </c>
      <c r="C12" s="12" t="n">
        <v>0.08</v>
      </c>
      <c r="D12" s="12" t="n">
        <v>0.12</v>
      </c>
      <c r="E12" s="12" t="n">
        <v>0.18</v>
      </c>
      <c r="F12" s="12" t="n">
        <v>0.25</v>
      </c>
      <c r="G12" s="12" t="n">
        <v>0.32</v>
      </c>
      <c r="H12" s="12" t="n">
        <v>0.42</v>
      </c>
      <c r="I12" s="12" t="n">
        <v>0.55</v>
      </c>
      <c r="J12" s="12" t="n">
        <v>0.68</v>
      </c>
      <c r="K12" s="13" t="n">
        <v>0.8</v>
      </c>
      <c r="L12" s="13" t="n">
        <v>0.89</v>
      </c>
      <c r="M12" s="13" t="n">
        <v>0.94</v>
      </c>
      <c r="N12" s="13" t="n">
        <v>0.96</v>
      </c>
      <c r="O12" s="13" t="n">
        <v>0.95</v>
      </c>
      <c r="P12" s="13" t="n">
        <v>0.94</v>
      </c>
      <c r="Q12" s="13" t="n">
        <v>0.93</v>
      </c>
      <c r="R12" s="13" t="n">
        <v>0.925</v>
      </c>
    </row>
    <row r="13" customFormat="false" ht="15" hidden="false" customHeight="false" outlineLevel="0" collapsed="false">
      <c r="A13" s="5" t="s">
        <v>11</v>
      </c>
      <c r="B13" s="12" t="n">
        <v>0.02</v>
      </c>
      <c r="C13" s="12" t="n">
        <v>0.04</v>
      </c>
      <c r="D13" s="12" t="n">
        <v>0.06</v>
      </c>
      <c r="E13" s="12" t="n">
        <v>0.1</v>
      </c>
      <c r="F13" s="12" t="n">
        <v>0.15</v>
      </c>
      <c r="G13" s="12" t="n">
        <v>0.2</v>
      </c>
      <c r="H13" s="12" t="n">
        <v>0.28</v>
      </c>
      <c r="I13" s="12" t="n">
        <v>0.4</v>
      </c>
      <c r="J13" s="12" t="n">
        <v>0.52</v>
      </c>
      <c r="K13" s="13" t="n">
        <v>0.65</v>
      </c>
      <c r="L13" s="13" t="n">
        <v>0.75</v>
      </c>
      <c r="M13" s="13" t="n">
        <v>0.82</v>
      </c>
      <c r="N13" s="13" t="n">
        <v>0.85</v>
      </c>
      <c r="O13" s="13" t="n">
        <v>0.8</v>
      </c>
      <c r="P13" s="13" t="n">
        <v>0.7</v>
      </c>
      <c r="Q13" s="13" t="n">
        <v>0.65</v>
      </c>
      <c r="R13" s="13" t="n">
        <v>0.62</v>
      </c>
    </row>
    <row r="14" customFormat="false" ht="15" hidden="false" customHeight="false" outlineLevel="0" collapsed="false">
      <c r="A14" s="5" t="s">
        <v>12</v>
      </c>
      <c r="B14" s="12" t="n">
        <v>0.01</v>
      </c>
      <c r="C14" s="12" t="n">
        <v>0.02</v>
      </c>
      <c r="D14" s="12" t="n">
        <v>0.03</v>
      </c>
      <c r="E14" s="12" t="n">
        <v>0.05</v>
      </c>
      <c r="F14" s="12" t="n">
        <v>0.08</v>
      </c>
      <c r="G14" s="12" t="n">
        <v>0.12</v>
      </c>
      <c r="H14" s="12" t="n">
        <v>0.18</v>
      </c>
      <c r="I14" s="12" t="n">
        <v>0.28</v>
      </c>
      <c r="J14" s="12" t="n">
        <v>0.38</v>
      </c>
      <c r="K14" s="13" t="n">
        <v>0.55</v>
      </c>
      <c r="L14" s="13" t="n">
        <v>0.7</v>
      </c>
      <c r="M14" s="13" t="n">
        <v>0.82</v>
      </c>
      <c r="N14" s="13" t="n">
        <v>0.88</v>
      </c>
      <c r="O14" s="13" t="n">
        <v>0.88</v>
      </c>
      <c r="P14" s="13" t="n">
        <v>0.87</v>
      </c>
      <c r="Q14" s="13" t="n">
        <v>0.85</v>
      </c>
      <c r="R14" s="13" t="n">
        <v>0.84</v>
      </c>
    </row>
    <row r="15" customFormat="false" ht="15" hidden="false" customHeight="false" outlineLevel="0" collapsed="false">
      <c r="A15" s="5" t="s">
        <v>13</v>
      </c>
      <c r="B15" s="12" t="n">
        <v>0.12</v>
      </c>
      <c r="C15" s="12" t="n">
        <v>0.18</v>
      </c>
      <c r="D15" s="12" t="n">
        <v>0.25</v>
      </c>
      <c r="E15" s="12" t="n">
        <v>0.35</v>
      </c>
      <c r="F15" s="12" t="n">
        <v>0.45</v>
      </c>
      <c r="G15" s="12" t="n">
        <v>0.6</v>
      </c>
      <c r="H15" s="12" t="n">
        <v>0.72</v>
      </c>
      <c r="I15" s="12" t="n">
        <v>0.82</v>
      </c>
      <c r="J15" s="12" t="n">
        <v>0.92</v>
      </c>
      <c r="K15" s="14" t="n">
        <v>0.96</v>
      </c>
      <c r="L15" s="14" t="n">
        <v>0.98</v>
      </c>
      <c r="M15" s="14" t="n">
        <v>0.99</v>
      </c>
      <c r="N15" s="13" t="n">
        <v>0.99</v>
      </c>
      <c r="O15" s="13" t="n">
        <v>0.985</v>
      </c>
      <c r="P15" s="13" t="n">
        <v>0.975</v>
      </c>
      <c r="Q15" s="13" t="n">
        <v>0.97</v>
      </c>
      <c r="R15" s="13" t="n">
        <v>0.972</v>
      </c>
    </row>
    <row r="16" customFormat="false" ht="15" hidden="false" customHeight="false" outlineLevel="0" collapsed="false">
      <c r="A16" s="5" t="s">
        <v>14</v>
      </c>
      <c r="B16" s="12" t="n">
        <v>0</v>
      </c>
      <c r="C16" s="12" t="n">
        <v>0.005</v>
      </c>
      <c r="D16" s="12" t="n">
        <v>0.01</v>
      </c>
      <c r="E16" s="12" t="n">
        <v>0.02</v>
      </c>
      <c r="F16" s="12" t="n">
        <v>0.03</v>
      </c>
      <c r="G16" s="12" t="n">
        <v>0.05</v>
      </c>
      <c r="H16" s="12" t="n">
        <v>0.06</v>
      </c>
      <c r="I16" s="12" t="n">
        <v>0.09</v>
      </c>
      <c r="J16" s="12" t="n">
        <v>0.14</v>
      </c>
      <c r="K16" s="13" t="n">
        <v>0.25</v>
      </c>
      <c r="L16" s="13" t="n">
        <v>0.38</v>
      </c>
      <c r="M16" s="13" t="n">
        <v>0.55</v>
      </c>
      <c r="N16" s="13" t="n">
        <v>0.7</v>
      </c>
      <c r="O16" s="13" t="n">
        <v>0.78</v>
      </c>
      <c r="P16" s="13" t="n">
        <v>0.8</v>
      </c>
      <c r="Q16" s="13" t="n">
        <v>0.82</v>
      </c>
      <c r="R16" s="13" t="n">
        <v>0.84</v>
      </c>
    </row>
    <row r="17" customFormat="false" ht="15" hidden="false" customHeight="false" outlineLevel="0" collapsed="false">
      <c r="A17" s="5" t="s">
        <v>15</v>
      </c>
      <c r="B17" s="12" t="n">
        <v>0.005</v>
      </c>
      <c r="C17" s="12" t="n">
        <v>0.01</v>
      </c>
      <c r="D17" s="12" t="n">
        <v>0.02</v>
      </c>
      <c r="E17" s="12" t="n">
        <v>0.03</v>
      </c>
      <c r="F17" s="12" t="n">
        <v>0.05</v>
      </c>
      <c r="G17" s="12" t="n">
        <v>0.07</v>
      </c>
      <c r="H17" s="12" t="n">
        <v>0.1</v>
      </c>
      <c r="I17" s="12" t="n">
        <v>0.15</v>
      </c>
      <c r="J17" s="12" t="n">
        <v>0.22</v>
      </c>
      <c r="K17" s="13" t="n">
        <v>0.35</v>
      </c>
      <c r="L17" s="13" t="n">
        <v>0.5</v>
      </c>
      <c r="M17" s="13" t="n">
        <v>0.65</v>
      </c>
      <c r="N17" s="13" t="n">
        <v>0.78</v>
      </c>
      <c r="O17" s="13" t="n">
        <v>0.84</v>
      </c>
      <c r="P17" s="13" t="n">
        <v>0.85</v>
      </c>
      <c r="Q17" s="13" t="n">
        <v>0.85</v>
      </c>
      <c r="R17" s="13" t="n">
        <v>0.86</v>
      </c>
    </row>
    <row r="18" customFormat="false" ht="15" hidden="false" customHeight="false" outlineLevel="0" collapsed="false">
      <c r="A18" s="5" t="s">
        <v>16</v>
      </c>
      <c r="B18" s="12" t="n">
        <v>0.005</v>
      </c>
      <c r="C18" s="12" t="n">
        <v>0.01</v>
      </c>
      <c r="D18" s="12" t="n">
        <v>0.03</v>
      </c>
      <c r="E18" s="12" t="n">
        <v>0.05</v>
      </c>
      <c r="F18" s="12" t="n">
        <v>0.08</v>
      </c>
      <c r="G18" s="12" t="n">
        <v>0.12</v>
      </c>
      <c r="H18" s="12" t="n">
        <v>0.18</v>
      </c>
      <c r="I18" s="12" t="n">
        <v>0.28</v>
      </c>
      <c r="J18" s="12" t="n">
        <v>0.38</v>
      </c>
      <c r="K18" s="13" t="n">
        <v>0.52</v>
      </c>
      <c r="L18" s="13" t="n">
        <v>0.65</v>
      </c>
      <c r="M18" s="13" t="n">
        <v>0.78</v>
      </c>
      <c r="N18" s="13" t="n">
        <v>0.86</v>
      </c>
      <c r="O18" s="13" t="n">
        <v>0.88</v>
      </c>
      <c r="P18" s="13" t="n">
        <v>0.87</v>
      </c>
      <c r="Q18" s="13" t="n">
        <v>0.87</v>
      </c>
      <c r="R18" s="13" t="n">
        <v>0.88</v>
      </c>
    </row>
    <row r="19" customFormat="false" ht="15" hidden="false" customHeight="false" outlineLevel="0" collapsed="false">
      <c r="A19" s="5" t="s">
        <v>17</v>
      </c>
      <c r="B19" s="12" t="n">
        <v>0.12</v>
      </c>
      <c r="C19" s="12" t="n">
        <v>0.18</v>
      </c>
      <c r="D19" s="12" t="n">
        <v>0.25</v>
      </c>
      <c r="E19" s="12" t="n">
        <v>0.35</v>
      </c>
      <c r="F19" s="12" t="n">
        <v>0.45</v>
      </c>
      <c r="G19" s="12" t="n">
        <v>0.6</v>
      </c>
      <c r="H19" s="12" t="n">
        <v>0.72</v>
      </c>
      <c r="I19" s="12" t="n">
        <v>0.82</v>
      </c>
      <c r="J19" s="12" t="n">
        <v>0.92</v>
      </c>
      <c r="K19" s="14" t="n">
        <v>0.96</v>
      </c>
      <c r="L19" s="14" t="n">
        <v>0.98</v>
      </c>
      <c r="M19" s="14" t="n">
        <v>0.98</v>
      </c>
      <c r="N19" s="13" t="n">
        <v>0.98</v>
      </c>
      <c r="O19" s="13" t="n">
        <v>0.97</v>
      </c>
      <c r="P19" s="13" t="n">
        <v>0.96</v>
      </c>
      <c r="Q19" s="13" t="n">
        <v>0.955</v>
      </c>
      <c r="R19" s="13" t="n">
        <v>0.96</v>
      </c>
    </row>
    <row r="20" customFormat="false" ht="15" hidden="false" customHeight="false" outlineLevel="0" collapsed="false">
      <c r="A20" s="5" t="s">
        <v>18</v>
      </c>
      <c r="B20" s="12" t="n">
        <v>0.005</v>
      </c>
      <c r="C20" s="12" t="n">
        <v>0.01</v>
      </c>
      <c r="D20" s="12" t="n">
        <v>0.02</v>
      </c>
      <c r="E20" s="12" t="n">
        <v>0.04</v>
      </c>
      <c r="F20" s="12" t="n">
        <v>0.06</v>
      </c>
      <c r="G20" s="12" t="n">
        <v>0.1</v>
      </c>
      <c r="H20" s="12" t="n">
        <v>0.14</v>
      </c>
      <c r="I20" s="12" t="n">
        <v>0.22</v>
      </c>
      <c r="J20" s="12" t="n">
        <v>0.32</v>
      </c>
      <c r="K20" s="13" t="n">
        <v>0.45</v>
      </c>
      <c r="L20" s="13" t="n">
        <v>0.6</v>
      </c>
      <c r="M20" s="13" t="n">
        <v>0.72</v>
      </c>
      <c r="N20" s="13" t="n">
        <v>0.82</v>
      </c>
      <c r="O20" s="13" t="n">
        <v>0.85</v>
      </c>
      <c r="P20" s="13" t="n">
        <v>0.84</v>
      </c>
      <c r="Q20" s="13" t="n">
        <v>0.82</v>
      </c>
      <c r="R20" s="13" t="n">
        <v>0.825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9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4" t="n">
        <v>1860</v>
      </c>
      <c r="C4" s="4" t="n">
        <v>1870</v>
      </c>
      <c r="D4" s="4" t="n">
        <v>1880</v>
      </c>
      <c r="E4" s="4" t="n">
        <v>1890</v>
      </c>
      <c r="F4" s="4" t="n">
        <v>1900</v>
      </c>
      <c r="G4" s="4" t="n">
        <v>1910</v>
      </c>
      <c r="H4" s="4" t="n">
        <v>1920</v>
      </c>
      <c r="I4" s="4" t="n">
        <v>1930</v>
      </c>
      <c r="J4" s="4" t="n">
        <v>1940</v>
      </c>
      <c r="K4" s="4" t="n">
        <v>1950</v>
      </c>
      <c r="L4" s="4" t="n">
        <v>1960</v>
      </c>
      <c r="M4" s="4" t="n">
        <v>1970</v>
      </c>
      <c r="N4" s="4" t="n">
        <v>1980</v>
      </c>
      <c r="O4" s="4" t="n">
        <v>1990</v>
      </c>
      <c r="P4" s="4" t="n">
        <v>2000</v>
      </c>
      <c r="Q4" s="4" t="n">
        <v>2010</v>
      </c>
      <c r="R4" s="4" t="n">
        <v>2020</v>
      </c>
    </row>
    <row r="5" customFormat="false" ht="15" hidden="false" customHeight="false" outlineLevel="0" collapsed="false">
      <c r="A5" s="5" t="s">
        <v>3</v>
      </c>
      <c r="B5" s="12" t="n">
        <v>0.01</v>
      </c>
      <c r="C5" s="12" t="n">
        <v>0.02</v>
      </c>
      <c r="D5" s="12" t="n">
        <v>0.04</v>
      </c>
      <c r="E5" s="12" t="n">
        <v>0.06</v>
      </c>
      <c r="F5" s="12" t="n">
        <v>0.1</v>
      </c>
      <c r="G5" s="12" t="n">
        <v>0.15</v>
      </c>
      <c r="H5" s="12" t="n">
        <v>0.2</v>
      </c>
      <c r="I5" s="12" t="n">
        <v>0.3</v>
      </c>
      <c r="J5" s="12" t="n">
        <v>0.45</v>
      </c>
      <c r="K5" s="13" t="n">
        <v>0.6</v>
      </c>
      <c r="L5" s="13" t="n">
        <v>0.75</v>
      </c>
      <c r="M5" s="13" t="n">
        <v>0.87</v>
      </c>
      <c r="N5" s="13" t="n">
        <v>0.94</v>
      </c>
      <c r="O5" s="13" t="n">
        <v>0.97</v>
      </c>
      <c r="P5" s="13" t="n">
        <v>0.985</v>
      </c>
      <c r="Q5" s="13" t="n">
        <v>0.994</v>
      </c>
      <c r="R5" s="13" t="n">
        <v>0.997</v>
      </c>
    </row>
    <row r="6" customFormat="false" ht="15" hidden="false" customHeight="false" outlineLevel="0" collapsed="false">
      <c r="A6" s="5" t="s">
        <v>4</v>
      </c>
      <c r="B6" s="12" t="n">
        <v>0.02</v>
      </c>
      <c r="C6" s="12" t="n">
        <v>0.03</v>
      </c>
      <c r="D6" s="12" t="n">
        <v>0.05</v>
      </c>
      <c r="E6" s="12" t="n">
        <v>0.08</v>
      </c>
      <c r="F6" s="12" t="n">
        <v>0.12</v>
      </c>
      <c r="G6" s="12" t="n">
        <v>0.2</v>
      </c>
      <c r="H6" s="12" t="n">
        <v>0.32</v>
      </c>
      <c r="I6" s="12" t="n">
        <v>0.48</v>
      </c>
      <c r="J6" s="12" t="n">
        <v>0.65</v>
      </c>
      <c r="K6" s="13" t="n">
        <v>0.78</v>
      </c>
      <c r="L6" s="13" t="n">
        <v>0.88</v>
      </c>
      <c r="M6" s="13" t="n">
        <v>0.95</v>
      </c>
      <c r="N6" s="13" t="n">
        <v>0.98</v>
      </c>
      <c r="O6" s="13" t="n">
        <v>0.992</v>
      </c>
      <c r="P6" s="13" t="n">
        <v>0.996</v>
      </c>
      <c r="Q6" s="13" t="n">
        <v>0.998</v>
      </c>
      <c r="R6" s="13" t="n">
        <v>0.999</v>
      </c>
    </row>
    <row r="7" customFormat="false" ht="15" hidden="false" customHeight="false" outlineLevel="0" collapsed="false">
      <c r="A7" s="5" t="s">
        <v>5</v>
      </c>
      <c r="B7" s="12" t="n">
        <v>0.05</v>
      </c>
      <c r="C7" s="12" t="n">
        <v>0.08</v>
      </c>
      <c r="D7" s="12" t="n">
        <v>0.12</v>
      </c>
      <c r="E7" s="12" t="n">
        <v>0.18</v>
      </c>
      <c r="F7" s="12" t="n">
        <v>0.25</v>
      </c>
      <c r="G7" s="12" t="n">
        <v>0.38</v>
      </c>
      <c r="H7" s="12" t="n">
        <v>0.55</v>
      </c>
      <c r="I7" s="12" t="n">
        <v>0.72</v>
      </c>
      <c r="J7" s="12" t="n">
        <v>0.88</v>
      </c>
      <c r="K7" s="14" t="n">
        <v>0.94</v>
      </c>
      <c r="L7" s="14" t="n">
        <v>0.98</v>
      </c>
      <c r="M7" s="14" t="n">
        <v>0.993</v>
      </c>
      <c r="N7" s="13" t="n">
        <v>0.997</v>
      </c>
      <c r="O7" s="13" t="n">
        <v>0.998</v>
      </c>
      <c r="P7" s="13" t="n">
        <v>0.999</v>
      </c>
      <c r="Q7" s="13" t="n">
        <v>0.999</v>
      </c>
      <c r="R7" s="13" t="n">
        <v>0.999</v>
      </c>
    </row>
    <row r="8" customFormat="false" ht="15" hidden="false" customHeight="false" outlineLevel="0" collapsed="false">
      <c r="A8" s="5" t="s">
        <v>6</v>
      </c>
      <c r="B8" s="12" t="n">
        <v>0.01</v>
      </c>
      <c r="C8" s="12" t="n">
        <v>0.02</v>
      </c>
      <c r="D8" s="12" t="n">
        <v>0.03</v>
      </c>
      <c r="E8" s="12" t="n">
        <v>0.05</v>
      </c>
      <c r="F8" s="12" t="n">
        <v>0.08</v>
      </c>
      <c r="G8" s="12" t="n">
        <v>0.12</v>
      </c>
      <c r="H8" s="12" t="n">
        <v>0.18</v>
      </c>
      <c r="I8" s="12" t="n">
        <v>0.28</v>
      </c>
      <c r="J8" s="12" t="n">
        <v>0.42</v>
      </c>
      <c r="K8" s="13" t="n">
        <v>0.58</v>
      </c>
      <c r="L8" s="13" t="n">
        <v>0.75</v>
      </c>
      <c r="M8" s="13" t="n">
        <v>0.88</v>
      </c>
      <c r="N8" s="13" t="n">
        <v>0.95</v>
      </c>
      <c r="O8" s="13" t="n">
        <v>0.98</v>
      </c>
      <c r="P8" s="13" t="n">
        <v>0.993</v>
      </c>
      <c r="Q8" s="13" t="n">
        <v>0.997</v>
      </c>
      <c r="R8" s="13" t="n">
        <v>0.999</v>
      </c>
    </row>
    <row r="9" customFormat="false" ht="15" hidden="false" customHeight="false" outlineLevel="0" collapsed="false">
      <c r="A9" s="5" t="s">
        <v>7</v>
      </c>
      <c r="B9" s="12" t="n">
        <v>0.005</v>
      </c>
      <c r="C9" s="12" t="n">
        <v>0.01</v>
      </c>
      <c r="D9" s="12" t="n">
        <v>0.01</v>
      </c>
      <c r="E9" s="12" t="n">
        <v>0.02</v>
      </c>
      <c r="F9" s="12" t="n">
        <v>0.03</v>
      </c>
      <c r="G9" s="12" t="n">
        <v>0.04</v>
      </c>
      <c r="H9" s="12" t="n">
        <v>0.05</v>
      </c>
      <c r="I9" s="12" t="n">
        <v>0.08</v>
      </c>
      <c r="J9" s="12" t="n">
        <v>0.12</v>
      </c>
      <c r="K9" s="13" t="n">
        <v>0.22</v>
      </c>
      <c r="L9" s="13" t="n">
        <v>0.35</v>
      </c>
      <c r="M9" s="13" t="n">
        <v>0.55</v>
      </c>
      <c r="N9" s="13" t="n">
        <v>0.75</v>
      </c>
      <c r="O9" s="13" t="n">
        <v>0.88</v>
      </c>
      <c r="P9" s="13" t="n">
        <v>0.93</v>
      </c>
      <c r="Q9" s="13" t="n">
        <v>0.97</v>
      </c>
      <c r="R9" s="13" t="n">
        <v>0.99</v>
      </c>
    </row>
    <row r="10" customFormat="false" ht="15" hidden="false" customHeight="false" outlineLevel="0" collapsed="false">
      <c r="A10" s="5" t="s">
        <v>8</v>
      </c>
      <c r="B10" s="12" t="n">
        <v>0.08</v>
      </c>
      <c r="C10" s="12" t="n">
        <v>0.12</v>
      </c>
      <c r="D10" s="12" t="n">
        <v>0.18</v>
      </c>
      <c r="E10" s="12" t="n">
        <v>0.25</v>
      </c>
      <c r="F10" s="12" t="n">
        <v>0.35</v>
      </c>
      <c r="G10" s="12" t="n">
        <v>0.5</v>
      </c>
      <c r="H10" s="12" t="n">
        <v>0.68</v>
      </c>
      <c r="I10" s="12" t="n">
        <v>0.82</v>
      </c>
      <c r="J10" s="12" t="n">
        <v>0.92</v>
      </c>
      <c r="K10" s="14" t="n">
        <v>0.96</v>
      </c>
      <c r="L10" s="14" t="n">
        <v>0.99</v>
      </c>
      <c r="M10" s="14" t="n">
        <v>0.995</v>
      </c>
      <c r="N10" s="13" t="n">
        <v>0.998</v>
      </c>
      <c r="O10" s="13" t="n">
        <v>0.999</v>
      </c>
      <c r="P10" s="13" t="n">
        <v>0.999</v>
      </c>
      <c r="Q10" s="13" t="n">
        <v>0.999</v>
      </c>
      <c r="R10" s="13" t="n">
        <v>0.999</v>
      </c>
    </row>
    <row r="11" customFormat="false" ht="15" hidden="false" customHeight="false" outlineLevel="0" collapsed="false">
      <c r="A11" s="5" t="s">
        <v>9</v>
      </c>
      <c r="B11" s="12" t="n">
        <v>0.01</v>
      </c>
      <c r="C11" s="12" t="n">
        <v>0.02</v>
      </c>
      <c r="D11" s="12" t="n">
        <v>0.04</v>
      </c>
      <c r="E11" s="12" t="n">
        <v>0.06</v>
      </c>
      <c r="F11" s="12" t="n">
        <v>0.1</v>
      </c>
      <c r="G11" s="12" t="n">
        <v>0.18</v>
      </c>
      <c r="H11" s="12" t="n">
        <v>0.28</v>
      </c>
      <c r="I11" s="12" t="n">
        <v>0.42</v>
      </c>
      <c r="J11" s="12" t="n">
        <v>0.58</v>
      </c>
      <c r="K11" s="13" t="n">
        <v>0.72</v>
      </c>
      <c r="L11" s="13" t="n">
        <v>0.85</v>
      </c>
      <c r="M11" s="13" t="n">
        <v>0.93</v>
      </c>
      <c r="N11" s="13" t="n">
        <v>0.97</v>
      </c>
      <c r="O11" s="13" t="n">
        <v>0.988</v>
      </c>
      <c r="P11" s="13" t="n">
        <v>0.995</v>
      </c>
      <c r="Q11" s="13" t="n">
        <v>0.998</v>
      </c>
      <c r="R11" s="13" t="n">
        <v>0.999</v>
      </c>
    </row>
    <row r="12" customFormat="false" ht="15" hidden="false" customHeight="false" outlineLevel="0" collapsed="false">
      <c r="A12" s="5" t="s">
        <v>10</v>
      </c>
      <c r="B12" s="12" t="n">
        <v>0.01</v>
      </c>
      <c r="C12" s="12" t="n">
        <v>0.02</v>
      </c>
      <c r="D12" s="12" t="n">
        <v>0.03</v>
      </c>
      <c r="E12" s="12" t="n">
        <v>0.05</v>
      </c>
      <c r="F12" s="12" t="n">
        <v>0.08</v>
      </c>
      <c r="G12" s="12" t="n">
        <v>0.12</v>
      </c>
      <c r="H12" s="12" t="n">
        <v>0.18</v>
      </c>
      <c r="I12" s="12" t="n">
        <v>0.28</v>
      </c>
      <c r="J12" s="12" t="n">
        <v>0.42</v>
      </c>
      <c r="K12" s="13" t="n">
        <v>0.58</v>
      </c>
      <c r="L12" s="13" t="n">
        <v>0.75</v>
      </c>
      <c r="M12" s="13" t="n">
        <v>0.88</v>
      </c>
      <c r="N12" s="13" t="n">
        <v>0.95</v>
      </c>
      <c r="O12" s="13" t="n">
        <v>0.985</v>
      </c>
      <c r="P12" s="13" t="n">
        <v>0.994</v>
      </c>
      <c r="Q12" s="13" t="n">
        <v>0.997</v>
      </c>
      <c r="R12" s="13" t="n">
        <v>0.999</v>
      </c>
    </row>
    <row r="13" customFormat="false" ht="15" hidden="false" customHeight="false" outlineLevel="0" collapsed="false">
      <c r="A13" s="5" t="s">
        <v>11</v>
      </c>
      <c r="B13" s="12" t="n">
        <v>0.01</v>
      </c>
      <c r="C13" s="12" t="n">
        <v>0.01</v>
      </c>
      <c r="D13" s="12" t="n">
        <v>0.02</v>
      </c>
      <c r="E13" s="12" t="n">
        <v>0.03</v>
      </c>
      <c r="F13" s="12" t="n">
        <v>0.05</v>
      </c>
      <c r="G13" s="12" t="n">
        <v>0.08</v>
      </c>
      <c r="H13" s="12" t="n">
        <v>0.12</v>
      </c>
      <c r="I13" s="12" t="n">
        <v>0.18</v>
      </c>
      <c r="J13" s="12" t="n">
        <v>0.28</v>
      </c>
      <c r="K13" s="13" t="n">
        <v>0.45</v>
      </c>
      <c r="L13" s="13" t="n">
        <v>0.6</v>
      </c>
      <c r="M13" s="13" t="n">
        <v>0.75</v>
      </c>
      <c r="N13" s="13" t="n">
        <v>0.88</v>
      </c>
      <c r="O13" s="13" t="n">
        <v>0.96</v>
      </c>
      <c r="P13" s="13" t="n">
        <v>0.985</v>
      </c>
      <c r="Q13" s="13" t="n">
        <v>0.993</v>
      </c>
      <c r="R13" s="13" t="n">
        <v>0.997</v>
      </c>
    </row>
    <row r="14" customFormat="false" ht="15" hidden="false" customHeight="false" outlineLevel="0" collapsed="false">
      <c r="A14" s="5" t="s">
        <v>12</v>
      </c>
      <c r="B14" s="12" t="n">
        <v>0.005</v>
      </c>
      <c r="C14" s="12" t="n">
        <v>0.01</v>
      </c>
      <c r="D14" s="12" t="n">
        <v>0.01</v>
      </c>
      <c r="E14" s="12" t="n">
        <v>0.02</v>
      </c>
      <c r="F14" s="12" t="n">
        <v>0.03</v>
      </c>
      <c r="G14" s="12" t="n">
        <v>0.05</v>
      </c>
      <c r="H14" s="12" t="n">
        <v>0.08</v>
      </c>
      <c r="I14" s="12" t="n">
        <v>0.14</v>
      </c>
      <c r="J14" s="12" t="n">
        <v>0.22</v>
      </c>
      <c r="K14" s="13" t="n">
        <v>0.38</v>
      </c>
      <c r="L14" s="13" t="n">
        <v>0.55</v>
      </c>
      <c r="M14" s="13" t="n">
        <v>0.75</v>
      </c>
      <c r="N14" s="13" t="n">
        <v>0.88</v>
      </c>
      <c r="O14" s="13" t="n">
        <v>0.95</v>
      </c>
      <c r="P14" s="13" t="n">
        <v>0.98</v>
      </c>
      <c r="Q14" s="13" t="n">
        <v>0.992</v>
      </c>
      <c r="R14" s="13" t="n">
        <v>0.996</v>
      </c>
    </row>
    <row r="15" customFormat="false" ht="15" hidden="false" customHeight="false" outlineLevel="0" collapsed="false">
      <c r="A15" s="5" t="s">
        <v>13</v>
      </c>
      <c r="B15" s="12" t="n">
        <v>0.05</v>
      </c>
      <c r="C15" s="12" t="n">
        <v>0.08</v>
      </c>
      <c r="D15" s="12" t="n">
        <v>0.12</v>
      </c>
      <c r="E15" s="12" t="n">
        <v>0.18</v>
      </c>
      <c r="F15" s="12" t="n">
        <v>0.25</v>
      </c>
      <c r="G15" s="12" t="n">
        <v>0.38</v>
      </c>
      <c r="H15" s="12" t="n">
        <v>0.55</v>
      </c>
      <c r="I15" s="12" t="n">
        <v>0.72</v>
      </c>
      <c r="J15" s="12" t="n">
        <v>0.88</v>
      </c>
      <c r="K15" s="14" t="n">
        <v>0.94</v>
      </c>
      <c r="L15" s="14" t="n">
        <v>0.98</v>
      </c>
      <c r="M15" s="14" t="n">
        <v>0.993</v>
      </c>
      <c r="N15" s="13" t="n">
        <v>0.997</v>
      </c>
      <c r="O15" s="13" t="n">
        <v>0.998</v>
      </c>
      <c r="P15" s="13" t="n">
        <v>0.999</v>
      </c>
      <c r="Q15" s="13" t="n">
        <v>0.999</v>
      </c>
      <c r="R15" s="13" t="n">
        <v>0.999</v>
      </c>
    </row>
    <row r="16" customFormat="false" ht="15" hidden="false" customHeight="false" outlineLevel="0" collapsed="false">
      <c r="A16" s="5" t="s">
        <v>14</v>
      </c>
      <c r="B16" s="12" t="n">
        <v>0</v>
      </c>
      <c r="C16" s="12" t="n">
        <v>0</v>
      </c>
      <c r="D16" s="12" t="n">
        <v>0.005</v>
      </c>
      <c r="E16" s="12" t="n">
        <v>0.01</v>
      </c>
      <c r="F16" s="12" t="n">
        <v>0.01</v>
      </c>
      <c r="G16" s="12" t="n">
        <v>0.02</v>
      </c>
      <c r="H16" s="12" t="n">
        <v>0.03</v>
      </c>
      <c r="I16" s="12" t="n">
        <v>0.05</v>
      </c>
      <c r="J16" s="12" t="n">
        <v>0.08</v>
      </c>
      <c r="K16" s="13" t="n">
        <v>0.18</v>
      </c>
      <c r="L16" s="13" t="n">
        <v>0.3</v>
      </c>
      <c r="M16" s="13" t="n">
        <v>0.5</v>
      </c>
      <c r="N16" s="13" t="n">
        <v>0.72</v>
      </c>
      <c r="O16" s="13" t="n">
        <v>0.87</v>
      </c>
      <c r="P16" s="13" t="n">
        <v>0.93</v>
      </c>
      <c r="Q16" s="13" t="n">
        <v>0.965</v>
      </c>
      <c r="R16" s="13" t="n">
        <v>0.985</v>
      </c>
    </row>
    <row r="17" customFormat="false" ht="15" hidden="false" customHeight="false" outlineLevel="0" collapsed="false">
      <c r="A17" s="5" t="s">
        <v>15</v>
      </c>
      <c r="B17" s="12" t="n">
        <v>0.005</v>
      </c>
      <c r="C17" s="12" t="n">
        <v>0.01</v>
      </c>
      <c r="D17" s="12" t="n">
        <v>0.01</v>
      </c>
      <c r="E17" s="12" t="n">
        <v>0.02</v>
      </c>
      <c r="F17" s="12" t="n">
        <v>0.03</v>
      </c>
      <c r="G17" s="12" t="n">
        <v>0.04</v>
      </c>
      <c r="H17" s="12" t="n">
        <v>0.06</v>
      </c>
      <c r="I17" s="12" t="n">
        <v>0.1</v>
      </c>
      <c r="J17" s="12" t="n">
        <v>0.15</v>
      </c>
      <c r="K17" s="13" t="n">
        <v>0.28</v>
      </c>
      <c r="L17" s="13" t="n">
        <v>0.45</v>
      </c>
      <c r="M17" s="13" t="n">
        <v>0.65</v>
      </c>
      <c r="N17" s="13" t="n">
        <v>0.82</v>
      </c>
      <c r="O17" s="13" t="n">
        <v>0.92</v>
      </c>
      <c r="P17" s="13" t="n">
        <v>0.965</v>
      </c>
      <c r="Q17" s="13" t="n">
        <v>0.99</v>
      </c>
      <c r="R17" s="13" t="n">
        <v>0.996</v>
      </c>
    </row>
    <row r="18" customFormat="false" ht="15" hidden="false" customHeight="false" outlineLevel="0" collapsed="false">
      <c r="A18" s="5" t="s">
        <v>16</v>
      </c>
      <c r="B18" s="12" t="n">
        <v>0.005</v>
      </c>
      <c r="C18" s="12" t="n">
        <v>0.01</v>
      </c>
      <c r="D18" s="12" t="n">
        <v>0.02</v>
      </c>
      <c r="E18" s="12" t="n">
        <v>0.03</v>
      </c>
      <c r="F18" s="12" t="n">
        <v>0.05</v>
      </c>
      <c r="G18" s="12" t="n">
        <v>0.08</v>
      </c>
      <c r="H18" s="12" t="n">
        <v>0.12</v>
      </c>
      <c r="I18" s="12" t="n">
        <v>0.18</v>
      </c>
      <c r="J18" s="12" t="n">
        <v>0.28</v>
      </c>
      <c r="K18" s="13" t="n">
        <v>0.42</v>
      </c>
      <c r="L18" s="13" t="n">
        <v>0.58</v>
      </c>
      <c r="M18" s="13" t="n">
        <v>0.75</v>
      </c>
      <c r="N18" s="13" t="n">
        <v>0.88</v>
      </c>
      <c r="O18" s="13" t="n">
        <v>0.95</v>
      </c>
      <c r="P18" s="13" t="n">
        <v>0.98</v>
      </c>
      <c r="Q18" s="13" t="n">
        <v>0.993</v>
      </c>
      <c r="R18" s="13" t="n">
        <v>0.997</v>
      </c>
    </row>
    <row r="19" customFormat="false" ht="15" hidden="false" customHeight="false" outlineLevel="0" collapsed="false">
      <c r="A19" s="5" t="s">
        <v>17</v>
      </c>
      <c r="B19" s="12" t="n">
        <v>0.05</v>
      </c>
      <c r="C19" s="12" t="n">
        <v>0.08</v>
      </c>
      <c r="D19" s="12" t="n">
        <v>0.12</v>
      </c>
      <c r="E19" s="12" t="n">
        <v>0.18</v>
      </c>
      <c r="F19" s="12" t="n">
        <v>0.25</v>
      </c>
      <c r="G19" s="12" t="n">
        <v>0.38</v>
      </c>
      <c r="H19" s="12" t="n">
        <v>0.55</v>
      </c>
      <c r="I19" s="12" t="n">
        <v>0.72</v>
      </c>
      <c r="J19" s="12" t="n">
        <v>0.88</v>
      </c>
      <c r="K19" s="14" t="n">
        <v>0.94</v>
      </c>
      <c r="L19" s="14" t="n">
        <v>0.98</v>
      </c>
      <c r="M19" s="14" t="n">
        <v>0.993</v>
      </c>
      <c r="N19" s="13" t="n">
        <v>0.997</v>
      </c>
      <c r="O19" s="13" t="n">
        <v>0.998</v>
      </c>
      <c r="P19" s="13" t="n">
        <v>0.999</v>
      </c>
      <c r="Q19" s="13" t="n">
        <v>0.999</v>
      </c>
      <c r="R19" s="13" t="n">
        <v>0.999</v>
      </c>
    </row>
    <row r="20" customFormat="false" ht="15" hidden="false" customHeight="false" outlineLevel="0" collapsed="false">
      <c r="A20" s="5" t="s">
        <v>18</v>
      </c>
      <c r="B20" s="12" t="n">
        <v>0.005</v>
      </c>
      <c r="C20" s="12" t="n">
        <v>0.01</v>
      </c>
      <c r="D20" s="12" t="n">
        <v>0.02</v>
      </c>
      <c r="E20" s="12" t="n">
        <v>0.03</v>
      </c>
      <c r="F20" s="12" t="n">
        <v>0.05</v>
      </c>
      <c r="G20" s="12" t="n">
        <v>0.08</v>
      </c>
      <c r="H20" s="12" t="n">
        <v>0.12</v>
      </c>
      <c r="I20" s="12" t="n">
        <v>0.18</v>
      </c>
      <c r="J20" s="12" t="n">
        <v>0.25</v>
      </c>
      <c r="K20" s="13" t="n">
        <v>0.38</v>
      </c>
      <c r="L20" s="13" t="n">
        <v>0.52</v>
      </c>
      <c r="M20" s="13" t="n">
        <v>0.7</v>
      </c>
      <c r="N20" s="13" t="n">
        <v>0.85</v>
      </c>
      <c r="O20" s="13" t="n">
        <v>0.93</v>
      </c>
      <c r="P20" s="13" t="n">
        <v>0.97</v>
      </c>
      <c r="Q20" s="13" t="n">
        <v>0.99</v>
      </c>
      <c r="R20" s="13" t="n">
        <v>0.996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9"/>
  </cols>
  <sheetData>
    <row r="1" customFormat="false" ht="17.35" hidden="false" customHeight="fals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29</v>
      </c>
      <c r="B4" s="15" t="n">
        <v>1860</v>
      </c>
      <c r="C4" s="15" t="n">
        <v>1870</v>
      </c>
      <c r="D4" s="15" t="n">
        <v>1880</v>
      </c>
      <c r="E4" s="15" t="n">
        <v>1890</v>
      </c>
      <c r="F4" s="15" t="n">
        <v>1900</v>
      </c>
      <c r="G4" s="15" t="n">
        <v>1910</v>
      </c>
      <c r="H4" s="15" t="n">
        <v>1920</v>
      </c>
      <c r="I4" s="15" t="n">
        <v>1930</v>
      </c>
      <c r="J4" s="15" t="n">
        <v>1940</v>
      </c>
      <c r="K4" s="15" t="n">
        <v>1950</v>
      </c>
      <c r="L4" s="15" t="n">
        <v>1960</v>
      </c>
      <c r="M4" s="15" t="n">
        <v>1970</v>
      </c>
      <c r="N4" s="15" t="n">
        <v>1980</v>
      </c>
      <c r="O4" s="15" t="n">
        <v>1990</v>
      </c>
      <c r="P4" s="15" t="n">
        <v>2000</v>
      </c>
      <c r="Q4" s="15" t="n">
        <v>2010</v>
      </c>
      <c r="R4" s="15" t="n">
        <v>2020</v>
      </c>
    </row>
    <row r="5" customFormat="false" ht="15" hidden="false" customHeight="false" outlineLevel="0" collapsed="false">
      <c r="A5" s="5" t="s">
        <v>30</v>
      </c>
    </row>
    <row r="6" customFormat="false" ht="15" hidden="false" customHeight="false" outlineLevel="0" collapsed="false">
      <c r="A6" s="16" t="s">
        <v>31</v>
      </c>
      <c r="B6" s="17" t="n">
        <f aca="false">MAX('Persons per dwelling'!B5:B20)</f>
        <v>5.7</v>
      </c>
      <c r="C6" s="17" t="n">
        <f aca="false">MAX('Persons per dwelling'!C5:C20)</f>
        <v>5.7</v>
      </c>
      <c r="D6" s="17" t="n">
        <f aca="false">MAX('Persons per dwelling'!D5:D20)</f>
        <v>5.6</v>
      </c>
      <c r="E6" s="17" t="n">
        <f aca="false">MAX('Persons per dwelling'!E5:E20)</f>
        <v>5.6</v>
      </c>
      <c r="F6" s="17" t="n">
        <f aca="false">MAX('Persons per dwelling'!F5:F20)</f>
        <v>5.7</v>
      </c>
      <c r="G6" s="17" t="n">
        <f aca="false">MAX('Persons per dwelling'!G5:G20)</f>
        <v>5.7</v>
      </c>
      <c r="H6" s="17" t="n">
        <f aca="false">MAX('Persons per dwelling'!H5:H20)</f>
        <v>5.6</v>
      </c>
      <c r="I6" s="17" t="n">
        <f aca="false">MAX('Persons per dwelling'!I5:I20)</f>
        <v>5.5</v>
      </c>
      <c r="J6" s="17" t="n">
        <f aca="false">MAX('Persons per dwelling'!J5:J20)</f>
        <v>5.3</v>
      </c>
      <c r="K6" s="17" t="n">
        <f aca="false">MAX('Persons per dwelling'!K5:K20)</f>
        <v>5.7</v>
      </c>
      <c r="L6" s="17" t="n">
        <f aca="false">MAX('Persons per dwelling'!L5:L20)</f>
        <v>6</v>
      </c>
      <c r="M6" s="17" t="n">
        <f aca="false">MAX('Persons per dwelling'!M5:M20)</f>
        <v>6</v>
      </c>
      <c r="N6" s="17" t="n">
        <f aca="false">MAX('Persons per dwelling'!N5:N20)</f>
        <v>5.7</v>
      </c>
      <c r="O6" s="17" t="n">
        <f aca="false">MAX('Persons per dwelling'!O5:O20)</f>
        <v>5.2</v>
      </c>
      <c r="P6" s="17" t="n">
        <f aca="false">MAX('Persons per dwelling'!P5:P20)</f>
        <v>4.7</v>
      </c>
      <c r="Q6" s="17" t="n">
        <f aca="false">MAX('Persons per dwelling'!Q5:Q20)</f>
        <v>4.2</v>
      </c>
      <c r="R6" s="17" t="n">
        <f aca="false">MAX('Persons per dwelling'!R5:R20)</f>
        <v>3.9</v>
      </c>
    </row>
    <row r="7" customFormat="false" ht="15" hidden="false" customHeight="false" outlineLevel="0" collapsed="false">
      <c r="A7" s="16" t="s">
        <v>32</v>
      </c>
      <c r="B7" s="17" t="n">
        <f aca="false">MIN('Persons per dwelling'!B5:B20)</f>
        <v>5.4</v>
      </c>
      <c r="C7" s="17" t="n">
        <f aca="false">MIN('Persons per dwelling'!C5:C20)</f>
        <v>5.4</v>
      </c>
      <c r="D7" s="17" t="n">
        <f aca="false">MIN('Persons per dwelling'!D5:D20)</f>
        <v>5.3</v>
      </c>
      <c r="E7" s="17" t="n">
        <f aca="false">MIN('Persons per dwelling'!E5:E20)</f>
        <v>5.3</v>
      </c>
      <c r="F7" s="17" t="n">
        <f aca="false">MIN('Persons per dwelling'!F5:F20)</f>
        <v>5.4</v>
      </c>
      <c r="G7" s="17" t="n">
        <f aca="false">MIN('Persons per dwelling'!G5:G20)</f>
        <v>5.3</v>
      </c>
      <c r="H7" s="17" t="n">
        <f aca="false">MIN('Persons per dwelling'!H5:H20)</f>
        <v>5.2</v>
      </c>
      <c r="I7" s="17" t="n">
        <f aca="false">MIN('Persons per dwelling'!I5:I20)</f>
        <v>5.1</v>
      </c>
      <c r="J7" s="17" t="n">
        <f aca="false">MIN('Persons per dwelling'!J5:J20)</f>
        <v>4.9</v>
      </c>
      <c r="K7" s="17" t="n">
        <f aca="false">MIN('Persons per dwelling'!K5:K20)</f>
        <v>5.2</v>
      </c>
      <c r="L7" s="17" t="n">
        <f aca="false">MIN('Persons per dwelling'!L5:L20)</f>
        <v>5.2</v>
      </c>
      <c r="M7" s="17" t="n">
        <f aca="false">MIN('Persons per dwelling'!M5:M20)</f>
        <v>5</v>
      </c>
      <c r="N7" s="17" t="n">
        <f aca="false">MIN('Persons per dwelling'!N5:N20)</f>
        <v>4.4</v>
      </c>
      <c r="O7" s="17" t="n">
        <f aca="false">MIN('Persons per dwelling'!O5:O20)</f>
        <v>3.6</v>
      </c>
      <c r="P7" s="17" t="n">
        <f aca="false">MIN('Persons per dwelling'!P5:P20)</f>
        <v>3.1</v>
      </c>
      <c r="Q7" s="17" t="n">
        <f aca="false">MIN('Persons per dwelling'!Q5:Q20)</f>
        <v>2.7</v>
      </c>
      <c r="R7" s="17" t="n">
        <f aca="false">MIN('Persons per dwelling'!R5:R20)</f>
        <v>2.5</v>
      </c>
    </row>
    <row r="8" customFormat="false" ht="15" hidden="false" customHeight="false" outlineLevel="0" collapsed="false">
      <c r="A8" s="16" t="s">
        <v>33</v>
      </c>
      <c r="B8" s="17" t="n">
        <f aca="false">MAX('Persons per dwelling'!B5:B20)-MIN('Persons per dwelling'!B5:B20)</f>
        <v>0.3</v>
      </c>
      <c r="C8" s="17" t="n">
        <f aca="false">MAX('Persons per dwelling'!C5:C20)-MIN('Persons per dwelling'!C5:C20)</f>
        <v>0.3</v>
      </c>
      <c r="D8" s="17" t="n">
        <f aca="false">MAX('Persons per dwelling'!D5:D20)-MIN('Persons per dwelling'!D5:D20)</f>
        <v>0.3</v>
      </c>
      <c r="E8" s="17" t="n">
        <f aca="false">MAX('Persons per dwelling'!E5:E20)-MIN('Persons per dwelling'!E5:E20)</f>
        <v>0.3</v>
      </c>
      <c r="F8" s="17" t="n">
        <f aca="false">MAX('Persons per dwelling'!F5:F20)-MIN('Persons per dwelling'!F5:F20)</f>
        <v>0.3</v>
      </c>
      <c r="G8" s="17" t="n">
        <f aca="false">MAX('Persons per dwelling'!G5:G20)-MIN('Persons per dwelling'!G5:G20)</f>
        <v>0.4</v>
      </c>
      <c r="H8" s="17" t="n">
        <f aca="false">MAX('Persons per dwelling'!H5:H20)-MIN('Persons per dwelling'!H5:H20)</f>
        <v>0.399999999999999</v>
      </c>
      <c r="I8" s="17" t="n">
        <f aca="false">MAX('Persons per dwelling'!I5:I20)-MIN('Persons per dwelling'!I5:I20)</f>
        <v>0.4</v>
      </c>
      <c r="J8" s="17" t="n">
        <f aca="false">MAX('Persons per dwelling'!J5:J20)-MIN('Persons per dwelling'!J5:J20)</f>
        <v>0.399999999999999</v>
      </c>
      <c r="K8" s="17" t="n">
        <f aca="false">MAX('Persons per dwelling'!K5:K20)-MIN('Persons per dwelling'!K5:K20)</f>
        <v>0.5</v>
      </c>
      <c r="L8" s="17" t="n">
        <f aca="false">MAX('Persons per dwelling'!L5:L20)-MIN('Persons per dwelling'!L5:L20)</f>
        <v>0.8</v>
      </c>
      <c r="M8" s="17" t="n">
        <f aca="false">MAX('Persons per dwelling'!M5:M20)-MIN('Persons per dwelling'!M5:M20)</f>
        <v>1</v>
      </c>
      <c r="N8" s="17" t="n">
        <f aca="false">MAX('Persons per dwelling'!N5:N20)-MIN('Persons per dwelling'!N5:N20)</f>
        <v>1.3</v>
      </c>
      <c r="O8" s="17" t="n">
        <f aca="false">MAX('Persons per dwelling'!O5:O20)-MIN('Persons per dwelling'!O5:O20)</f>
        <v>1.6</v>
      </c>
      <c r="P8" s="17" t="n">
        <f aca="false">MAX('Persons per dwelling'!P5:P20)-MIN('Persons per dwelling'!P5:P20)</f>
        <v>1.6</v>
      </c>
      <c r="Q8" s="17" t="n">
        <f aca="false">MAX('Persons per dwelling'!Q5:Q20)-MIN('Persons per dwelling'!Q5:Q20)</f>
        <v>1.5</v>
      </c>
      <c r="R8" s="17" t="n">
        <f aca="false">MAX('Persons per dwelling'!R5:R20)-MIN('Persons per dwelling'!R5:R20)</f>
        <v>1.4</v>
      </c>
    </row>
    <row r="10" customFormat="false" ht="15" hidden="false" customHeight="false" outlineLevel="0" collapsed="false">
      <c r="A10" s="5" t="s">
        <v>34</v>
      </c>
    </row>
    <row r="11" customFormat="false" ht="15" hidden="false" customHeight="false" outlineLevel="0" collapsed="false">
      <c r="A11" s="16" t="s">
        <v>31</v>
      </c>
      <c r="B11" s="18" t="n">
        <f aca="false">MAX('% Electricity'!B5:B20)</f>
        <v>0.1</v>
      </c>
      <c r="C11" s="18" t="n">
        <f aca="false">MAX('% Electricity'!C5:C20)</f>
        <v>0.15</v>
      </c>
      <c r="D11" s="18" t="n">
        <f aca="false">MAX('% Electricity'!D5:D20)</f>
        <v>0.22</v>
      </c>
      <c r="E11" s="18" t="n">
        <f aca="false">MAX('% Electricity'!E5:E20)</f>
        <v>0.3</v>
      </c>
      <c r="F11" s="18" t="n">
        <f aca="false">MAX('% Electricity'!F5:F20)</f>
        <v>0.4</v>
      </c>
      <c r="G11" s="18" t="n">
        <f aca="false">MAX('% Electricity'!G5:G20)</f>
        <v>0.55</v>
      </c>
      <c r="H11" s="18" t="n">
        <f aca="false">MAX('% Electricity'!H5:H20)</f>
        <v>0.7</v>
      </c>
      <c r="I11" s="18" t="n">
        <f aca="false">MAX('% Electricity'!I5:I20)</f>
        <v>0.85</v>
      </c>
      <c r="J11" s="18" t="n">
        <f aca="false">MAX('% Electricity'!J5:J20)</f>
        <v>0.94</v>
      </c>
      <c r="K11" s="18" t="n">
        <f aca="false">MAX('% Electricity'!K5:K20)</f>
        <v>0.97</v>
      </c>
      <c r="L11" s="18" t="n">
        <f aca="false">MAX('% Electricity'!L5:L20)</f>
        <v>0.99</v>
      </c>
      <c r="M11" s="18" t="n">
        <f aca="false">MAX('% Electricity'!M5:M20)</f>
        <v>0.995</v>
      </c>
      <c r="N11" s="18" t="n">
        <f aca="false">MAX('% Electricity'!N5:N20)</f>
        <v>0.998</v>
      </c>
      <c r="O11" s="18" t="n">
        <f aca="false">MAX('% Electricity'!O5:O20)</f>
        <v>0.999</v>
      </c>
      <c r="P11" s="18" t="n">
        <f aca="false">MAX('% Electricity'!P5:P20)</f>
        <v>0.999</v>
      </c>
      <c r="Q11" s="18" t="n">
        <f aca="false">MAX('% Electricity'!Q5:Q20)</f>
        <v>0.999</v>
      </c>
      <c r="R11" s="18" t="n">
        <f aca="false">MAX('% Electricity'!R5:R20)</f>
        <v>0.999</v>
      </c>
    </row>
    <row r="12" customFormat="false" ht="15" hidden="false" customHeight="false" outlineLevel="0" collapsed="false">
      <c r="A12" s="16" t="s">
        <v>32</v>
      </c>
      <c r="B12" s="18" t="n">
        <f aca="false">MIN('% Electricity'!B5:B20)</f>
        <v>0.005</v>
      </c>
      <c r="C12" s="18" t="n">
        <f aca="false">MIN('% Electricity'!C5:C20)</f>
        <v>0.01</v>
      </c>
      <c r="D12" s="18" t="n">
        <f aca="false">MIN('% Electricity'!D5:D20)</f>
        <v>0.02</v>
      </c>
      <c r="E12" s="18" t="n">
        <f aca="false">MIN('% Electricity'!E5:E20)</f>
        <v>0.03</v>
      </c>
      <c r="F12" s="18" t="n">
        <f aca="false">MIN('% Electricity'!F5:F20)</f>
        <v>0.05</v>
      </c>
      <c r="G12" s="18" t="n">
        <f aca="false">MIN('% Electricity'!G5:G20)</f>
        <v>0.07</v>
      </c>
      <c r="H12" s="18" t="n">
        <f aca="false">MIN('% Electricity'!H5:H20)</f>
        <v>0.08</v>
      </c>
      <c r="I12" s="18" t="n">
        <f aca="false">MIN('% Electricity'!I5:I20)</f>
        <v>0.12</v>
      </c>
      <c r="J12" s="18" t="n">
        <f aca="false">MIN('% Electricity'!J5:J20)</f>
        <v>0.18</v>
      </c>
      <c r="K12" s="18" t="n">
        <f aca="false">MIN('% Electricity'!K5:K20)</f>
        <v>0.3</v>
      </c>
      <c r="L12" s="18" t="n">
        <f aca="false">MIN('% Electricity'!L5:L20)</f>
        <v>0.45</v>
      </c>
      <c r="M12" s="18" t="n">
        <f aca="false">MIN('% Electricity'!M5:M20)</f>
        <v>0.65</v>
      </c>
      <c r="N12" s="18" t="n">
        <f aca="false">MIN('% Electricity'!N5:N20)</f>
        <v>0.82</v>
      </c>
      <c r="O12" s="18" t="n">
        <f aca="false">MIN('% Electricity'!O5:O20)</f>
        <v>0.92</v>
      </c>
      <c r="P12" s="18" t="n">
        <f aca="false">MIN('% Electricity'!P5:P20)</f>
        <v>0.96</v>
      </c>
      <c r="Q12" s="18" t="n">
        <f aca="false">MIN('% Electricity'!Q5:Q20)</f>
        <v>0.985</v>
      </c>
      <c r="R12" s="18" t="n">
        <f aca="false">MIN('% Electricity'!R5:R20)</f>
        <v>0.995</v>
      </c>
    </row>
    <row r="13" customFormat="false" ht="15" hidden="false" customHeight="false" outlineLevel="0" collapsed="false">
      <c r="A13" s="16" t="s">
        <v>33</v>
      </c>
      <c r="B13" s="18" t="n">
        <f aca="false">MAX('% Electricity'!B5:B20)-MIN('% Electricity'!B5:B20)</f>
        <v>0.095</v>
      </c>
      <c r="C13" s="18" t="n">
        <f aca="false">MAX('% Electricity'!C5:C20)-MIN('% Electricity'!C5:C20)</f>
        <v>0.14</v>
      </c>
      <c r="D13" s="18" t="n">
        <f aca="false">MAX('% Electricity'!D5:D20)-MIN('% Electricity'!D5:D20)</f>
        <v>0.2</v>
      </c>
      <c r="E13" s="18" t="n">
        <f aca="false">MAX('% Electricity'!E5:E20)-MIN('% Electricity'!E5:E20)</f>
        <v>0.27</v>
      </c>
      <c r="F13" s="18" t="n">
        <f aca="false">MAX('% Electricity'!F5:F20)-MIN('% Electricity'!F5:F20)</f>
        <v>0.35</v>
      </c>
      <c r="G13" s="18" t="n">
        <f aca="false">MAX('% Electricity'!G5:G20)-MIN('% Electricity'!G5:G20)</f>
        <v>0.48</v>
      </c>
      <c r="H13" s="18" t="n">
        <f aca="false">MAX('% Electricity'!H5:H20)-MIN('% Electricity'!H5:H20)</f>
        <v>0.62</v>
      </c>
      <c r="I13" s="18" t="n">
        <f aca="false">MAX('% Electricity'!I5:I20)-MIN('% Electricity'!I5:I20)</f>
        <v>0.73</v>
      </c>
      <c r="J13" s="18" t="n">
        <f aca="false">MAX('% Electricity'!J5:J20)-MIN('% Electricity'!J5:J20)</f>
        <v>0.76</v>
      </c>
      <c r="K13" s="18" t="n">
        <f aca="false">MAX('% Electricity'!K5:K20)-MIN('% Electricity'!K5:K20)</f>
        <v>0.67</v>
      </c>
      <c r="L13" s="18" t="n">
        <f aca="false">MAX('% Electricity'!L5:L20)-MIN('% Electricity'!L5:L20)</f>
        <v>0.54</v>
      </c>
      <c r="M13" s="18" t="n">
        <f aca="false">MAX('% Electricity'!M5:M20)-MIN('% Electricity'!M5:M20)</f>
        <v>0.345</v>
      </c>
      <c r="N13" s="18" t="n">
        <f aca="false">MAX('% Electricity'!N5:N20)-MIN('% Electricity'!N5:N20)</f>
        <v>0.178</v>
      </c>
      <c r="O13" s="18" t="n">
        <f aca="false">MAX('% Electricity'!O5:O20)-MIN('% Electricity'!O5:O20)</f>
        <v>0.0790000000000001</v>
      </c>
      <c r="P13" s="18" t="n">
        <f aca="false">MAX('% Electricity'!P5:P20)-MIN('% Electricity'!P5:P20)</f>
        <v>0.0390000000000001</v>
      </c>
      <c r="Q13" s="18" t="n">
        <f aca="false">MAX('% Electricity'!Q5:Q20)-MIN('% Electricity'!Q5:Q20)</f>
        <v>0.0140000000000001</v>
      </c>
      <c r="R13" s="18" t="n">
        <f aca="false">MAX('% Electricity'!R5:R20)-MIN('% Electricity'!R5:R20)</f>
        <v>0.00400000000000012</v>
      </c>
    </row>
    <row r="15" customFormat="false" ht="15" hidden="false" customHeight="false" outlineLevel="0" collapsed="false">
      <c r="A15" s="5" t="s">
        <v>35</v>
      </c>
    </row>
    <row r="16" customFormat="false" ht="15" hidden="false" customHeight="false" outlineLevel="0" collapsed="false">
      <c r="A16" s="16" t="s">
        <v>31</v>
      </c>
      <c r="B16" s="18" t="n">
        <f aca="false">MAX('% Piped water'!B5:B20)</f>
        <v>0.15</v>
      </c>
      <c r="C16" s="18" t="n">
        <f aca="false">MAX('% Piped water'!C5:C20)</f>
        <v>0.22</v>
      </c>
      <c r="D16" s="18" t="n">
        <f aca="false">MAX('% Piped water'!D5:D20)</f>
        <v>0.32</v>
      </c>
      <c r="E16" s="18" t="n">
        <f aca="false">MAX('% Piped water'!E5:E20)</f>
        <v>0.42</v>
      </c>
      <c r="F16" s="18" t="n">
        <f aca="false">MAX('% Piped water'!F5:F20)</f>
        <v>0.55</v>
      </c>
      <c r="G16" s="18" t="n">
        <f aca="false">MAX('% Piped water'!G5:G20)</f>
        <v>0.68</v>
      </c>
      <c r="H16" s="18" t="n">
        <f aca="false">MAX('% Piped water'!H5:H20)</f>
        <v>0.78</v>
      </c>
      <c r="I16" s="18" t="n">
        <f aca="false">MAX('% Piped water'!I5:I20)</f>
        <v>0.87</v>
      </c>
      <c r="J16" s="18" t="n">
        <f aca="false">MAX('% Piped water'!J5:J20)</f>
        <v>0.94</v>
      </c>
      <c r="K16" s="18" t="n">
        <f aca="false">MAX('% Piped water'!K5:K20)</f>
        <v>0.97</v>
      </c>
      <c r="L16" s="18" t="n">
        <f aca="false">MAX('% Piped water'!L5:L20)</f>
        <v>0.99</v>
      </c>
      <c r="M16" s="18" t="n">
        <f aca="false">MAX('% Piped water'!M5:M20)</f>
        <v>0.99</v>
      </c>
      <c r="N16" s="18" t="n">
        <f aca="false">MAX('% Piped water'!N5:N20)</f>
        <v>0.99</v>
      </c>
      <c r="O16" s="18" t="n">
        <f aca="false">MAX('% Piped water'!O5:O20)</f>
        <v>0.99</v>
      </c>
      <c r="P16" s="18" t="n">
        <f aca="false">MAX('% Piped water'!P5:P20)</f>
        <v>0.99</v>
      </c>
      <c r="Q16" s="18" t="n">
        <f aca="false">MAX('% Piped water'!Q5:Q20)</f>
        <v>0.99</v>
      </c>
      <c r="R16" s="18" t="n">
        <f aca="false">MAX('% Piped water'!R5:R20)</f>
        <v>0.994</v>
      </c>
    </row>
    <row r="17" customFormat="false" ht="15" hidden="false" customHeight="false" outlineLevel="0" collapsed="false">
      <c r="A17" s="16" t="s">
        <v>32</v>
      </c>
      <c r="B17" s="18" t="n">
        <f aca="false">MIN('% Piped water'!B5:B20)</f>
        <v>0</v>
      </c>
      <c r="C17" s="18" t="n">
        <f aca="false">MIN('% Piped water'!C5:C20)</f>
        <v>0.005</v>
      </c>
      <c r="D17" s="18" t="n">
        <f aca="false">MIN('% Piped water'!D5:D20)</f>
        <v>0.01</v>
      </c>
      <c r="E17" s="18" t="n">
        <f aca="false">MIN('% Piped water'!E5:E20)</f>
        <v>0.02</v>
      </c>
      <c r="F17" s="18" t="n">
        <f aca="false">MIN('% Piped water'!F5:F20)</f>
        <v>0.03</v>
      </c>
      <c r="G17" s="18" t="n">
        <f aca="false">MIN('% Piped water'!G5:G20)</f>
        <v>0.05</v>
      </c>
      <c r="H17" s="18" t="n">
        <f aca="false">MIN('% Piped water'!H5:H20)</f>
        <v>0.06</v>
      </c>
      <c r="I17" s="18" t="n">
        <f aca="false">MIN('% Piped water'!I5:I20)</f>
        <v>0.09</v>
      </c>
      <c r="J17" s="18" t="n">
        <f aca="false">MIN('% Piped water'!J5:J20)</f>
        <v>0.14</v>
      </c>
      <c r="K17" s="18" t="n">
        <f aca="false">MIN('% Piped water'!K5:K20)</f>
        <v>0.25</v>
      </c>
      <c r="L17" s="18" t="n">
        <f aca="false">MIN('% Piped water'!L5:L20)</f>
        <v>0.38</v>
      </c>
      <c r="M17" s="18" t="n">
        <f aca="false">MIN('% Piped water'!M5:M20)</f>
        <v>0.55</v>
      </c>
      <c r="N17" s="18" t="n">
        <f aca="false">MIN('% Piped water'!N5:N20)</f>
        <v>0.7</v>
      </c>
      <c r="O17" s="18" t="n">
        <f aca="false">MIN('% Piped water'!O5:O20)</f>
        <v>0.78</v>
      </c>
      <c r="P17" s="18" t="n">
        <f aca="false">MIN('% Piped water'!P5:P20)</f>
        <v>0.7</v>
      </c>
      <c r="Q17" s="18" t="n">
        <f aca="false">MIN('% Piped water'!Q5:Q20)</f>
        <v>0.65</v>
      </c>
      <c r="R17" s="18" t="n">
        <f aca="false">MIN('% Piped water'!R5:R20)</f>
        <v>0.62</v>
      </c>
    </row>
    <row r="18" customFormat="false" ht="15" hidden="false" customHeight="false" outlineLevel="0" collapsed="false">
      <c r="A18" s="16" t="s">
        <v>33</v>
      </c>
      <c r="B18" s="18" t="n">
        <f aca="false">MAX('% Piped water'!B5:B20)-MIN('% Piped water'!B5:B20)</f>
        <v>0.15</v>
      </c>
      <c r="C18" s="18" t="n">
        <f aca="false">MAX('% Piped water'!C5:C20)-MIN('% Piped water'!C5:C20)</f>
        <v>0.215</v>
      </c>
      <c r="D18" s="18" t="n">
        <f aca="false">MAX('% Piped water'!D5:D20)-MIN('% Piped water'!D5:D20)</f>
        <v>0.31</v>
      </c>
      <c r="E18" s="18" t="n">
        <f aca="false">MAX('% Piped water'!E5:E20)-MIN('% Piped water'!E5:E20)</f>
        <v>0.4</v>
      </c>
      <c r="F18" s="18" t="n">
        <f aca="false">MAX('% Piped water'!F5:F20)-MIN('% Piped water'!F5:F20)</f>
        <v>0.52</v>
      </c>
      <c r="G18" s="18" t="n">
        <f aca="false">MAX('% Piped water'!G5:G20)-MIN('% Piped water'!G5:G20)</f>
        <v>0.63</v>
      </c>
      <c r="H18" s="18" t="n">
        <f aca="false">MAX('% Piped water'!H5:H20)-MIN('% Piped water'!H5:H20)</f>
        <v>0.72</v>
      </c>
      <c r="I18" s="18" t="n">
        <f aca="false">MAX('% Piped water'!I5:I20)-MIN('% Piped water'!I5:I20)</f>
        <v>0.78</v>
      </c>
      <c r="J18" s="18" t="n">
        <f aca="false">MAX('% Piped water'!J5:J20)-MIN('% Piped water'!J5:J20)</f>
        <v>0.8</v>
      </c>
      <c r="K18" s="18" t="n">
        <f aca="false">MAX('% Piped water'!K5:K20)-MIN('% Piped water'!K5:K20)</f>
        <v>0.72</v>
      </c>
      <c r="L18" s="18" t="n">
        <f aca="false">MAX('% Piped water'!L5:L20)-MIN('% Piped water'!L5:L20)</f>
        <v>0.61</v>
      </c>
      <c r="M18" s="18" t="n">
        <f aca="false">MAX('% Piped water'!M5:M20)-MIN('% Piped water'!M5:M20)</f>
        <v>0.44</v>
      </c>
      <c r="N18" s="18" t="n">
        <f aca="false">MAX('% Piped water'!N5:N20)-MIN('% Piped water'!N5:N20)</f>
        <v>0.29</v>
      </c>
      <c r="O18" s="18" t="n">
        <f aca="false">MAX('% Piped water'!O5:O20)-MIN('% Piped water'!O5:O20)</f>
        <v>0.21</v>
      </c>
      <c r="P18" s="18" t="n">
        <f aca="false">MAX('% Piped water'!P5:P20)-MIN('% Piped water'!P5:P20)</f>
        <v>0.29</v>
      </c>
      <c r="Q18" s="18" t="n">
        <f aca="false">MAX('% Piped water'!Q5:Q20)-MIN('% Piped water'!Q5:Q20)</f>
        <v>0.34</v>
      </c>
      <c r="R18" s="18" t="n">
        <f aca="false">MAX('% Piped water'!R5:R20)-MIN('% Piped water'!R5:R20)</f>
        <v>0.374</v>
      </c>
    </row>
    <row r="20" customFormat="false" ht="15" hidden="false" customHeight="false" outlineLevel="0" collapsed="false">
      <c r="A20" s="5" t="s">
        <v>36</v>
      </c>
    </row>
    <row r="21" customFormat="false" ht="15" hidden="false" customHeight="false" outlineLevel="0" collapsed="false">
      <c r="A21" s="16" t="s">
        <v>31</v>
      </c>
      <c r="B21" s="18" t="n">
        <f aca="false">MAX('% Drainage'!B5:B20)</f>
        <v>0.08</v>
      </c>
      <c r="C21" s="18" t="n">
        <f aca="false">MAX('% Drainage'!C5:C20)</f>
        <v>0.12</v>
      </c>
      <c r="D21" s="18" t="n">
        <f aca="false">MAX('% Drainage'!D5:D20)</f>
        <v>0.18</v>
      </c>
      <c r="E21" s="18" t="n">
        <f aca="false">MAX('% Drainage'!E5:E20)</f>
        <v>0.25</v>
      </c>
      <c r="F21" s="18" t="n">
        <f aca="false">MAX('% Drainage'!F5:F20)</f>
        <v>0.35</v>
      </c>
      <c r="G21" s="18" t="n">
        <f aca="false">MAX('% Drainage'!G5:G20)</f>
        <v>0.5</v>
      </c>
      <c r="H21" s="18" t="n">
        <f aca="false">MAX('% Drainage'!H5:H20)</f>
        <v>0.68</v>
      </c>
      <c r="I21" s="18" t="n">
        <f aca="false">MAX('% Drainage'!I5:I20)</f>
        <v>0.82</v>
      </c>
      <c r="J21" s="18" t="n">
        <f aca="false">MAX('% Drainage'!J5:J20)</f>
        <v>0.92</v>
      </c>
      <c r="K21" s="18" t="n">
        <f aca="false">MAX('% Drainage'!K5:K20)</f>
        <v>0.96</v>
      </c>
      <c r="L21" s="18" t="n">
        <f aca="false">MAX('% Drainage'!L5:L20)</f>
        <v>0.99</v>
      </c>
      <c r="M21" s="18" t="n">
        <f aca="false">MAX('% Drainage'!M5:M20)</f>
        <v>0.995</v>
      </c>
      <c r="N21" s="18" t="n">
        <f aca="false">MAX('% Drainage'!N5:N20)</f>
        <v>0.998</v>
      </c>
      <c r="O21" s="18" t="n">
        <f aca="false">MAX('% Drainage'!O5:O20)</f>
        <v>0.999</v>
      </c>
      <c r="P21" s="18" t="n">
        <f aca="false">MAX('% Drainage'!P5:P20)</f>
        <v>0.999</v>
      </c>
      <c r="Q21" s="18" t="n">
        <f aca="false">MAX('% Drainage'!Q5:Q20)</f>
        <v>0.999</v>
      </c>
      <c r="R21" s="18" t="n">
        <f aca="false">MAX('% Drainage'!R5:R20)</f>
        <v>0.999</v>
      </c>
    </row>
    <row r="22" customFormat="false" ht="15" hidden="false" customHeight="false" outlineLevel="0" collapsed="false">
      <c r="A22" s="16" t="s">
        <v>32</v>
      </c>
      <c r="B22" s="18" t="n">
        <f aca="false">MIN('% Drainage'!B5:B20)</f>
        <v>0</v>
      </c>
      <c r="C22" s="18" t="n">
        <f aca="false">MIN('% Drainage'!C5:C20)</f>
        <v>0</v>
      </c>
      <c r="D22" s="18" t="n">
        <f aca="false">MIN('% Drainage'!D5:D20)</f>
        <v>0.005</v>
      </c>
      <c r="E22" s="18" t="n">
        <f aca="false">MIN('% Drainage'!E5:E20)</f>
        <v>0.01</v>
      </c>
      <c r="F22" s="18" t="n">
        <f aca="false">MIN('% Drainage'!F5:F20)</f>
        <v>0.01</v>
      </c>
      <c r="G22" s="18" t="n">
        <f aca="false">MIN('% Drainage'!G5:G20)</f>
        <v>0.02</v>
      </c>
      <c r="H22" s="18" t="n">
        <f aca="false">MIN('% Drainage'!H5:H20)</f>
        <v>0.03</v>
      </c>
      <c r="I22" s="18" t="n">
        <f aca="false">MIN('% Drainage'!I5:I20)</f>
        <v>0.05</v>
      </c>
      <c r="J22" s="18" t="n">
        <f aca="false">MIN('% Drainage'!J5:J20)</f>
        <v>0.08</v>
      </c>
      <c r="K22" s="18" t="n">
        <f aca="false">MIN('% Drainage'!K5:K20)</f>
        <v>0.18</v>
      </c>
      <c r="L22" s="18" t="n">
        <f aca="false">MIN('% Drainage'!L5:L20)</f>
        <v>0.3</v>
      </c>
      <c r="M22" s="18" t="n">
        <f aca="false">MIN('% Drainage'!M5:M20)</f>
        <v>0.5</v>
      </c>
      <c r="N22" s="18" t="n">
        <f aca="false">MIN('% Drainage'!N5:N20)</f>
        <v>0.72</v>
      </c>
      <c r="O22" s="18" t="n">
        <f aca="false">MIN('% Drainage'!O5:O20)</f>
        <v>0.87</v>
      </c>
      <c r="P22" s="18" t="n">
        <f aca="false">MIN('% Drainage'!P5:P20)</f>
        <v>0.93</v>
      </c>
      <c r="Q22" s="18" t="n">
        <f aca="false">MIN('% Drainage'!Q5:Q20)</f>
        <v>0.965</v>
      </c>
      <c r="R22" s="18" t="n">
        <f aca="false">MIN('% Drainage'!R5:R20)</f>
        <v>0.985</v>
      </c>
    </row>
    <row r="23" customFormat="false" ht="15" hidden="false" customHeight="false" outlineLevel="0" collapsed="false">
      <c r="A23" s="16" t="s">
        <v>33</v>
      </c>
      <c r="B23" s="18" t="n">
        <f aca="false">MAX('% Drainage'!B5:B20)-MIN('% Drainage'!B5:B20)</f>
        <v>0.08</v>
      </c>
      <c r="C23" s="18" t="n">
        <f aca="false">MAX('% Drainage'!C5:C20)-MIN('% Drainage'!C5:C20)</f>
        <v>0.12</v>
      </c>
      <c r="D23" s="18" t="n">
        <f aca="false">MAX('% Drainage'!D5:D20)-MIN('% Drainage'!D5:D20)</f>
        <v>0.175</v>
      </c>
      <c r="E23" s="18" t="n">
        <f aca="false">MAX('% Drainage'!E5:E20)-MIN('% Drainage'!E5:E20)</f>
        <v>0.24</v>
      </c>
      <c r="F23" s="18" t="n">
        <f aca="false">MAX('% Drainage'!F5:F20)-MIN('% Drainage'!F5:F20)</f>
        <v>0.34</v>
      </c>
      <c r="G23" s="18" t="n">
        <f aca="false">MAX('% Drainage'!G5:G20)-MIN('% Drainage'!G5:G20)</f>
        <v>0.48</v>
      </c>
      <c r="H23" s="18" t="n">
        <f aca="false">MAX('% Drainage'!H5:H20)-MIN('% Drainage'!H5:H20)</f>
        <v>0.65</v>
      </c>
      <c r="I23" s="18" t="n">
        <f aca="false">MAX('% Drainage'!I5:I20)-MIN('% Drainage'!I5:I20)</f>
        <v>0.77</v>
      </c>
      <c r="J23" s="18" t="n">
        <f aca="false">MAX('% Drainage'!J5:J20)-MIN('% Drainage'!J5:J20)</f>
        <v>0.84</v>
      </c>
      <c r="K23" s="18" t="n">
        <f aca="false">MAX('% Drainage'!K5:K20)-MIN('% Drainage'!K5:K20)</f>
        <v>0.78</v>
      </c>
      <c r="L23" s="18" t="n">
        <f aca="false">MAX('% Drainage'!L5:L20)-MIN('% Drainage'!L5:L20)</f>
        <v>0.69</v>
      </c>
      <c r="M23" s="18" t="n">
        <f aca="false">MAX('% Drainage'!M5:M20)-MIN('% Drainage'!M5:M20)</f>
        <v>0.495</v>
      </c>
      <c r="N23" s="18" t="n">
        <f aca="false">MAX('% Drainage'!N5:N20)-MIN('% Drainage'!N5:N20)</f>
        <v>0.278</v>
      </c>
      <c r="O23" s="18" t="n">
        <f aca="false">MAX('% Drainage'!O5:O20)-MIN('% Drainage'!O5:O20)</f>
        <v>0.129</v>
      </c>
      <c r="P23" s="18" t="n">
        <f aca="false">MAX('% Drainage'!P5:P20)-MIN('% Drainage'!P5:P20)</f>
        <v>0.0690000000000001</v>
      </c>
      <c r="Q23" s="18" t="n">
        <f aca="false">MAX('% Drainage'!Q5:Q20)-MIN('% Drainage'!Q5:Q20)</f>
        <v>0.0340000000000001</v>
      </c>
      <c r="R23" s="18" t="n">
        <f aca="false">MAX('% Drainage'!R5:R20)-MIN('% Drainage'!R5:R20)</f>
        <v>0.0140000000000001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" hidden="false" customHeight="true" outlineLevel="0" collapsed="false">
      <c r="A1" s="19" t="s">
        <v>37</v>
      </c>
    </row>
    <row r="2" customFormat="false" ht="31.5" hidden="false" customHeight="true" outlineLevel="0" collapsed="false">
      <c r="A2" s="20" t="s">
        <v>38</v>
      </c>
    </row>
    <row r="3" customFormat="false" ht="18" hidden="false" customHeight="true" outlineLevel="0" collapsed="false"/>
    <row r="4" customFormat="false" ht="18" hidden="false" customHeight="true" outlineLevel="0" collapsed="false">
      <c r="A4" s="21" t="s">
        <v>39</v>
      </c>
    </row>
    <row r="5" customFormat="false" ht="31.5" hidden="false" customHeight="true" outlineLevel="0" collapsed="false">
      <c r="A5" s="20" t="s">
        <v>40</v>
      </c>
    </row>
    <row r="6" customFormat="false" ht="31.5" hidden="false" customHeight="true" outlineLevel="0" collapsed="false">
      <c r="A6" s="20" t="s">
        <v>41</v>
      </c>
    </row>
    <row r="7" customFormat="false" ht="31.5" hidden="false" customHeight="true" outlineLevel="0" collapsed="false">
      <c r="A7" s="20" t="s">
        <v>42</v>
      </c>
    </row>
    <row r="8" customFormat="false" ht="31.5" hidden="false" customHeight="true" outlineLevel="0" collapsed="false">
      <c r="A8" s="20" t="s">
        <v>43</v>
      </c>
    </row>
    <row r="9" customFormat="false" ht="31.5" hidden="false" customHeight="true" outlineLevel="0" collapsed="false">
      <c r="A9" s="20" t="s">
        <v>44</v>
      </c>
    </row>
    <row r="10" customFormat="false" ht="18" hidden="false" customHeight="true" outlineLevel="0" collapsed="false"/>
    <row r="11" customFormat="false" ht="18" hidden="false" customHeight="true" outlineLevel="0" collapsed="false">
      <c r="A11" s="21" t="s">
        <v>45</v>
      </c>
    </row>
    <row r="12" customFormat="false" ht="31.5" hidden="false" customHeight="true" outlineLevel="0" collapsed="false">
      <c r="A12" s="20" t="s">
        <v>46</v>
      </c>
    </row>
    <row r="13" customFormat="false" ht="31.5" hidden="false" customHeight="true" outlineLevel="0" collapsed="false">
      <c r="A13" s="20" t="s">
        <v>47</v>
      </c>
    </row>
    <row r="14" customFormat="false" ht="31.5" hidden="false" customHeight="true" outlineLevel="0" collapsed="false">
      <c r="A14" s="20" t="s">
        <v>48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21" t="s">
        <v>49</v>
      </c>
    </row>
    <row r="17" customFormat="false" ht="31.5" hidden="false" customHeight="true" outlineLevel="0" collapsed="false">
      <c r="A17" s="20" t="s">
        <v>50</v>
      </c>
    </row>
    <row r="18" customFormat="false" ht="18" hidden="false" customHeight="true" outlineLevel="0" collapsed="false">
      <c r="A18" s="20" t="s">
        <v>51</v>
      </c>
    </row>
    <row r="19" customFormat="false" ht="18" hidden="false" customHeight="true" outlineLevel="0" collapsed="false">
      <c r="A19" s="20" t="s">
        <v>52</v>
      </c>
    </row>
    <row r="20" customFormat="false" ht="18" hidden="false" customHeight="true" outlineLevel="0" collapsed="false">
      <c r="A20" s="20" t="s">
        <v>53</v>
      </c>
    </row>
    <row r="21" customFormat="false" ht="18" hidden="false" customHeight="true" outlineLevel="0" collapsed="false">
      <c r="A21" s="20" t="s">
        <v>54</v>
      </c>
    </row>
    <row r="22" customFormat="false" ht="18" hidden="false" customHeight="true" outlineLevel="0" collapsed="false">
      <c r="A22" s="20" t="s">
        <v>55</v>
      </c>
    </row>
    <row r="23" customFormat="false" ht="18" hidden="false" customHeight="true" outlineLevel="0" collapsed="false"/>
    <row r="24" customFormat="false" ht="18" hidden="false" customHeight="true" outlineLevel="0" collapsed="false">
      <c r="A24" s="21" t="s">
        <v>56</v>
      </c>
    </row>
    <row r="25" customFormat="false" ht="31.5" hidden="false" customHeight="true" outlineLevel="0" collapsed="false">
      <c r="A25" s="20" t="s">
        <v>57</v>
      </c>
    </row>
    <row r="26" customFormat="false" ht="31.5" hidden="false" customHeight="true" outlineLevel="0" collapsed="false">
      <c r="A26" s="20" t="s">
        <v>58</v>
      </c>
    </row>
    <row r="27" customFormat="false" ht="18" hidden="false" customHeight="true" outlineLevel="0" collapsed="false"/>
    <row r="28" customFormat="false" ht="18" hidden="false" customHeight="true" outlineLevel="0" collapsed="false">
      <c r="A28" s="21" t="s">
        <v>59</v>
      </c>
    </row>
    <row r="29" customFormat="false" ht="31.5" hidden="false" customHeight="true" outlineLevel="0" collapsed="false">
      <c r="A29" s="20" t="s">
        <v>60</v>
      </c>
    </row>
    <row r="30" customFormat="false" ht="31.5" hidden="false" customHeight="true" outlineLevel="0" collapsed="false">
      <c r="A30" s="20" t="s">
        <v>61</v>
      </c>
    </row>
    <row r="31" customFormat="false" ht="31.5" hidden="false" customHeight="true" outlineLevel="0" collapsed="false">
      <c r="A31" s="20" t="s">
        <v>62</v>
      </c>
    </row>
    <row r="32" customFormat="false" ht="31.5" hidden="false" customHeight="true" outlineLevel="0" collapsed="false">
      <c r="A32" s="20" t="s">
        <v>63</v>
      </c>
    </row>
    <row r="33" customFormat="false" ht="18" hidden="false" customHeight="true" outlineLevel="0" collapsed="false"/>
    <row r="34" customFormat="false" ht="18" hidden="false" customHeight="true" outlineLevel="0" collapsed="false">
      <c r="A34" s="21" t="s">
        <v>64</v>
      </c>
    </row>
    <row r="35" customFormat="false" ht="31.5" hidden="false" customHeight="true" outlineLevel="0" collapsed="false">
      <c r="A35" s="20" t="s">
        <v>65</v>
      </c>
    </row>
    <row r="36" customFormat="false" ht="31.5" hidden="false" customHeight="true" outlineLevel="0" collapsed="false">
      <c r="A36" s="20" t="s">
        <v>66</v>
      </c>
    </row>
    <row r="37" customFormat="false" ht="31.5" hidden="false" customHeight="true" outlineLevel="0" collapsed="false">
      <c r="A37" s="20" t="s">
        <v>67</v>
      </c>
    </row>
    <row r="38" customFormat="false" ht="31.5" hidden="false" customHeight="true" outlineLevel="0" collapsed="false">
      <c r="A38" s="20" t="s">
        <v>68</v>
      </c>
    </row>
    <row r="39" customFormat="false" ht="18" hidden="false" customHeight="true" outlineLevel="0" collapsed="false"/>
    <row r="40" customFormat="false" ht="18" hidden="false" customHeight="true" outlineLevel="0" collapsed="false">
      <c r="A40" s="21" t="s">
        <v>69</v>
      </c>
    </row>
    <row r="41" customFormat="false" ht="18" hidden="false" customHeight="true" outlineLevel="0" collapsed="false">
      <c r="A41" s="20" t="s">
        <v>70</v>
      </c>
    </row>
    <row r="42" customFormat="false" ht="31.5" hidden="false" customHeight="true" outlineLevel="0" collapsed="false">
      <c r="A42" s="20" t="s">
        <v>71</v>
      </c>
    </row>
    <row r="43" customFormat="false" ht="31.5" hidden="false" customHeight="true" outlineLevel="0" collapsed="false">
      <c r="A43" s="2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2026-05-25T20:39:46Z</dcterms:created>
  <dc:creator>openpyxl</dc:creator>
  <dc:description/>
  <dc:language>en-US</dc:language>
  <cp:lastModifiedBy/>
  <dcterms:modified xsi:type="dcterms:W3CDTF">2026-05-25T20:39:46Z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