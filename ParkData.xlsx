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530be123d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a897ce23ab44bb8"/>
    <x:sheet xmlns:r="http://schemas.openxmlformats.org/officeDocument/2006/relationships" name="Park Catalog" sheetId="2" r:id="Rd841f1c700244d99"/>
    <x:sheet xmlns:r="http://schemas.openxmlformats.org/officeDocument/2006/relationships" name="Decade Metric" sheetId="3" r:id="R0ed154963bd943ce"/>
    <x:sheet xmlns:r="http://schemas.openxmlformats.org/officeDocument/2006/relationships" name="Wide Metric" sheetId="4" r:id="R553b6247cdcc45d1"/>
    <x:sheet xmlns:r="http://schemas.openxmlformats.org/officeDocument/2006/relationships" name="Population" sheetId="5" r:id="R93cba74a3b2e40c2"/>
    <x:sheet xmlns:r="http://schemas.openxmlformats.org/officeDocument/2006/relationships" name="Current SEDEMA Totals" sheetId="6" r:id="R957dde3bd0a448b3"/>
    <x:sheet xmlns:r="http://schemas.openxmlformats.org/officeDocument/2006/relationships" name="Sources" sheetId="7" r:id="R770a9bd924c5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0"/>
    <x:numFmt numFmtId="202" formatCode="#,##0"/>
    <x:numFmt numFmtId="203" formatCode="0.00"/>
    <x:numFmt numFmtId="204" formatCode="#,##0.00"/>
    <x:numFmt numFmtId="205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34E4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EF3C7"/>
        </x:patternFill>
      </x:fill>
    </x:dxf>
    <x:dxf>
      <x:font>
        <x:color rgb="6B7280"/>
      </x:font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ff43c6e194469" /><Relationship Type="http://schemas.openxmlformats.org/officeDocument/2006/relationships/theme" Target="/xl/theme/theme1.xml" Id="Rd050b3e029734923" /><Relationship Type="http://schemas.microsoft.com/office/2022/11/relationships/FeaturePropertyBag" Target="/xl/featurePropertyBag/featurePropertyBag.xml" Id="Rbf3824156ee24a25" /><Relationship Type="http://schemas.openxmlformats.org/officeDocument/2006/relationships/sharedStrings" Target="/xl/sharedStrings.xml" Id="Rca5b88751bc74cfb" /><Relationship Type="http://schemas.openxmlformats.org/officeDocument/2006/relationships/worksheet" Target="/xl/worksheets/sheet1.xml" Id="Rda897ce23ab44bb8" /><Relationship Type="http://schemas.openxmlformats.org/officeDocument/2006/relationships/worksheet" Target="/xl/worksheets/sheet2.xml" Id="Rd841f1c700244d99" /><Relationship Type="http://schemas.openxmlformats.org/officeDocument/2006/relationships/worksheet" Target="/xl/worksheets/sheet3.xml" Id="R0ed154963bd943ce" /><Relationship Type="http://schemas.openxmlformats.org/officeDocument/2006/relationships/worksheet" Target="/xl/worksheets/sheet4.xml" Id="R553b6247cdcc45d1" /><Relationship Type="http://schemas.openxmlformats.org/officeDocument/2006/relationships/worksheet" Target="/xl/worksheets/sheet5.xml" Id="R93cba74a3b2e40c2" /><Relationship Type="http://schemas.openxmlformats.org/officeDocument/2006/relationships/worksheet" Target="/xl/worksheets/sheet6.xml" Id="R957dde3bd0a448b3" /><Relationship Type="http://schemas.openxmlformats.org/officeDocument/2006/relationships/worksheet" Target="/xl/worksheets/sheet7.xml" Id="R770a9bd924c54a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5bb61c358441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m² per capita from dated major green spaces by alcaldía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Álvaro Obregón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Metric'!$B$2:$B$18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Azcapotzalco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Metric'!$C$2:$C$18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Benito Juárez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Metric'!$D$2:$D$18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Coyoacán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Metric'!$E$2:$E$18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Cuajimalpa de Morelos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Metric'!$F$2:$F$18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Cuauhtémoc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Metric'!$G$2:$G$18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Gustavo A. Madero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Metric'!$H$2:$H$18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Iztacalco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Metric'!$I$2:$I$18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8"/>
          <c:order val="8"/>
          <c:tx>
            <c:v>Iztapalapa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Metric'!$J$2:$J$18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9"/>
          <c:order val="9"/>
          <c:tx>
            <c:v>La Magdalena Contreras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Metric'!$K$2:$K$18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Miguel Hidalgo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Metric'!$L$2:$L$18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Milpa Alta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Metric'!$M$2:$M$18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Tláhuac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Metric'!$N$2:$N$18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Tlalpan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Metric'!$O$2:$O$18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4"/>
          <c:order val="14"/>
          <c:tx>
            <c:v>Venustiano Carranza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Metric'!$P$2:$P$18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5"/>
          <c:order val="15"/>
          <c:tx>
            <c:v>Xochimilco</c:v>
          </c:tx>
          <c:cat>
            <c:strRef>
              <c:f>'Wide Metric'!$A$2:$A$18</c:f>
              <c:strCache>
                <c:ptCount val="0"/>
              </c:strCache>
            </c:strRef>
          </c:cat>
          <c:val>
            <c:numRef>
              <c:f>'Wide Metric'!$Q$2:$Q$18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5bb61c3584417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kCatalogTable" displayName="ParkCatalogTable" ref="A1:K81" headerRowCount="1">
  <x:tableColumns count="11">
    <x:tableColumn id="1" name="Alcaldía"/>
    <x:tableColumn id="2" name="Green space / park"/>
    <x:tableColumn id="3" name="Type"/>
    <x:tableColumn id="4" name="Size (ha)"/>
    <x:tableColumn id="5" name="Size (m²)"/>
    <x:tableColumn id="6" name="Inauguration / decree year"/>
    <x:tableColumn id="7" name="Opening decade"/>
    <x:tableColumn id="8" name="Include in historical metric?"/>
    <x:tableColumn id="9" name="Confidence"/>
    <x:tableColumn id="10" name="Source URL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cadeMetricTable" displayName="DecadeMetricTable" ref="A1:I273" headerRowCount="1">
  <x:tableColumns count="9">
    <x:tableColumn id="1" name="Decade"/>
    <x:tableColumn id="2" name="Alcaldía"/>
    <x:tableColumn id="3" name="Population in decade"/>
    <x:tableColumn id="4" name="Cumulative dated major green m² (capped at SEDEMA current total)"/>
    <x:tableColumn id="5" name="m² per capita - dated major green spaces"/>
    <x:tableColumn id="6" name="SEDEMA current green total m²"/>
    <x:tableColumn id="7" name="Current SEDEMA total / decade population"/>
    <x:tableColumn id="8" name="Dated major m² as % of current SEDEMA total"/>
    <x:tableColumn id="9" name="Formula / 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CurrentSEDEMATable" displayName="CurrentSEDEMATable" ref="A1:F17" headerRowCount="1">
  <x:tableColumns count="6">
    <x:tableColumn id="1" name="Alcaldía"/>
    <x:tableColumn id="2" name="Population 2015 (from SEDEMA table)"/>
    <x:tableColumn id="3" name="Current green-space total m² (SEDEMA/IPDP)"/>
    <x:tableColumn id="4" name="m² per inhabitant in SEDEMA table"/>
    <x:tableColumn id="5" name="Source URL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14" headerRowCount="1">
  <x:tableColumns count="3">
    <x:tableColumn id="1" name="Source"/>
    <x:tableColumn id="2" name="URL"/>
    <x:tableColumn id="3" name="What it suppor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1a9cefefb145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e76dfeebd443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7aefa15e1da42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d150750c59d4a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c9fcecd82d4c4647" /></Relationships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CDMX green-space access by current alcaldía — park catalog + decade metric</x:v>
      </x:c>
    </x:row>
    <x:row r="2">
      <x:c r="A2" s="17" t="str"/>
    </x:row>
    <x:row r="3">
      <x:c r="A3" s="17" t="str">
        <x:v>What this workbook does</x:v>
      </x:c>
    </x:row>
    <x:row r="4">
      <x:c r="A4" s="17" t="str">
        <x:v>1) Park Catalog: best-effort list of the largest documented parks / green spaces by current alcaldía, with size and inauguration/decree year where available.</x:v>
      </x:c>
    </x:row>
    <x:row r="5">
      <x:c r="A5" s="17" t="str">
        <x:v>2) Decade Metric: computes m² per capita by decade using cumulative, dated major green spaces divided by the historical population file you provided.</x:v>
      </x:c>
    </x:row>
    <x:row r="6">
      <x:c r="A6" s="17" t="str">
        <x:v>3) Current SEDEMA Totals: official current borough-level green-space totals used as a benchmark/cap.</x:v>
      </x:c>
    </x:row>
    <x:row r="7">
      <x:c r="A7" s="17" t="str"/>
    </x:row>
    <x:row r="8">
      <x:c r="A8" s="17" t="str">
        <x:v>Important limitation</x:v>
      </x:c>
    </x:row>
    <x:row r="9">
      <x:c r="A9" s="17" t="str">
        <x:v>The official CDMX inventory has current green-space areas, but not historical inauguration years for every polygon. Therefore, the historical decade metric is a reconstruction from datable major parks, capped by the current SEDEMA total. Rows with uncertain dates/sizes are kept in the catalog but excluded from the historical metric.</x:v>
      </x:c>
    </x:row>
    <x:row r="10">
      <x:c r="A10" s="17" t="str"/>
    </x:row>
    <x:row r="11">
      <x:c r="A11" s="17" t="str">
        <x:v>Recommended final metric</x:v>
      </x:c>
    </x:row>
    <x:row r="12">
      <x:c r="A12" s="17" t="str">
        <x:v>Use 'm² per capita - dated major green spaces' for the historical/narrative metric, and use 'Current SEDEMA total / decade population' as a sensitivity/reference series.</x:v>
      </x:c>
    </x:row>
    <x:row r="13">
      <x:c r="A13" s="17" t="str"/>
    </x:row>
    <x:row r="14">
      <x:c r="A14" s="17" t="str">
        <x:v>Generated: 2026-05-25 20:07</x:v>
      </x:c>
    </x:row>
    <x:row r="15">
      <x:c r="A15" s="17"/>
    </x:row>
    <x:row r="16">
      <x:c r="A16" s="17"/>
    </x:row>
    <x:row r="17">
      <x:c r="A17" s="17"/>
    </x:row>
    <x:row r="18">
      <x:c r="A18" s="17"/>
    </x:row>
    <x:row r="19">
      <x:c r="A19" s="17"/>
    </x:row>
    <x:row r="20">
      <x:c r="A2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10" hidden="0" customWidth="1"/>
    <x:col min="5" max="5" width="14" hidden="0" customWidth="1"/>
    <x:col min="6" max="6" width="14" hidden="0" customWidth="1"/>
    <x:col min="7" max="7" width="11" hidden="0" customWidth="1"/>
    <x:col min="8" max="8" width="16" hidden="0" customWidth="1"/>
    <x:col min="9" max="9" width="12" hidden="0" customWidth="1"/>
    <x:col min="10" max="10" width="44" hidden="0" customWidth="1"/>
    <x:col min="11" max="11" width="50" hidden="0" customWidth="1"/>
  </x:cols>
  <x:sheetData>
    <x:row r="1">
      <x:c r="A1" s="38" t="str">
        <x:v>Alcaldía</x:v>
      </x:c>
      <x:c r="B1" s="38" t="str">
        <x:v>Green space / park</x:v>
      </x:c>
      <x:c r="C1" s="38" t="str">
        <x:v>Type</x:v>
      </x:c>
      <x:c r="D1" s="38" t="str">
        <x:v>Size (ha)</x:v>
      </x:c>
      <x:c r="E1" s="38" t="str">
        <x:v>Size (m²)</x:v>
      </x:c>
      <x:c r="F1" s="38" t="str">
        <x:v>Inauguration / decree year</x:v>
      </x:c>
      <x:c r="G1" s="38" t="str">
        <x:v>Opening decade</x:v>
      </x:c>
      <x:c r="H1" s="38" t="str">
        <x:v>Include in historical metric?</x:v>
      </x:c>
      <x:c r="I1" s="38" t="str">
        <x:v>Confidence</x:v>
      </x:c>
      <x:c r="J1" s="38" t="str">
        <x:v>Source URL</x:v>
      </x:c>
      <x:c r="K1" s="38" t="str">
        <x:v>Notes</x:v>
      </x:c>
    </x:row>
    <x:row r="2">
      <x:c r="A2" s="39" t="str">
        <x:v>Álvaro Obregón</x:v>
      </x:c>
      <x:c r="B2" s="39" t="str">
        <x:v>Barranca de Tarango / Parque Ecológico Presa Tarango</x:v>
      </x:c>
      <x:c r="C2" s="39" t="str">
        <x:v>AVA / barranca</x:v>
      </x:c>
      <x:c r="D2" s="40" t="n">
        <x:v>270</x:v>
      </x:c>
      <x:c r="E2" s="40" t="n">
        <x:v>2700000</x:v>
      </x:c>
      <x:c r="F2" s="41" t="n">
        <x:v>2009</x:v>
      </x:c>
      <x:c r="G2" s="41" t="n">
        <x:v>2000</x:v>
      </x:c>
      <x:c r="H2" s="42" t="b">
        <x:v>1</x:v>
      </x:c>
      <x:c r="I2" s="39" t="str">
        <x:v>High</x:v>
      </x:c>
      <x:c r="J2" s="39" t="str">
        <x:v>https://ort.cua.uam.mx/wp-content/uploads/2022/04/FZI_EO001-Programa-de-Manejo-Barranca-de-Tarango.pdf</x:v>
      </x:c>
      <x:c r="K2" s="39" t="str">
        <x:v>Decree published 2009; large barranca/AVA, not a conventional urban park.</x:v>
      </x:c>
    </x:row>
    <x:row r="3">
      <x:c r="A3" s="39" t="str">
        <x:v>Álvaro Obregón</x:v>
      </x:c>
      <x:c r="B3" s="39" t="str">
        <x:v>Parque Águilas-Japón / Parque Las Águilas</x:v>
      </x:c>
      <x:c r="C3" s="39" t="str">
        <x:v>Urban park / park system</x:v>
      </x:c>
      <x:c r="D3" s="40" t="n">
        <x:v>36</x:v>
      </x:c>
      <x:c r="E3" s="40" t="n">
        <x:v>360000</x:v>
      </x:c>
      <x:c r="F3" s="41"/>
      <x:c r="G3" s="41"/>
      <x:c r="H3" s="42" t="b">
        <x:v>0</x:v>
      </x:c>
      <x:c r="I3" s="39" t="str">
        <x:v>Medium</x:v>
      </x:c>
      <x:c r="J3" s="39" t="str">
        <x:v>https://mexicocity.cdmx.gob.mx/venues/las-aguilas/</x:v>
      </x:c>
      <x:c r="K3" s="39" t="str">
        <x:v>Area from local reports; inauguration year not clearly documented.</x:v>
      </x:c>
    </x:row>
    <x:row r="4">
      <x:c r="A4" s="39" t="str">
        <x:v>Álvaro Obregón</x:v>
      </x:c>
      <x:c r="B4" s="39" t="str">
        <x:v>Parque Ecológico El Batán</x:v>
      </x:c>
      <x:c r="C4" s="39" t="str">
        <x:v>Urban ecological park</x:v>
      </x:c>
      <x:c r="D4" s="40" t="n">
        <x:v>7</x:v>
      </x:c>
      <x:c r="E4" s="40" t="n">
        <x:v>70000</x:v>
      </x:c>
      <x:c r="F4" s="41"/>
      <x:c r="G4" s="41"/>
      <x:c r="H4" s="42" t="b">
        <x:v>0</x:v>
      </x:c>
      <x:c r="I4" s="39" t="str">
        <x:v>Medium</x:v>
      </x:c>
      <x:c r="J4" s="39" t="str">
        <x:v>https://mexicocity.cdmx.gob.mx/venues/batan-park/</x:v>
      </x:c>
      <x:c r="K4" s="39" t="str">
        <x:v>Approximate area; date not clearly documented.</x:v>
      </x:c>
    </x:row>
    <x:row r="5">
      <x:c r="A5" s="39" t="str">
        <x:v>Álvaro Obregón</x:v>
      </x:c>
      <x:c r="B5" s="39" t="str">
        <x:v>Parque de la Bombilla</x:v>
      </x:c>
      <x:c r="C5" s="39" t="str">
        <x:v>Urban park</x:v>
      </x:c>
      <x:c r="D5" s="40" t="n">
        <x:v>3.5</x:v>
      </x:c>
      <x:c r="E5" s="40" t="n">
        <x:v>35000</x:v>
      </x:c>
      <x:c r="F5" s="41" t="n">
        <x:v>1935</x:v>
      </x:c>
      <x:c r="G5" s="41" t="n">
        <x:v>1930</x:v>
      </x:c>
      <x:c r="H5" s="42" t="b">
        <x:v>1</x:v>
      </x:c>
      <x:c r="I5" s="39" t="str">
        <x:v>Medium</x:v>
      </x:c>
      <x:c r="J5" s="39" t="str">
        <x:v>https://es.wikipedia.org/wiki/Parque_de_la_Bombilla</x:v>
      </x:c>
      <x:c r="K5" s="39" t="str">
        <x:v>Historic park; area approximate.</x:v>
      </x:c>
    </x:row>
    <x:row r="6">
      <x:c r="A6" s="39" t="str">
        <x:v>Álvaro Obregón</x:v>
      </x:c>
      <x:c r="B6" s="39" t="str">
        <x:v>Alameda Poniente / open green areas</x:v>
      </x:c>
      <x:c r="C6" s="39" t="str">
        <x:v>Urban green area</x:v>
      </x:c>
      <x:c r="D6" s="40" t="n">
        <x:v>12</x:v>
      </x:c>
      <x:c r="E6" s="40" t="n">
        <x:v>120000</x:v>
      </x:c>
      <x:c r="F6" s="41"/>
      <x:c r="G6" s="41"/>
      <x:c r="H6" s="42" t="b">
        <x:v>0</x:v>
      </x:c>
      <x:c r="I6" s="39" t="str">
        <x:v>Low</x:v>
      </x:c>
      <x:c r="J6" s="39" t="str">
        <x:v>https://www.aao.gob.mx/</x:v>
      </x:c>
      <x:c r="K6" s="39" t="str">
        <x:v>Needs verification in official inventory.</x:v>
      </x:c>
    </x:row>
    <x:row r="7">
      <x:c r="A7" s="39" t="str">
        <x:v>Azcapotzalco</x:v>
      </x:c>
      <x:c r="B7" s="39" t="str">
        <x:v>Parque Bicentenario</x:v>
      </x:c>
      <x:c r="C7" s="39" t="str">
        <x:v>Urban park</x:v>
      </x:c>
      <x:c r="D7" s="40" t="n">
        <x:v>55</x:v>
      </x:c>
      <x:c r="E7" s="40" t="n">
        <x:v>550000</x:v>
      </x:c>
      <x:c r="F7" s="41" t="n">
        <x:v>2010</x:v>
      </x:c>
      <x:c r="G7" s="41" t="n">
        <x:v>2010</x:v>
      </x:c>
      <x:c r="H7" s="42" t="b">
        <x:v>1</x:v>
      </x:c>
      <x:c r="I7" s="39" t="str">
        <x:v>High</x:v>
      </x:c>
      <x:c r="J7" s="39" t="str">
        <x:v>https://es.wikipedia.org/wiki/Parque_Bicentenario_(Ciudad_de_M%C3%A9xico)</x:v>
      </x:c>
      <x:c r="K7" s="39" t="str">
        <x:v>Azcapotzalco/Miguel Hidalgo boundary; adjust allocation if splitting.</x:v>
      </x:c>
    </x:row>
    <x:row r="8">
      <x:c r="A8" s="39" t="str">
        <x:v>Azcapotzalco</x:v>
      </x:c>
      <x:c r="B8" s="39" t="str">
        <x:v>Parque Tezozómoc</x:v>
      </x:c>
      <x:c r="C8" s="39" t="str">
        <x:v>Urban park</x:v>
      </x:c>
      <x:c r="D8" s="40" t="n">
        <x:v>28</x:v>
      </x:c>
      <x:c r="E8" s="40" t="n">
        <x:v>280000</x:v>
      </x:c>
      <x:c r="F8" s="41" t="n">
        <x:v>1982</x:v>
      </x:c>
      <x:c r="G8" s="41" t="n">
        <x:v>1980</x:v>
      </x:c>
      <x:c r="H8" s="42" t="b">
        <x:v>1</x:v>
      </x:c>
      <x:c r="I8" s="39" t="str">
        <x:v>High</x:v>
      </x:c>
      <x:c r="J8" s="39" t="str">
        <x:v>https://es.wikipedia.org/wiki/Parque_Tezoz%C3%B3moc</x:v>
      </x:c>
      <x:c r="K8" s="39" t="str">
        <x:v>Designed by Mario Schjetnan; opened 1982.</x:v>
      </x:c>
    </x:row>
    <x:row r="9">
      <x:c r="A9" s="39" t="str">
        <x:v>Azcapotzalco</x:v>
      </x:c>
      <x:c r="B9" s="39" t="str">
        <x:v>Alameda Norte</x:v>
      </x:c>
      <x:c r="C9" s="39" t="str">
        <x:v>Urban park</x:v>
      </x:c>
      <x:c r="D9" s="40" t="n">
        <x:v>15</x:v>
      </x:c>
      <x:c r="E9" s="40" t="n">
        <x:v>150000</x:v>
      </x:c>
      <x:c r="F9" s="41"/>
      <x:c r="G9" s="41"/>
      <x:c r="H9" s="42" t="b">
        <x:v>0</x:v>
      </x:c>
      <x:c r="I9" s="39" t="str">
        <x:v>Medium</x:v>
      </x:c>
      <x:c r="J9" s="39" t="str">
        <x:v>https://mexicocity.cdmx.gob.mx/venues/alameda-norte/</x:v>
      </x:c>
      <x:c r="K9" s="39" t="str">
        <x:v>Major north-side park; date not confirmed.</x:v>
      </x:c>
    </x:row>
    <x:row r="10">
      <x:c r="A10" s="39" t="str">
        <x:v>Azcapotzalco</x:v>
      </x:c>
      <x:c r="B10" s="39" t="str">
        <x:v>Parque Azcatl Paqui</x:v>
      </x:c>
      <x:c r="C10" s="39" t="str">
        <x:v>Urban park</x:v>
      </x:c>
      <x:c r="D10" s="40" t="n">
        <x:v>4</x:v>
      </x:c>
      <x:c r="E10" s="40" t="n">
        <x:v>40000</x:v>
      </x:c>
      <x:c r="F10" s="41"/>
      <x:c r="G10" s="41"/>
      <x:c r="H10" s="42" t="b">
        <x:v>0</x:v>
      </x:c>
      <x:c r="I10" s="39" t="str">
        <x:v>Low</x:v>
      </x:c>
      <x:c r="J10" s="39" t="str">
        <x:v>https://mexicocity.cdmx.gob.mx/venues/azcatl-paqui-park/</x:v>
      </x:c>
      <x:c r="K10" s="39" t="str">
        <x:v>Needs verification.</x:v>
      </x:c>
    </x:row>
    <x:row r="11">
      <x:c r="A11" s="39" t="str">
        <x:v>Azcapotzalco</x:v>
      </x:c>
      <x:c r="B11" s="39" t="str">
        <x:v>Parque Revolución</x:v>
      </x:c>
      <x:c r="C11" s="39" t="str">
        <x:v>Urban park</x:v>
      </x:c>
      <x:c r="D11" s="40" t="n">
        <x:v>2</x:v>
      </x:c>
      <x:c r="E11" s="40" t="n">
        <x:v>20000</x:v>
      </x:c>
      <x:c r="F11" s="41"/>
      <x:c r="G11" s="41"/>
      <x:c r="H11" s="42" t="b">
        <x:v>0</x:v>
      </x:c>
      <x:c r="I11" s="39" t="str">
        <x:v>Low</x:v>
      </x:c>
      <x:c r="J11" s="39" t="str">
        <x:v>https://mexicocity.cdmx.gob.mx/</x:v>
      </x:c>
      <x:c r="K11" s="39" t="str">
        <x:v>Needs verification.</x:v>
      </x:c>
    </x:row>
    <x:row r="12">
      <x:c r="A12" s="39" t="str">
        <x:v>Benito Juárez</x:v>
      </x:c>
      <x:c r="B12" s="39" t="str">
        <x:v>Parque Hundido / Luis G. Urbina</x:v>
      </x:c>
      <x:c r="C12" s="39" t="str">
        <x:v>Urban park</x:v>
      </x:c>
      <x:c r="D12" s="40" t="n">
        <x:v>10</x:v>
      </x:c>
      <x:c r="E12" s="40" t="n">
        <x:v>100000</x:v>
      </x:c>
      <x:c r="F12" s="41" t="n">
        <x:v>1930</x:v>
      </x:c>
      <x:c r="G12" s="41" t="n">
        <x:v>1930</x:v>
      </x:c>
      <x:c r="H12" s="42" t="b">
        <x:v>1</x:v>
      </x:c>
      <x:c r="I12" s="39" t="str">
        <x:v>Medium</x:v>
      </x:c>
      <x:c r="J12" s="39" t="str">
        <x:v>https://es.wikipedia.org/wiki/Parque_Hundido</x:v>
      </x:c>
      <x:c r="K12" s="39" t="str">
        <x:v>Developed on former brickworks; exact opening year varies.</x:v>
      </x:c>
    </x:row>
    <x:row r="13">
      <x:c r="A13" s="39" t="str">
        <x:v>Benito Juárez</x:v>
      </x:c>
      <x:c r="B13" s="39" t="str">
        <x:v>Parque de los Venados / Francisco Villa</x:v>
      </x:c>
      <x:c r="C13" s="39" t="str">
        <x:v>Urban park</x:v>
      </x:c>
      <x:c r="D13" s="40" t="n">
        <x:v>9.5</x:v>
      </x:c>
      <x:c r="E13" s="40" t="n">
        <x:v>95000</x:v>
      </x:c>
      <x:c r="F13" s="41" t="n">
        <x:v>1952</x:v>
      </x:c>
      <x:c r="G13" s="41" t="n">
        <x:v>1950</x:v>
      </x:c>
      <x:c r="H13" s="42" t="b">
        <x:v>1</x:v>
      </x:c>
      <x:c r="I13" s="39" t="str">
        <x:v>Medium</x:v>
      </x:c>
      <x:c r="J13" s="39" t="str">
        <x:v>https://es.wikipedia.org/wiki/Parque_de_los_Venados</x:v>
      </x:c>
      <x:c r="K13" s="39" t="str">
        <x:v>Approximate area; mid-20th-century public park.</x:v>
      </x:c>
    </x:row>
    <x:row r="14">
      <x:c r="A14" s="39" t="str">
        <x:v>Benito Juárez</x:v>
      </x:c>
      <x:c r="B14" s="39" t="str">
        <x:v>Parque Arboledas</x:v>
      </x:c>
      <x:c r="C14" s="39" t="str">
        <x:v>Urban park</x:v>
      </x:c>
      <x:c r="D14" s="40" t="n">
        <x:v>2.8</x:v>
      </x:c>
      <x:c r="E14" s="40" t="n">
        <x:v>28000</x:v>
      </x:c>
      <x:c r="F14" s="41"/>
      <x:c r="G14" s="41"/>
      <x:c r="H14" s="42" t="b">
        <x:v>0</x:v>
      </x:c>
      <x:c r="I14" s="39" t="str">
        <x:v>Low</x:v>
      </x:c>
      <x:c r="J14" s="39" t="str">
        <x:v>https://mexicocity.cdmx.gob.mx/venues/parque-arboledas/</x:v>
      </x:c>
      <x:c r="K14" s="39" t="str">
        <x:v>Needs verification.</x:v>
      </x:c>
    </x:row>
    <x:row r="15">
      <x:c r="A15" s="39" t="str">
        <x:v>Benito Juárez</x:v>
      </x:c>
      <x:c r="B15" s="39" t="str">
        <x:v>Parque San Lorenzo</x:v>
      </x:c>
      <x:c r="C15" s="39" t="str">
        <x:v>Urban park</x:v>
      </x:c>
      <x:c r="D15" s="40" t="n">
        <x:v>2</x:v>
      </x:c>
      <x:c r="E15" s="40" t="n">
        <x:v>20000</x:v>
      </x:c>
      <x:c r="F15" s="41"/>
      <x:c r="G15" s="41"/>
      <x:c r="H15" s="42" t="b">
        <x:v>0</x:v>
      </x:c>
      <x:c r="I15" s="39" t="str">
        <x:v>Low</x:v>
      </x:c>
      <x:c r="J15" s="39" t="str">
        <x:v>https://mexicocity.cdmx.gob.mx/venues/san-lorenzo-park/</x:v>
      </x:c>
      <x:c r="K15" s="39" t="str">
        <x:v>Needs verification.</x:v>
      </x:c>
    </x:row>
    <x:row r="16">
      <x:c r="A16" s="39" t="str">
        <x:v>Benito Juárez</x:v>
      </x:c>
      <x:c r="B16" s="39" t="str">
        <x:v>Parque Acacias / neighborhood green areas</x:v>
      </x:c>
      <x:c r="C16" s="39" t="str">
        <x:v>Neighborhood park</x:v>
      </x:c>
      <x:c r="D16" s="40" t="n">
        <x:v>1.5</x:v>
      </x:c>
      <x:c r="E16" s="40" t="n">
        <x:v>15000</x:v>
      </x:c>
      <x:c r="F16" s="41"/>
      <x:c r="G16" s="41"/>
      <x:c r="H16" s="42" t="b">
        <x:v>0</x:v>
      </x:c>
      <x:c r="I16" s="39" t="str">
        <x:v>Low</x:v>
      </x:c>
      <x:c r="J16" s="39" t="str">
        <x:v>https://mexicocity.cdmx.gob.mx/</x:v>
      </x:c>
      <x:c r="K16" s="39" t="str">
        <x:v>Needs verification.</x:v>
      </x:c>
    </x:row>
    <x:row r="17">
      <x:c r="A17" s="39" t="str">
        <x:v>Coyoacán</x:v>
      </x:c>
      <x:c r="B17" s="39" t="str">
        <x:v>Viveros de Coyoacán</x:v>
      </x:c>
      <x:c r="C17" s="39" t="str">
        <x:v>National park / urban tree nursery</x:v>
      </x:c>
      <x:c r="D17" s="40" t="n">
        <x:v>39</x:v>
      </x:c>
      <x:c r="E17" s="40" t="n">
        <x:v>390000</x:v>
      </x:c>
      <x:c r="F17" s="41" t="n">
        <x:v>1907</x:v>
      </x:c>
      <x:c r="G17" s="41" t="n">
        <x:v>1900</x:v>
      </x:c>
      <x:c r="H17" s="42" t="b">
        <x:v>1</x:v>
      </x:c>
      <x:c r="I17" s="39" t="str">
        <x:v>High</x:v>
      </x:c>
      <x:c r="J17" s="39" t="str">
        <x:v>https://www.gob.mx/semarnat/articulos/viveros-de-coyoacan-un-remanso-en-la-urbe</x:v>
      </x:c>
      <x:c r="K17" s="39" t="str">
        <x:v>Founded as nursery in 1907; national park decree in 1938.</x:v>
      </x:c>
    </x:row>
    <x:row r="18">
      <x:c r="A18" s="39" t="str">
        <x:v>Coyoacán</x:v>
      </x:c>
      <x:c r="B18" s="39" t="str">
        <x:v>Parque Ecológico Huayamilpas</x:v>
      </x:c>
      <x:c r="C18" s="39" t="str">
        <x:v>Urban ecological park</x:v>
      </x:c>
      <x:c r="D18" s="40" t="n">
        <x:v>20</x:v>
      </x:c>
      <x:c r="E18" s="40" t="n">
        <x:v>200000</x:v>
      </x:c>
      <x:c r="F18" s="41" t="n">
        <x:v>1995</x:v>
      </x:c>
      <x:c r="G18" s="41" t="n">
        <x:v>1990</x:v>
      </x:c>
      <x:c r="H18" s="42" t="b">
        <x:v>1</x:v>
      </x:c>
      <x:c r="I18" s="39" t="str">
        <x:v>Medium</x:v>
      </x:c>
      <x:c r="J18" s="39" t="str">
        <x:v>https://mexicocity.cdmx.gob.mx/venues/huayamilpas-ecological-park/</x:v>
      </x:c>
      <x:c r="K18" s="39" t="str">
        <x:v>Approximate area/date; verify with local source.</x:v>
      </x:c>
    </x:row>
    <x:row r="19">
      <x:c r="A19" s="39" t="str">
        <x:v>Coyoacán</x:v>
      </x:c>
      <x:c r="B19" s="39" t="str">
        <x:v>Parque Masayoshi Ohira</x:v>
      </x:c>
      <x:c r="C19" s="39" t="str">
        <x:v>Urban park</x:v>
      </x:c>
      <x:c r="D19" s="40" t="n">
        <x:v>1.4</x:v>
      </x:c>
      <x:c r="E19" s="40" t="n">
        <x:v>14000</x:v>
      </x:c>
      <x:c r="F19" s="41" t="n">
        <x:v>1942</x:v>
      </x:c>
      <x:c r="G19" s="41" t="n">
        <x:v>1940</x:v>
      </x:c>
      <x:c r="H19" s="42" t="b">
        <x:v>1</x:v>
      </x:c>
      <x:c r="I19" s="39" t="str">
        <x:v>Medium</x:v>
      </x:c>
      <x:c r="J19" s="39" t="str">
        <x:v>https://es.wikipedia.org/wiki/Parque_Masayoshi_%C5%8Chira</x:v>
      </x:c>
      <x:c r="K19" s="39" t="str">
        <x:v>Former Parque de la Pagoda; renovated later.</x:v>
      </x:c>
    </x:row>
    <x:row r="20">
      <x:c r="A20" s="39" t="str">
        <x:v>Coyoacán</x:v>
      </x:c>
      <x:c r="B20" s="39" t="str">
        <x:v>Parque Frida Kahlo</x:v>
      </x:c>
      <x:c r="C20" s="39" t="str">
        <x:v>Urban park</x:v>
      </x:c>
      <x:c r="D20" s="40" t="n">
        <x:v>0.8</x:v>
      </x:c>
      <x:c r="E20" s="40" t="n">
        <x:v>8000</x:v>
      </x:c>
      <x:c r="F20" s="41" t="n">
        <x:v>1985</x:v>
      </x:c>
      <x:c r="G20" s="41" t="n">
        <x:v>1980</x:v>
      </x:c>
      <x:c r="H20" s="42" t="b">
        <x:v>1</x:v>
      </x:c>
      <x:c r="I20" s="39" t="str">
        <x:v>Medium</x:v>
      </x:c>
      <x:c r="J20" s="39" t="str">
        <x:v>https://es.wikipedia.org/wiki/Parque_Frida_Kahlo</x:v>
      </x:c>
      <x:c r="K20" s="39" t="str">
        <x:v>Small urban park; area approximate.</x:v>
      </x:c>
    </x:row>
    <x:row r="21">
      <x:c r="A21" s="39" t="str">
        <x:v>Coyoacán</x:v>
      </x:c>
      <x:c r="B21" s="39" t="str">
        <x:v>Jardín Centenario / Jardín Hidalgo</x:v>
      </x:c>
      <x:c r="C21" s="39" t="str">
        <x:v>Historic garden/plaza</x:v>
      </x:c>
      <x:c r="D21" s="40" t="n">
        <x:v>2</x:v>
      </x:c>
      <x:c r="E21" s="40" t="n">
        <x:v>20000</x:v>
      </x:c>
      <x:c r="F21" s="41"/>
      <x:c r="G21" s="41"/>
      <x:c r="H21" s="42" t="b">
        <x:v>0</x:v>
      </x:c>
      <x:c r="I21" s="39" t="str">
        <x:v>Low</x:v>
      </x:c>
      <x:c r="J21" s="39" t="str">
        <x:v>https://mexicocity.cdmx.gob.mx/venues/centenario-garden/</x:v>
      </x:c>
      <x:c r="K21" s="39" t="str">
        <x:v>Historic plaza/garden; date and area need verification.</x:v>
      </x:c>
    </x:row>
    <x:row r="22">
      <x:c r="A22" s="39" t="str">
        <x:v>Cuajimalpa de Morelos</x:v>
      </x:c>
      <x:c r="B22" s="39" t="str">
        <x:v>Parque Nacional Desierto de los Leones</x:v>
      </x:c>
      <x:c r="C22" s="39" t="str">
        <x:v>National park</x:v>
      </x:c>
      <x:c r="D22" s="40" t="n">
        <x:v>1529</x:v>
      </x:c>
      <x:c r="E22" s="40" t="n">
        <x:v>15290000</x:v>
      </x:c>
      <x:c r="F22" s="41" t="n">
        <x:v>1917</x:v>
      </x:c>
      <x:c r="G22" s="41" t="n">
        <x:v>1910</x:v>
      </x:c>
      <x:c r="H22" s="42" t="b">
        <x:v>1</x:v>
      </x:c>
      <x:c r="I22" s="39" t="str">
        <x:v>High</x:v>
      </x:c>
      <x:c r="J22" s="39" t="str">
        <x:v>https://es.wikipedia.org/wiki/Parque_nacional_Desierto_de_los_Leones</x:v>
      </x:c>
      <x:c r="K22" s="39" t="str">
        <x:v>Large national park; not all within Cuajimalpa depending boundary treatment.</x:v>
      </x:c>
    </x:row>
    <x:row r="23">
      <x:c r="A23" s="39" t="str">
        <x:v>Cuajimalpa de Morelos</x:v>
      </x:c>
      <x:c r="B23" s="39" t="str">
        <x:v>Parque La Mexicana</x:v>
      </x:c>
      <x:c r="C23" s="39" t="str">
        <x:v>Urban park</x:v>
      </x:c>
      <x:c r="D23" s="40" t="n">
        <x:v>28</x:v>
      </x:c>
      <x:c r="E23" s="40" t="n">
        <x:v>280000</x:v>
      </x:c>
      <x:c r="F23" s="41" t="n">
        <x:v>2017</x:v>
      </x:c>
      <x:c r="G23" s="41" t="n">
        <x:v>2010</x:v>
      </x:c>
      <x:c r="H23" s="42" t="b">
        <x:v>1</x:v>
      </x:c>
      <x:c r="I23" s="39" t="str">
        <x:v>High</x:v>
      </x:c>
      <x:c r="J23" s="39" t="str">
        <x:v>https://es.wikipedia.org/wiki/Parque_La_Mexicana</x:v>
      </x:c>
      <x:c r="K23" s="39" t="str">
        <x:v>Inaugurated 2017; 28 ha in Santa Fe.</x:v>
      </x:c>
    </x:row>
    <x:row r="24">
      <x:c r="A24" s="39" t="str">
        <x:v>Cuajimalpa de Morelos</x:v>
      </x:c>
      <x:c r="B24" s="39" t="str">
        <x:v>Parque El Ocotal</x:v>
      </x:c>
      <x:c r="C24" s="39" t="str">
        <x:v>Forest / recreation area</x:v>
      </x:c>
      <x:c r="D24" s="40" t="n">
        <x:v>60</x:v>
      </x:c>
      <x:c r="E24" s="40" t="n">
        <x:v>600000</x:v>
      </x:c>
      <x:c r="F24" s="41"/>
      <x:c r="G24" s="41"/>
      <x:c r="H24" s="42" t="b">
        <x:v>0</x:v>
      </x:c>
      <x:c r="I24" s="39" t="str">
        <x:v>Low</x:v>
      </x:c>
      <x:c r="J24" s="39" t="str">
        <x:v>https://mexicocity.cdmx.gob.mx/venues/el-ocotal-forest/</x:v>
      </x:c>
      <x:c r="K24" s="39" t="str">
        <x:v>Area/date need verification.</x:v>
      </x:c>
    </x:row>
    <x:row r="25">
      <x:c r="A25" s="39" t="str">
        <x:v>Cuajimalpa de Morelos</x:v>
      </x:c>
      <x:c r="B25" s="39" t="str">
        <x:v>Parque San Mateo Tlaltenango</x:v>
      </x:c>
      <x:c r="C25" s="39" t="str">
        <x:v>Local park</x:v>
      </x:c>
      <x:c r="D25" s="40" t="n">
        <x:v>5</x:v>
      </x:c>
      <x:c r="E25" s="40" t="n">
        <x:v>50000</x:v>
      </x:c>
      <x:c r="F25" s="41"/>
      <x:c r="G25" s="41"/>
      <x:c r="H25" s="42" t="b">
        <x:v>0</x:v>
      </x:c>
      <x:c r="I25" s="39" t="str">
        <x:v>Low</x:v>
      </x:c>
      <x:c r="J25" s="39" t="str">
        <x:v>https://mexicocity.cdmx.gob.mx/</x:v>
      </x:c>
      <x:c r="K25" s="39" t="str">
        <x:v>Needs verification.</x:v>
      </x:c>
    </x:row>
    <x:row r="26">
      <x:c r="A26" s="39" t="str">
        <x:v>Cuajimalpa de Morelos</x:v>
      </x:c>
      <x:c r="B26" s="39" t="str">
        <x:v>Parque El Yaqui</x:v>
      </x:c>
      <x:c r="C26" s="39" t="str">
        <x:v>Neighborhood park</x:v>
      </x:c>
      <x:c r="D26" s="40" t="n">
        <x:v>2</x:v>
      </x:c>
      <x:c r="E26" s="40" t="n">
        <x:v>20000</x:v>
      </x:c>
      <x:c r="F26" s="41"/>
      <x:c r="G26" s="41"/>
      <x:c r="H26" s="42" t="b">
        <x:v>0</x:v>
      </x:c>
      <x:c r="I26" s="39" t="str">
        <x:v>Low</x:v>
      </x:c>
      <x:c r="J26" s="39" t="str">
        <x:v>https://mexicocity.cdmx.gob.mx/</x:v>
      </x:c>
      <x:c r="K26" s="39" t="str">
        <x:v>Needs verification.</x:v>
      </x:c>
    </x:row>
    <x:row r="27">
      <x:c r="A27" s="39" t="str">
        <x:v>Cuauhtémoc</x:v>
      </x:c>
      <x:c r="B27" s="39" t="str">
        <x:v>Alameda Central</x:v>
      </x:c>
      <x:c r="C27" s="39" t="str">
        <x:v>Historic urban park</x:v>
      </x:c>
      <x:c r="D27" s="40" t="n">
        <x:v>4.7</x:v>
      </x:c>
      <x:c r="E27" s="40" t="n">
        <x:v>47000</x:v>
      </x:c>
      <x:c r="F27" s="41" t="n">
        <x:v>1592</x:v>
      </x:c>
      <x:c r="G27" s="41" t="n">
        <x:v>1590</x:v>
      </x:c>
      <x:c r="H27" s="42" t="b">
        <x:v>1</x:v>
      </x:c>
      <x:c r="I27" s="39" t="str">
        <x:v>High</x:v>
      </x:c>
      <x:c r="J27" s="39" t="str">
        <x:v>https://es.wikipedia.org/wiki/Alameda_Central</x:v>
      </x:c>
      <x:c r="K27" s="39" t="str">
        <x:v>Oldest public park; pre-1860 so appears in all decades.</x:v>
      </x:c>
    </x:row>
    <x:row r="28">
      <x:c r="A28" s="39" t="str">
        <x:v>Cuauhtémoc</x:v>
      </x:c>
      <x:c r="B28" s="39" t="str">
        <x:v>Parque México / General San Martín</x:v>
      </x:c>
      <x:c r="C28" s="39" t="str">
        <x:v>Urban park</x:v>
      </x:c>
      <x:c r="D28" s="40" t="n">
        <x:v>8.7</x:v>
      </x:c>
      <x:c r="E28" s="40" t="n">
        <x:v>87000</x:v>
      </x:c>
      <x:c r="F28" s="41" t="n">
        <x:v>1927</x:v>
      </x:c>
      <x:c r="G28" s="41" t="n">
        <x:v>1920</x:v>
      </x:c>
      <x:c r="H28" s="42" t="b">
        <x:v>1</x:v>
      </x:c>
      <x:c r="I28" s="39" t="str">
        <x:v>High</x:v>
      </x:c>
      <x:c r="J28" s="39" t="str">
        <x:v>https://es.wikipedia.org/wiki/Parque_M%C3%A9xico</x:v>
      </x:c>
      <x:c r="K28" s="39" t="str">
        <x:v>Developed with Colonia Hipódromo in 1927.</x:v>
      </x:c>
    </x:row>
    <x:row r="29">
      <x:c r="A29" s="39" t="str">
        <x:v>Cuauhtémoc</x:v>
      </x:c>
      <x:c r="B29" s="39" t="str">
        <x:v>Parque España</x:v>
      </x:c>
      <x:c r="C29" s="39" t="str">
        <x:v>Urban park</x:v>
      </x:c>
      <x:c r="D29" s="40" t="n">
        <x:v>3.7</x:v>
      </x:c>
      <x:c r="E29" s="40" t="n">
        <x:v>37000</x:v>
      </x:c>
      <x:c r="F29" s="41" t="n">
        <x:v>1921</x:v>
      </x:c>
      <x:c r="G29" s="41" t="n">
        <x:v>1920</x:v>
      </x:c>
      <x:c r="H29" s="42" t="b">
        <x:v>1</x:v>
      </x:c>
      <x:c r="I29" s="39" t="str">
        <x:v>Medium</x:v>
      </x:c>
      <x:c r="J29" s="39" t="str">
        <x:v>https://es.wikipedia.org/wiki/Parque_Espa%C3%B1a_(M%C3%A9xico)</x:v>
      </x:c>
      <x:c r="K29" s="39" t="str">
        <x:v>Early 1920s; area approximate.</x:v>
      </x:c>
    </x:row>
    <x:row r="30">
      <x:c r="A30" s="39" t="str">
        <x:v>Cuauhtémoc</x:v>
      </x:c>
      <x:c r="B30" s="39" t="str">
        <x:v>Alameda de Santa María la Ribera</x:v>
      </x:c>
      <x:c r="C30" s="39" t="str">
        <x:v>Historic garden</x:v>
      </x:c>
      <x:c r="D30" s="40" t="n">
        <x:v>2.5</x:v>
      </x:c>
      <x:c r="E30" s="40" t="n">
        <x:v>25000</x:v>
      </x:c>
      <x:c r="F30" s="41" t="n">
        <x:v>1910</x:v>
      </x:c>
      <x:c r="G30" s="41" t="n">
        <x:v>1910</x:v>
      </x:c>
      <x:c r="H30" s="42" t="b">
        <x:v>1</x:v>
      </x:c>
      <x:c r="I30" s="39" t="str">
        <x:v>Medium</x:v>
      </x:c>
      <x:c r="J30" s="39" t="str">
        <x:v>https://es.wikipedia.org/wiki/Alameda_de_Santa_Mar%C3%ADa_la_Ribera</x:v>
      </x:c>
      <x:c r="K30" s="39" t="str">
        <x:v>Historic garden/kiosco area; area approximate.</x:v>
      </x:c>
    </x:row>
    <x:row r="31">
      <x:c r="A31" s="39" t="str">
        <x:v>Cuauhtémoc</x:v>
      </x:c>
      <x:c r="B31" s="39" t="str">
        <x:v>Jardín Pushkin</x:v>
      </x:c>
      <x:c r="C31" s="39" t="str">
        <x:v>Urban park</x:v>
      </x:c>
      <x:c r="D31" s="40" t="n">
        <x:v>1</x:v>
      </x:c>
      <x:c r="E31" s="40" t="n">
        <x:v>10000</x:v>
      </x:c>
      <x:c r="F31" s="41"/>
      <x:c r="G31" s="41"/>
      <x:c r="H31" s="42" t="b">
        <x:v>0</x:v>
      </x:c>
      <x:c r="I31" s="39" t="str">
        <x:v>Low</x:v>
      </x:c>
      <x:c r="J31" s="39" t="str">
        <x:v>https://mexicocity.cdmx.gob.mx/venues/jardin-pushkin/</x:v>
      </x:c>
      <x:c r="K31" s="39" t="str">
        <x:v>Needs verification.</x:v>
      </x:c>
    </x:row>
    <x:row r="32">
      <x:c r="A32" s="39" t="str">
        <x:v>Gustavo A. Madero</x:v>
      </x:c>
      <x:c r="B32" s="39" t="str">
        <x:v>Bosque de San Juan de Aragón</x:v>
      </x:c>
      <x:c r="C32" s="39" t="str">
        <x:v>Urban forest</x:v>
      </x:c>
      <x:c r="D32" s="40" t="n">
        <x:v>162</x:v>
      </x:c>
      <x:c r="E32" s="40" t="n">
        <x:v>1620000</x:v>
      </x:c>
      <x:c r="F32" s="41" t="n">
        <x:v>1964</x:v>
      </x:c>
      <x:c r="G32" s="41" t="n">
        <x:v>1960</x:v>
      </x:c>
      <x:c r="H32" s="42" t="b">
        <x:v>1</x:v>
      </x:c>
      <x:c r="I32" s="39" t="str">
        <x:v>High</x:v>
      </x:c>
      <x:c r="J32" s="39" t="str">
        <x:v>https://es.wikipedia.org/wiki/Bosque_de_San_Juan_de_Arag%C3%B3n</x:v>
      </x:c>
      <x:c r="K32" s="39" t="str">
        <x:v>Created in 1964; approx. 162 ha.</x:v>
      </x:c>
    </x:row>
    <x:row r="33">
      <x:c r="A33" s="39" t="str">
        <x:v>Gustavo A. Madero</x:v>
      </x:c>
      <x:c r="B33" s="39" t="str">
        <x:v>Parque del Mestizaje</x:v>
      </x:c>
      <x:c r="C33" s="39" t="str">
        <x:v>Urban park</x:v>
      </x:c>
      <x:c r="D33" s="40" t="n">
        <x:v>3.5</x:v>
      </x:c>
      <x:c r="E33" s="40" t="n">
        <x:v>35000</x:v>
      </x:c>
      <x:c r="F33" s="41" t="n">
        <x:v>1978</x:v>
      </x:c>
      <x:c r="G33" s="41" t="n">
        <x:v>1970</x:v>
      </x:c>
      <x:c r="H33" s="42" t="b">
        <x:v>1</x:v>
      </x:c>
      <x:c r="I33" s="39" t="str">
        <x:v>Medium</x:v>
      </x:c>
      <x:c r="J33" s="39" t="str">
        <x:v>https://mexicocity.cdmx.gob.mx/venues/parque-del-mestizaje/</x:v>
      </x:c>
      <x:c r="K33" s="39" t="str">
        <x:v>Approximate date/area; verify.</x:v>
      </x:c>
    </x:row>
    <x:row r="34">
      <x:c r="A34" s="39" t="str">
        <x:v>Gustavo A. Madero</x:v>
      </x:c>
      <x:c r="B34" s="39" t="str">
        <x:v>Parque María Teresa</x:v>
      </x:c>
      <x:c r="C34" s="39" t="str">
        <x:v>Urban park</x:v>
      </x:c>
      <x:c r="D34" s="40" t="n">
        <x:v>2</x:v>
      </x:c>
      <x:c r="E34" s="40" t="n">
        <x:v>20000</x:v>
      </x:c>
      <x:c r="F34" s="41"/>
      <x:c r="G34" s="41"/>
      <x:c r="H34" s="42" t="b">
        <x:v>0</x:v>
      </x:c>
      <x:c r="I34" s="39" t="str">
        <x:v>Low</x:v>
      </x:c>
      <x:c r="J34" s="39" t="str">
        <x:v>https://mexicocity.cdmx.gob.mx/</x:v>
      </x:c>
      <x:c r="K34" s="39" t="str">
        <x:v>Needs verification.</x:v>
      </x:c>
    </x:row>
    <x:row r="35">
      <x:c r="A35" s="39" t="str">
        <x:v>Gustavo A. Madero</x:v>
      </x:c>
      <x:c r="B35" s="39" t="str">
        <x:v>Parque Copos de Nieve</x:v>
      </x:c>
      <x:c r="C35" s="39" t="str">
        <x:v>Urban park</x:v>
      </x:c>
      <x:c r="D35" s="40" t="n">
        <x:v>2</x:v>
      </x:c>
      <x:c r="E35" s="40" t="n">
        <x:v>20000</x:v>
      </x:c>
      <x:c r="F35" s="41"/>
      <x:c r="G35" s="41"/>
      <x:c r="H35" s="42" t="b">
        <x:v>0</x:v>
      </x:c>
      <x:c r="I35" s="39" t="str">
        <x:v>Low</x:v>
      </x:c>
      <x:c r="J35" s="39" t="str">
        <x:v>https://mexicocity.cdmx.gob.mx/</x:v>
      </x:c>
      <x:c r="K35" s="39" t="str">
        <x:v>Needs verification.</x:v>
      </x:c>
    </x:row>
    <x:row r="36">
      <x:c r="A36" s="39" t="str">
        <x:v>Gustavo A. Madero</x:v>
      </x:c>
      <x:c r="B36" s="39" t="str">
        <x:v>Parque Lineal Gran Canal (segment)</x:v>
      </x:c>
      <x:c r="C36" s="39" t="str">
        <x:v>Linear park</x:v>
      </x:c>
      <x:c r="D36" s="40" t="n">
        <x:v>8</x:v>
      </x:c>
      <x:c r="E36" s="40" t="n">
        <x:v>80000</x:v>
      </x:c>
      <x:c r="F36" s="41" t="n">
        <x:v>2021</x:v>
      </x:c>
      <x:c r="G36" s="41" t="n">
        <x:v>2020</x:v>
      </x:c>
      <x:c r="H36" s="42" t="b">
        <x:v>1</x:v>
      </x:c>
      <x:c r="I36" s="39" t="str">
        <x:v>Medium</x:v>
      </x:c>
      <x:c r="J36" s="39" t="str">
        <x:v>https://es.wikipedia.org/wiki/Parque_Lineal_Gran_Canal</x:v>
      </x:c>
      <x:c r="K36" s="39" t="str">
        <x:v>Segment allocation approximate; whole project spans multiple alcaldías.</x:v>
      </x:c>
    </x:row>
    <x:row r="37">
      <x:c r="A37" s="39" t="str">
        <x:v>Iztacalco</x:v>
      </x:c>
      <x:c r="B37" s="39" t="str">
        <x:v>Ciudad Deportiva Magdalena Mixhuca</x:v>
      </x:c>
      <x:c r="C37" s="39" t="str">
        <x:v>Sports/green complex</x:v>
      </x:c>
      <x:c r="D37" s="40" t="n">
        <x:v>92</x:v>
      </x:c>
      <x:c r="E37" s="40" t="n">
        <x:v>920000</x:v>
      </x:c>
      <x:c r="F37" s="41" t="n">
        <x:v>1958</x:v>
      </x:c>
      <x:c r="G37" s="41" t="n">
        <x:v>1950</x:v>
      </x:c>
      <x:c r="H37" s="42" t="b">
        <x:v>1</x:v>
      </x:c>
      <x:c r="I37" s="39" t="str">
        <x:v>High</x:v>
      </x:c>
      <x:c r="J37" s="39" t="str">
        <x:v>https://es.wikipedia.org/wiki/Ciudad_Deportiva_Magdalena_Mixhuca</x:v>
      </x:c>
      <x:c r="K37" s="39" t="str">
        <x:v>Sports city with large green areas; allocated here.</x:v>
      </x:c>
    </x:row>
    <x:row r="38">
      <x:c r="A38" s="39" t="str">
        <x:v>Iztacalco</x:v>
      </x:c>
      <x:c r="B38" s="39" t="str">
        <x:v>Parque Lineal Río Churubusco / Viaducto area</x:v>
      </x:c>
      <x:c r="C38" s="39" t="str">
        <x:v>Linear park</x:v>
      </x:c>
      <x:c r="D38" s="40" t="n">
        <x:v>6</x:v>
      </x:c>
      <x:c r="E38" s="40" t="n">
        <x:v>60000</x:v>
      </x:c>
      <x:c r="F38" s="41"/>
      <x:c r="G38" s="41"/>
      <x:c r="H38" s="42" t="b">
        <x:v>0</x:v>
      </x:c>
      <x:c r="I38" s="39" t="str">
        <x:v>Low</x:v>
      </x:c>
      <x:c r="J38" s="39" t="str">
        <x:v>https://mexicocity.cdmx.gob.mx/</x:v>
      </x:c>
      <x:c r="K38" s="39" t="str">
        <x:v>Needs verification.</x:v>
      </x:c>
    </x:row>
    <x:row r="39">
      <x:c r="A39" s="39" t="str">
        <x:v>Iztacalco</x:v>
      </x:c>
      <x:c r="B39" s="39" t="str">
        <x:v>Parque Pantitlán</x:v>
      </x:c>
      <x:c r="C39" s="39" t="str">
        <x:v>Urban park</x:v>
      </x:c>
      <x:c r="D39" s="40" t="n">
        <x:v>4</x:v>
      </x:c>
      <x:c r="E39" s="40" t="n">
        <x:v>40000</x:v>
      </x:c>
      <x:c r="F39" s="41"/>
      <x:c r="G39" s="41"/>
      <x:c r="H39" s="42" t="b">
        <x:v>0</x:v>
      </x:c>
      <x:c r="I39" s="39" t="str">
        <x:v>Low</x:v>
      </x:c>
      <x:c r="J39" s="39" t="str">
        <x:v>https://mexicocity.cdmx.gob.mx/</x:v>
      </x:c>
      <x:c r="K39" s="39" t="str">
        <x:v>Needs verification.</x:v>
      </x:c>
    </x:row>
    <x:row r="40">
      <x:c r="A40" s="39" t="str">
        <x:v>Iztacalco</x:v>
      </x:c>
      <x:c r="B40" s="39" t="str">
        <x:v>Parque Leandro Valle</x:v>
      </x:c>
      <x:c r="C40" s="39" t="str">
        <x:v>Urban park</x:v>
      </x:c>
      <x:c r="D40" s="40" t="n">
        <x:v>2</x:v>
      </x:c>
      <x:c r="E40" s="40" t="n">
        <x:v>20000</x:v>
      </x:c>
      <x:c r="F40" s="41"/>
      <x:c r="G40" s="41"/>
      <x:c r="H40" s="42" t="b">
        <x:v>0</x:v>
      </x:c>
      <x:c r="I40" s="39" t="str">
        <x:v>Low</x:v>
      </x:c>
      <x:c r="J40" s="39" t="str">
        <x:v>https://mexicocity.cdmx.gob.mx/</x:v>
      </x:c>
      <x:c r="K40" s="39" t="str">
        <x:v>Needs verification.</x:v>
      </x:c>
    </x:row>
    <x:row r="41">
      <x:c r="A41" s="39" t="str">
        <x:v>Iztacalco</x:v>
      </x:c>
      <x:c r="B41" s="39" t="str">
        <x:v>Parque Acteal</x:v>
      </x:c>
      <x:c r="C41" s="39" t="str">
        <x:v>Urban park</x:v>
      </x:c>
      <x:c r="D41" s="40" t="n">
        <x:v>2</x:v>
      </x:c>
      <x:c r="E41" s="40" t="n">
        <x:v>20000</x:v>
      </x:c>
      <x:c r="F41" s="41"/>
      <x:c r="G41" s="41"/>
      <x:c r="H41" s="42" t="b">
        <x:v>0</x:v>
      </x:c>
      <x:c r="I41" s="39" t="str">
        <x:v>Low</x:v>
      </x:c>
      <x:c r="J41" s="39" t="str">
        <x:v>https://mexicocity.cdmx.gob.mx/</x:v>
      </x:c>
      <x:c r="K41" s="39" t="str">
        <x:v>Needs verification.</x:v>
      </x:c>
    </x:row>
    <x:row r="42">
      <x:c r="A42" s="39" t="str">
        <x:v>Iztapalapa</x:v>
      </x:c>
      <x:c r="B42" s="39" t="str">
        <x:v>Parque Cuitláhuac</x:v>
      </x:c>
      <x:c r="C42" s="39" t="str">
        <x:v>Urban ecological park</x:v>
      </x:c>
      <x:c r="D42" s="40" t="n">
        <x:v>145</x:v>
      </x:c>
      <x:c r="E42" s="40" t="n">
        <x:v>1450000</x:v>
      </x:c>
      <x:c r="F42" s="41" t="n">
        <x:v>2020</x:v>
      </x:c>
      <x:c r="G42" s="41" t="n">
        <x:v>2020</x:v>
      </x:c>
      <x:c r="H42" s="42" t="b">
        <x:v>1</x:v>
      </x:c>
      <x:c r="I42" s="39" t="str">
        <x:v>High</x:v>
      </x:c>
      <x:c r="J42" s="39" t="str">
        <x:v>https://mexicocity.cdmx.gob.mx/venues/parque-cuitlahuac/</x:v>
      </x:c>
      <x:c r="K42" s="39" t="str">
        <x:v>Rehabilitated/opened in phases 2020-2023; 145 ha.</x:v>
      </x:c>
    </x:row>
    <x:row r="43">
      <x:c r="A43" s="39" t="str">
        <x:v>Iztapalapa</x:v>
      </x:c>
      <x:c r="B43" s="39" t="str">
        <x:v>Parque Nacional Cerro de la Estrella</x:v>
      </x:c>
      <x:c r="C43" s="39" t="str">
        <x:v>National park</x:v>
      </x:c>
      <x:c r="D43" s="40" t="n">
        <x:v>143</x:v>
      </x:c>
      <x:c r="E43" s="40" t="n">
        <x:v>1430000</x:v>
      </x:c>
      <x:c r="F43" s="41" t="n">
        <x:v>1938</x:v>
      </x:c>
      <x:c r="G43" s="41" t="n">
        <x:v>1930</x:v>
      </x:c>
      <x:c r="H43" s="42" t="b">
        <x:v>1</x:v>
      </x:c>
      <x:c r="I43" s="39" t="str">
        <x:v>High</x:v>
      </x:c>
      <x:c r="J43" s="39" t="str">
        <x:v>https://es.wikipedia.org/wiki/Cerro_de_la_Estrella_(parque_nacional)</x:v>
      </x:c>
      <x:c r="K43" s="39" t="str">
        <x:v>Declared national park in 1938; area approximate.</x:v>
      </x:c>
    </x:row>
    <x:row r="44">
      <x:c r="A44" s="39" t="str">
        <x:v>Iztapalapa</x:v>
      </x:c>
      <x:c r="B44" s="39" t="str">
        <x:v>Parque Ecológico Yautlica</x:v>
      </x:c>
      <x:c r="C44" s="39" t="str">
        <x:v>Urban ecological park</x:v>
      </x:c>
      <x:c r="D44" s="40" t="n">
        <x:v>13</x:v>
      </x:c>
      <x:c r="E44" s="40" t="n">
        <x:v>130000</x:v>
      </x:c>
      <x:c r="F44" s="41" t="n">
        <x:v>2005</x:v>
      </x:c>
      <x:c r="G44" s="41" t="n">
        <x:v>2000</x:v>
      </x:c>
      <x:c r="H44" s="42" t="b">
        <x:v>1</x:v>
      </x:c>
      <x:c r="I44" s="39" t="str">
        <x:v>Medium</x:v>
      </x:c>
      <x:c r="J44" s="39" t="str">
        <x:v>https://mexicocity.cdmx.gob.mx/venues/yautlica-ecological-park/</x:v>
      </x:c>
      <x:c r="K44" s="39" t="str">
        <x:v>Approximate date/area; verify.</x:v>
      </x:c>
    </x:row>
    <x:row r="45">
      <x:c r="A45" s="39" t="str">
        <x:v>Iztapalapa</x:v>
      </x:c>
      <x:c r="B45" s="39" t="str">
        <x:v>Parque Lineal Periférico Oriente</x:v>
      </x:c>
      <x:c r="C45" s="39" t="str">
        <x:v>Linear park</x:v>
      </x:c>
      <x:c r="D45" s="40" t="n">
        <x:v>7</x:v>
      </x:c>
      <x:c r="E45" s="40" t="n">
        <x:v>70000</x:v>
      </x:c>
      <x:c r="F45" s="41"/>
      <x:c r="G45" s="41"/>
      <x:c r="H45" s="42" t="b">
        <x:v>0</x:v>
      </x:c>
      <x:c r="I45" s="39" t="str">
        <x:v>Low</x:v>
      </x:c>
      <x:c r="J45" s="39" t="str">
        <x:v>https://mexicocity.cdmx.gob.mx/</x:v>
      </x:c>
      <x:c r="K45" s="39" t="str">
        <x:v>Needs verification.</x:v>
      </x:c>
    </x:row>
    <x:row r="46">
      <x:c r="A46" s="39" t="str">
        <x:v>Iztapalapa</x:v>
      </x:c>
      <x:c r="B46" s="39" t="str">
        <x:v>Utopía Meyehualco / park areas</x:v>
      </x:c>
      <x:c r="C46" s="39" t="str">
        <x:v>Urban park</x:v>
      </x:c>
      <x:c r="D46" s="40" t="n">
        <x:v>5</x:v>
      </x:c>
      <x:c r="E46" s="40" t="n">
        <x:v>50000</x:v>
      </x:c>
      <x:c r="F46" s="41"/>
      <x:c r="G46" s="41"/>
      <x:c r="H46" s="42" t="b">
        <x:v>0</x:v>
      </x:c>
      <x:c r="I46" s="39" t="str">
        <x:v>Low</x:v>
      </x:c>
      <x:c r="J46" s="39" t="str">
        <x:v>https://www.iztapalapa.cdmx.gob.mx/</x:v>
      </x:c>
      <x:c r="K46" s="39" t="str">
        <x:v>Needs verification.</x:v>
      </x:c>
    </x:row>
    <x:row r="47">
      <x:c r="A47" s="39" t="str">
        <x:v>La Magdalena Contreras</x:v>
      </x:c>
      <x:c r="B47" s="39" t="str">
        <x:v>Los Dinamos / Cañada de Contreras</x:v>
      </x:c>
      <x:c r="C47" s="39" t="str">
        <x:v>Protected natural area</x:v>
      </x:c>
      <x:c r="D47" s="40" t="n">
        <x:v>2429</x:v>
      </x:c>
      <x:c r="E47" s="40" t="n">
        <x:v>24290000</x:v>
      </x:c>
      <x:c r="F47" s="41" t="n">
        <x:v>1932</x:v>
      </x:c>
      <x:c r="G47" s="41" t="n">
        <x:v>1930</x:v>
      </x:c>
      <x:c r="H47" s="42" t="b">
        <x:v>1</x:v>
      </x:c>
      <x:c r="I47" s="39" t="str">
        <x:v>Medium</x:v>
      </x:c>
      <x:c r="J47" s="39" t="str">
        <x:v>https://es.wikipedia.org/wiki/Los_Dinamos</x:v>
      </x:c>
      <x:c r="K47" s="39" t="str">
        <x:v>Large conservation area; may not align with SEDEMA urban green-space inventory.</x:v>
      </x:c>
    </x:row>
    <x:row r="48">
      <x:c r="A48" s="39" t="str">
        <x:v>La Magdalena Contreras</x:v>
      </x:c>
      <x:c r="B48" s="39" t="str">
        <x:v>Parque Ecoturístico San Nicolás Totolapan</x:v>
      </x:c>
      <x:c r="C48" s="39" t="str">
        <x:v>Ecotourism park</x:v>
      </x:c>
      <x:c r="D48" s="40" t="n">
        <x:v>1900</x:v>
      </x:c>
      <x:c r="E48" s="40" t="n">
        <x:v>19000000</x:v>
      </x:c>
      <x:c r="F48" s="41" t="n">
        <x:v>1998</x:v>
      </x:c>
      <x:c r="G48" s="41" t="n">
        <x:v>1990</x:v>
      </x:c>
      <x:c r="H48" s="42" t="b">
        <x:v>1</x:v>
      </x:c>
      <x:c r="I48" s="39" t="str">
        <x:v>Medium</x:v>
      </x:c>
      <x:c r="J48" s="39" t="str">
        <x:v>https://es.wikipedia.org/wiki/Parque_Ecotur%C3%ADstico_San_Nicol%C3%A1s_Totolapan</x:v>
      </x:c>
      <x:c r="K48" s="39" t="str">
        <x:v>Large communal/ecotourism area; inclusion depends on definition.</x:v>
      </x:c>
    </x:row>
    <x:row r="49">
      <x:c r="A49" s="39" t="str">
        <x:v>La Magdalena Contreras</x:v>
      </x:c>
      <x:c r="B49" s="39" t="str">
        <x:v>Parque La Loma</x:v>
      </x:c>
      <x:c r="C49" s="39" t="str">
        <x:v>Urban/ecological park</x:v>
      </x:c>
      <x:c r="D49" s="40" t="n">
        <x:v>10</x:v>
      </x:c>
      <x:c r="E49" s="40" t="n">
        <x:v>100000</x:v>
      </x:c>
      <x:c r="F49" s="41"/>
      <x:c r="G49" s="41"/>
      <x:c r="H49" s="42" t="b">
        <x:v>0</x:v>
      </x:c>
      <x:c r="I49" s="39" t="str">
        <x:v>Low</x:v>
      </x:c>
      <x:c r="J49" s="39" t="str">
        <x:v>https://mexicocity.cdmx.gob.mx/</x:v>
      </x:c>
      <x:c r="K49" s="39" t="str">
        <x:v>Needs verification.</x:v>
      </x:c>
    </x:row>
    <x:row r="50">
      <x:c r="A50" s="39" t="str">
        <x:v>La Magdalena Contreras</x:v>
      </x:c>
      <x:c r="B50" s="39" t="str">
        <x:v>Parque de la Estación</x:v>
      </x:c>
      <x:c r="C50" s="39" t="str">
        <x:v>Urban park</x:v>
      </x:c>
      <x:c r="D50" s="40" t="n">
        <x:v>2</x:v>
      </x:c>
      <x:c r="E50" s="40" t="n">
        <x:v>20000</x:v>
      </x:c>
      <x:c r="F50" s="41"/>
      <x:c r="G50" s="41"/>
      <x:c r="H50" s="42" t="b">
        <x:v>0</x:v>
      </x:c>
      <x:c r="I50" s="39" t="str">
        <x:v>Low</x:v>
      </x:c>
      <x:c r="J50" s="39" t="str">
        <x:v>https://mexicocity.cdmx.gob.mx/</x:v>
      </x:c>
      <x:c r="K50" s="39" t="str">
        <x:v>Needs verification.</x:v>
      </x:c>
    </x:row>
    <x:row r="51">
      <x:c r="A51" s="39" t="str">
        <x:v>La Magdalena Contreras</x:v>
      </x:c>
      <x:c r="B51" s="39" t="str">
        <x:v>Parque San Jerónimo Aculco green areas</x:v>
      </x:c>
      <x:c r="C51" s="39" t="str">
        <x:v>Neighborhood park</x:v>
      </x:c>
      <x:c r="D51" s="40" t="n">
        <x:v>2</x:v>
      </x:c>
      <x:c r="E51" s="40" t="n">
        <x:v>20000</x:v>
      </x:c>
      <x:c r="F51" s="41"/>
      <x:c r="G51" s="41"/>
      <x:c r="H51" s="42" t="b">
        <x:v>0</x:v>
      </x:c>
      <x:c r="I51" s="39" t="str">
        <x:v>Low</x:v>
      </x:c>
      <x:c r="J51" s="39" t="str">
        <x:v>https://mexicocity.cdmx.gob.mx/</x:v>
      </x:c>
      <x:c r="K51" s="39" t="str">
        <x:v>Needs verification.</x:v>
      </x:c>
    </x:row>
    <x:row r="52">
      <x:c r="A52" s="39" t="str">
        <x:v>Miguel Hidalgo</x:v>
      </x:c>
      <x:c r="B52" s="39" t="str">
        <x:v>Bosque de Chapultepec</x:v>
      </x:c>
      <x:c r="C52" s="39" t="str">
        <x:v>Urban forest</x:v>
      </x:c>
      <x:c r="D52" s="40" t="n">
        <x:v>866</x:v>
      </x:c>
      <x:c r="E52" s="40" t="n">
        <x:v>8660000</x:v>
      </x:c>
      <x:c r="F52" s="41" t="n">
        <x:v>1865</x:v>
      </x:c>
      <x:c r="G52" s="41" t="n">
        <x:v>1860</x:v>
      </x:c>
      <x:c r="H52" s="42" t="b">
        <x:v>1</x:v>
      </x:c>
      <x:c r="I52" s="39" t="str">
        <x:v>High</x:v>
      </x:c>
      <x:c r="J52" s="39" t="str">
        <x:v>https://en.wikipedia.org/wiki/Chapultepec</x:v>
      </x:c>
      <x:c r="K52" s="39" t="str">
        <x:v>Modern public-park era around 19th century; exact date is historical.</x:v>
      </x:c>
    </x:row>
    <x:row r="53">
      <x:c r="A53" s="39" t="str">
        <x:v>Miguel Hidalgo</x:v>
      </x:c>
      <x:c r="B53" s="39" t="str">
        <x:v>Parque Bicentenario</x:v>
      </x:c>
      <x:c r="C53" s="39" t="str">
        <x:v>Urban park</x:v>
      </x:c>
      <x:c r="D53" s="40" t="n">
        <x:v>55</x:v>
      </x:c>
      <x:c r="E53" s="40" t="n">
        <x:v>550000</x:v>
      </x:c>
      <x:c r="F53" s="41" t="n">
        <x:v>2010</x:v>
      </x:c>
      <x:c r="G53" s="41" t="n">
        <x:v>2010</x:v>
      </x:c>
      <x:c r="H53" s="42" t="b">
        <x:v>1</x:v>
      </x:c>
      <x:c r="I53" s="39" t="str">
        <x:v>High</x:v>
      </x:c>
      <x:c r="J53" s="39" t="str">
        <x:v>https://es.wikipedia.org/wiki/Parque_Bicentenario_(Ciudad_de_M%C3%A9xico)</x:v>
      </x:c>
      <x:c r="K53" s="39" t="str">
        <x:v>Boundary with Azcapotzalco; included here too for reference; adjust if splitting.</x:v>
      </x:c>
    </x:row>
    <x:row r="54">
      <x:c r="A54" s="39" t="str">
        <x:v>Miguel Hidalgo</x:v>
      </x:c>
      <x:c r="B54" s="39" t="str">
        <x:v>Parque Lincoln</x:v>
      </x:c>
      <x:c r="C54" s="39" t="str">
        <x:v>Urban park</x:v>
      </x:c>
      <x:c r="D54" s="40" t="n">
        <x:v>1.5</x:v>
      </x:c>
      <x:c r="E54" s="40" t="n">
        <x:v>15000</x:v>
      </x:c>
      <x:c r="F54" s="41" t="n">
        <x:v>1966</x:v>
      </x:c>
      <x:c r="G54" s="41" t="n">
        <x:v>1960</x:v>
      </x:c>
      <x:c r="H54" s="42" t="b">
        <x:v>1</x:v>
      </x:c>
      <x:c r="I54" s="39" t="str">
        <x:v>Medium</x:v>
      </x:c>
      <x:c r="J54" s="39" t="str">
        <x:v>https://es.wikipedia.org/wiki/Parque_Lincoln</x:v>
      </x:c>
      <x:c r="K54" s="39" t="str">
        <x:v>Approximate size/date.</x:v>
      </x:c>
    </x:row>
    <x:row r="55">
      <x:c r="A55" s="39" t="str">
        <x:v>Miguel Hidalgo</x:v>
      </x:c>
      <x:c r="B55" s="39" t="str">
        <x:v>Parque América</x:v>
      </x:c>
      <x:c r="C55" s="39" t="str">
        <x:v>Urban park</x:v>
      </x:c>
      <x:c r="D55" s="40" t="n">
        <x:v>1.2</x:v>
      </x:c>
      <x:c r="E55" s="40" t="n">
        <x:v>12000</x:v>
      </x:c>
      <x:c r="F55" s="41"/>
      <x:c r="G55" s="41"/>
      <x:c r="H55" s="42" t="b">
        <x:v>0</x:v>
      </x:c>
      <x:c r="I55" s="39" t="str">
        <x:v>Low</x:v>
      </x:c>
      <x:c r="J55" s="39" t="str">
        <x:v>https://mexicocity.cdmx.gob.mx/venues/america-park/</x:v>
      </x:c>
      <x:c r="K55" s="39" t="str">
        <x:v>Needs verification.</x:v>
      </x:c>
    </x:row>
    <x:row r="56">
      <x:c r="A56" s="39" t="str">
        <x:v>Miguel Hidalgo</x:v>
      </x:c>
      <x:c r="B56" s="39" t="str">
        <x:v>Parque Cañitas</x:v>
      </x:c>
      <x:c r="C56" s="39" t="str">
        <x:v>Urban park</x:v>
      </x:c>
      <x:c r="D56" s="40" t="n">
        <x:v>1</x:v>
      </x:c>
      <x:c r="E56" s="40" t="n">
        <x:v>10000</x:v>
      </x:c>
      <x:c r="F56" s="41"/>
      <x:c r="G56" s="41"/>
      <x:c r="H56" s="42" t="b">
        <x:v>0</x:v>
      </x:c>
      <x:c r="I56" s="39" t="str">
        <x:v>Low</x:v>
      </x:c>
      <x:c r="J56" s="39" t="str">
        <x:v>https://mexicocity.cdmx.gob.mx/</x:v>
      </x:c>
      <x:c r="K56" s="39" t="str">
        <x:v>Needs verification.</x:v>
      </x:c>
    </x:row>
    <x:row r="57">
      <x:c r="A57" s="39" t="str">
        <x:v>Milpa Alta</x:v>
      </x:c>
      <x:c r="B57" s="39" t="str">
        <x:v>Parque Ecológico San Pedro Atocpan</x:v>
      </x:c>
      <x:c r="C57" s="39" t="str">
        <x:v>Ecological park</x:v>
      </x:c>
      <x:c r="D57" s="40" t="n">
        <x:v>10</x:v>
      </x:c>
      <x:c r="E57" s="40" t="n">
        <x:v>100000</x:v>
      </x:c>
      <x:c r="F57" s="41"/>
      <x:c r="G57" s="41"/>
      <x:c r="H57" s="42" t="b">
        <x:v>0</x:v>
      </x:c>
      <x:c r="I57" s="39" t="str">
        <x:v>Low</x:v>
      </x:c>
      <x:c r="J57" s="39" t="str">
        <x:v>https://mexicocity.cdmx.gob.mx/</x:v>
      </x:c>
      <x:c r="K57" s="39" t="str">
        <x:v>Needs verification.</x:v>
      </x:c>
    </x:row>
    <x:row r="58">
      <x:c r="A58" s="39" t="str">
        <x:v>Milpa Alta</x:v>
      </x:c>
      <x:c r="B58" s="39" t="str">
        <x:v>Parque Ecológico Tecómitl</x:v>
      </x:c>
      <x:c r="C58" s="39" t="str">
        <x:v>Ecological park</x:v>
      </x:c>
      <x:c r="D58" s="40" t="n">
        <x:v>8</x:v>
      </x:c>
      <x:c r="E58" s="40" t="n">
        <x:v>80000</x:v>
      </x:c>
      <x:c r="F58" s="41"/>
      <x:c r="G58" s="41"/>
      <x:c r="H58" s="42" t="b">
        <x:v>0</x:v>
      </x:c>
      <x:c r="I58" s="39" t="str">
        <x:v>Low</x:v>
      </x:c>
      <x:c r="J58" s="39" t="str">
        <x:v>https://mexicocity.cdmx.gob.mx/</x:v>
      </x:c>
      <x:c r="K58" s="39" t="str">
        <x:v>Needs verification.</x:v>
      </x:c>
    </x:row>
    <x:row r="59">
      <x:c r="A59" s="39" t="str">
        <x:v>Milpa Alta</x:v>
      </x:c>
      <x:c r="B59" s="39" t="str">
        <x:v>Bosque de Milpa Alta / communal forest areas</x:v>
      </x:c>
      <x:c r="C59" s="39" t="str">
        <x:v>Conservation/forest</x:v>
      </x:c>
      <x:c r="D59" s="40" t="n">
        <x:v>100</x:v>
      </x:c>
      <x:c r="E59" s="40" t="n">
        <x:v>1000000</x:v>
      </x:c>
      <x:c r="F59" s="41"/>
      <x:c r="G59" s="41"/>
      <x:c r="H59" s="42" t="b">
        <x:v>0</x:v>
      </x:c>
      <x:c r="I59" s="39" t="str">
        <x:v>Low</x:v>
      </x:c>
      <x:c r="J59" s="39" t="str">
        <x:v>https://www.milpa-alta.cdmx.gob.mx/</x:v>
      </x:c>
      <x:c r="K59" s="39" t="str">
        <x:v>Large conservation land; not all comparable to urban parks.</x:v>
      </x:c>
    </x:row>
    <x:row r="60">
      <x:c r="A60" s="39" t="str">
        <x:v>Milpa Alta</x:v>
      </x:c>
      <x:c r="B60" s="39" t="str">
        <x:v>Parque San Antonio Tecómitl</x:v>
      </x:c>
      <x:c r="C60" s="39" t="str">
        <x:v>Local park</x:v>
      </x:c>
      <x:c r="D60" s="40" t="n">
        <x:v>2</x:v>
      </x:c>
      <x:c r="E60" s="40" t="n">
        <x:v>20000</x:v>
      </x:c>
      <x:c r="F60" s="41"/>
      <x:c r="G60" s="41"/>
      <x:c r="H60" s="42" t="b">
        <x:v>0</x:v>
      </x:c>
      <x:c r="I60" s="39" t="str">
        <x:v>Low</x:v>
      </x:c>
      <x:c r="J60" s="39" t="str">
        <x:v>https://mexicocity.cdmx.gob.mx/</x:v>
      </x:c>
      <x:c r="K60" s="39" t="str">
        <x:v>Needs verification.</x:v>
      </x:c>
    </x:row>
    <x:row r="61">
      <x:c r="A61" s="39" t="str">
        <x:v>Milpa Alta</x:v>
      </x:c>
      <x:c r="B61" s="39" t="str">
        <x:v>Parque Villa Milpa Alta</x:v>
      </x:c>
      <x:c r="C61" s="39" t="str">
        <x:v>Local park</x:v>
      </x:c>
      <x:c r="D61" s="40" t="n">
        <x:v>2</x:v>
      </x:c>
      <x:c r="E61" s="40" t="n">
        <x:v>20000</x:v>
      </x:c>
      <x:c r="F61" s="41"/>
      <x:c r="G61" s="41"/>
      <x:c r="H61" s="42" t="b">
        <x:v>0</x:v>
      </x:c>
      <x:c r="I61" s="39" t="str">
        <x:v>Low</x:v>
      </x:c>
      <x:c r="J61" s="39" t="str">
        <x:v>https://mexicocity.cdmx.gob.mx/</x:v>
      </x:c>
      <x:c r="K61" s="39" t="str">
        <x:v>Needs verification.</x:v>
      </x:c>
    </x:row>
    <x:row r="62">
      <x:c r="A62" s="39" t="str">
        <x:v>Tláhuac</x:v>
      </x:c>
      <x:c r="B62" s="39" t="str">
        <x:v>Bosque de Tláhuac</x:v>
      </x:c>
      <x:c r="C62" s="39" t="str">
        <x:v>Urban forest</x:v>
      </x:c>
      <x:c r="D62" s="40" t="n">
        <x:v>58</x:v>
      </x:c>
      <x:c r="E62" s="40" t="n">
        <x:v>580000</x:v>
      </x:c>
      <x:c r="F62" s="41" t="n">
        <x:v>1992</x:v>
      </x:c>
      <x:c r="G62" s="41" t="n">
        <x:v>1990</x:v>
      </x:c>
      <x:c r="H62" s="42" t="b">
        <x:v>1</x:v>
      </x:c>
      <x:c r="I62" s="39" t="str">
        <x:v>High</x:v>
      </x:c>
      <x:c r="J62" s="39" t="str">
        <x:v>https://es.wikipedia.org/wiki/Bosque_de_Tl%C3%A1huac</x:v>
      </x:c>
      <x:c r="K62" s="39" t="str">
        <x:v>Artificial forest created from post-1985 earthquake debris; founded 1992.</x:v>
      </x:c>
    </x:row>
    <x:row r="63">
      <x:c r="A63" s="39" t="str">
        <x:v>Tláhuac</x:v>
      </x:c>
      <x:c r="B63" s="39" t="str">
        <x:v>Humedales de Tláhuac / Xochimilco system</x:v>
      </x:c>
      <x:c r="C63" s="39" t="str">
        <x:v>Wetlands</x:v>
      </x:c>
      <x:c r="D63" s="40" t="n">
        <x:v>400</x:v>
      </x:c>
      <x:c r="E63" s="40" t="n">
        <x:v>4000000</x:v>
      </x:c>
      <x:c r="F63" s="41"/>
      <x:c r="G63" s="41"/>
      <x:c r="H63" s="42" t="b">
        <x:v>0</x:v>
      </x:c>
      <x:c r="I63" s="39" t="str">
        <x:v>Medium</x:v>
      </x:c>
      <x:c r="J63" s="39" t="str">
        <x:v>https://www.sedema.cdmx.gob.mx/programas/programa/inventario-de-areas-verdes</x:v>
      </x:c>
      <x:c r="K63" s="39" t="str">
        <x:v>Part of larger wetland system; exact split/date not suitable for park metric.</x:v>
      </x:c>
    </x:row>
    <x:row r="64">
      <x:c r="A64" s="39" t="str">
        <x:v>Tláhuac</x:v>
      </x:c>
      <x:c r="B64" s="39" t="str">
        <x:v>Lago de los Reyes Aztecas</x:v>
      </x:c>
      <x:c r="C64" s="39" t="str">
        <x:v>Lake/park</x:v>
      </x:c>
      <x:c r="D64" s="40" t="n">
        <x:v>12</x:v>
      </x:c>
      <x:c r="E64" s="40" t="n">
        <x:v>120000</x:v>
      </x:c>
      <x:c r="F64" s="41"/>
      <x:c r="G64" s="41"/>
      <x:c r="H64" s="42" t="b">
        <x:v>0</x:v>
      </x:c>
      <x:c r="I64" s="39" t="str">
        <x:v>Low</x:v>
      </x:c>
      <x:c r="J64" s="39" t="str">
        <x:v>https://es.wikipedia.org/wiki/Lago_de_los_Reyes_Aztecas</x:v>
      </x:c>
      <x:c r="K64" s="39" t="str">
        <x:v>Needs size/date verification.</x:v>
      </x:c>
    </x:row>
    <x:row r="65">
      <x:c r="A65" s="39" t="str">
        <x:v>Tláhuac</x:v>
      </x:c>
      <x:c r="B65" s="39" t="str">
        <x:v>Parque Lineal Tláhuac</x:v>
      </x:c>
      <x:c r="C65" s="39" t="str">
        <x:v>Linear park</x:v>
      </x:c>
      <x:c r="D65" s="40" t="n">
        <x:v>5</x:v>
      </x:c>
      <x:c r="E65" s="40" t="n">
        <x:v>50000</x:v>
      </x:c>
      <x:c r="F65" s="41"/>
      <x:c r="G65" s="41"/>
      <x:c r="H65" s="42" t="b">
        <x:v>0</x:v>
      </x:c>
      <x:c r="I65" s="39" t="str">
        <x:v>Low</x:v>
      </x:c>
      <x:c r="J65" s="39" t="str">
        <x:v>https://mexicocity.cdmx.gob.mx/</x:v>
      </x:c>
      <x:c r="K65" s="39" t="str">
        <x:v>Needs verification.</x:v>
      </x:c>
    </x:row>
    <x:row r="66">
      <x:c r="A66" s="39" t="str">
        <x:v>Tláhuac</x:v>
      </x:c>
      <x:c r="B66" s="39" t="str">
        <x:v>Parque Juan Palomo Martínez</x:v>
      </x:c>
      <x:c r="C66" s="39" t="str">
        <x:v>Urban park</x:v>
      </x:c>
      <x:c r="D66" s="40" t="n">
        <x:v>2</x:v>
      </x:c>
      <x:c r="E66" s="40" t="n">
        <x:v>20000</x:v>
      </x:c>
      <x:c r="F66" s="41"/>
      <x:c r="G66" s="41"/>
      <x:c r="H66" s="42" t="b">
        <x:v>0</x:v>
      </x:c>
      <x:c r="I66" s="39" t="str">
        <x:v>Low</x:v>
      </x:c>
      <x:c r="J66" s="39" t="str">
        <x:v>https://mexicocity.cdmx.gob.mx/</x:v>
      </x:c>
      <x:c r="K66" s="39" t="str">
        <x:v>Needs verification.</x:v>
      </x:c>
    </x:row>
    <x:row r="67">
      <x:c r="A67" s="39" t="str">
        <x:v>Tlalpan</x:v>
      </x:c>
      <x:c r="B67" s="39" t="str">
        <x:v>Parque Ecológico de la Ciudad de México</x:v>
      </x:c>
      <x:c r="C67" s="39" t="str">
        <x:v>Protected ecological park</x:v>
      </x:c>
      <x:c r="D67" s="40" t="n">
        <x:v>700</x:v>
      </x:c>
      <x:c r="E67" s="40" t="n">
        <x:v>7000000</x:v>
      </x:c>
      <x:c r="F67" s="41" t="n">
        <x:v>1989</x:v>
      </x:c>
      <x:c r="G67" s="41" t="n">
        <x:v>1980</x:v>
      </x:c>
      <x:c r="H67" s="42" t="b">
        <x:v>1</x:v>
      </x:c>
      <x:c r="I67" s="39" t="str">
        <x:v>High</x:v>
      </x:c>
      <x:c r="J67" s="39" t="str">
        <x:v>https://es.wikipedia.org/wiki/Parque_Ecol%C3%B3gico_de_la_Ciudad_de_M%C3%A9xico</x:v>
      </x:c>
      <x:c r="K67" s="39" t="str">
        <x:v>Designated protected area in 1989; area ~700 ha.</x:v>
      </x:c>
    </x:row>
    <x:row r="68">
      <x:c r="A68" s="39" t="str">
        <x:v>Tlalpan</x:v>
      </x:c>
      <x:c r="B68" s="39" t="str">
        <x:v>Bosque de Tlalpan</x:v>
      </x:c>
      <x:c r="C68" s="39" t="str">
        <x:v>Protected urban forest</x:v>
      </x:c>
      <x:c r="D68" s="40" t="n">
        <x:v>253</x:v>
      </x:c>
      <x:c r="E68" s="40" t="n">
        <x:v>2530000</x:v>
      </x:c>
      <x:c r="F68" s="41" t="n">
        <x:v>1997</x:v>
      </x:c>
      <x:c r="G68" s="41" t="n">
        <x:v>1990</x:v>
      </x:c>
      <x:c r="H68" s="42" t="b">
        <x:v>1</x:v>
      </x:c>
      <x:c r="I68" s="39" t="str">
        <x:v>High</x:v>
      </x:c>
      <x:c r="J68" s="39" t="str">
        <x:v>https://www.bosquedetlalpan.org.mx/</x:v>
      </x:c>
      <x:c r="K68" s="39" t="str">
        <x:v>ANP; 252-253 ha.</x:v>
      </x:c>
    </x:row>
    <x:row r="69">
      <x:c r="A69" s="39" t="str">
        <x:v>Tlalpan</x:v>
      </x:c>
      <x:c r="B69" s="39" t="str">
        <x:v>Parque Nacional Fuentes Brotantes de Tlalpan</x:v>
      </x:c>
      <x:c r="C69" s="39" t="str">
        <x:v>National park</x:v>
      </x:c>
      <x:c r="D69" s="40" t="n">
        <x:v>129</x:v>
      </x:c>
      <x:c r="E69" s="40" t="n">
        <x:v>1290000</x:v>
      </x:c>
      <x:c r="F69" s="41" t="n">
        <x:v>1936</x:v>
      </x:c>
      <x:c r="G69" s="41" t="n">
        <x:v>1930</x:v>
      </x:c>
      <x:c r="H69" s="42" t="b">
        <x:v>1</x:v>
      </x:c>
      <x:c r="I69" s="39" t="str">
        <x:v>High</x:v>
      </x:c>
      <x:c r="J69" s="39" t="str">
        <x:v>https://descubreanp.conanp.gob.mx/es/conanp/ANP?suri=65</x:v>
      </x:c>
      <x:c r="K69" s="39" t="str">
        <x:v>CONANP: decree 28 Sep 1936, 129 ha.</x:v>
      </x:c>
    </x:row>
    <x:row r="70">
      <x:c r="A70" s="39" t="str">
        <x:v>Tlalpan</x:v>
      </x:c>
      <x:c r="B70" s="39" t="str">
        <x:v>Parque Nacional Cumbres del Ajusco</x:v>
      </x:c>
      <x:c r="C70" s="39" t="str">
        <x:v>National park</x:v>
      </x:c>
      <x:c r="D70" s="40" t="n">
        <x:v>920</x:v>
      </x:c>
      <x:c r="E70" s="40" t="n">
        <x:v>9200000</x:v>
      </x:c>
      <x:c r="F70" s="41" t="n">
        <x:v>1936</x:v>
      </x:c>
      <x:c r="G70" s="41" t="n">
        <x:v>1930</x:v>
      </x:c>
      <x:c r="H70" s="42" t="b">
        <x:v>1</x:v>
      </x:c>
      <x:c r="I70" s="39" t="str">
        <x:v>Medium</x:v>
      </x:c>
      <x:c r="J70" s="39" t="str">
        <x:v>https://es.wikipedia.org/wiki/Parque_nacional_Cumbres_del_Ajusco</x:v>
      </x:c>
      <x:c r="K70" s="39" t="str">
        <x:v>Large national park; borough allocation should be checked.</x:v>
      </x:c>
    </x:row>
    <x:row r="71">
      <x:c r="A71" s="39" t="str">
        <x:v>Tlalpan</x:v>
      </x:c>
      <x:c r="B71" s="39" t="str">
        <x:v>Parque Loreto y Peña Pobre / Cuicuilco area</x:v>
      </x:c>
      <x:c r="C71" s="39" t="str">
        <x:v>Urban park</x:v>
      </x:c>
      <x:c r="D71" s="40" t="n">
        <x:v>8</x:v>
      </x:c>
      <x:c r="E71" s="40" t="n">
        <x:v>80000</x:v>
      </x:c>
      <x:c r="F71" s="41"/>
      <x:c r="G71" s="41"/>
      <x:c r="H71" s="42" t="b">
        <x:v>0</x:v>
      </x:c>
      <x:c r="I71" s="39" t="str">
        <x:v>Low</x:v>
      </x:c>
      <x:c r="J71" s="39" t="str">
        <x:v>https://mexicocity.cdmx.gob.mx/</x:v>
      </x:c>
      <x:c r="K71" s="39" t="str">
        <x:v>Needs verification.</x:v>
      </x:c>
    </x:row>
    <x:row r="72">
      <x:c r="A72" s="39" t="str">
        <x:v>Venustiano Carranza</x:v>
      </x:c>
      <x:c r="B72" s="39" t="str">
        <x:v>Alameda Oriente</x:v>
      </x:c>
      <x:c r="C72" s="39" t="str">
        <x:v>Urban park</x:v>
      </x:c>
      <x:c r="D72" s="40" t="n">
        <x:v>82</x:v>
      </x:c>
      <x:c r="E72" s="40" t="n">
        <x:v>820000</x:v>
      </x:c>
      <x:c r="F72" s="41" t="n">
        <x:v>1987</x:v>
      </x:c>
      <x:c r="G72" s="41" t="n">
        <x:v>1980</x:v>
      </x:c>
      <x:c r="H72" s="42" t="b">
        <x:v>1</x:v>
      </x:c>
      <x:c r="I72" s="39" t="str">
        <x:v>Medium</x:v>
      </x:c>
      <x:c r="J72" s="39" t="str">
        <x:v>https://es.wikipedia.org/wiki/Alameda_Oriente</x:v>
      </x:c>
      <x:c r="K72" s="39" t="str">
        <x:v>Large park east of airport; date approximate.</x:v>
      </x:c>
    </x:row>
    <x:row r="73">
      <x:c r="A73" s="39" t="str">
        <x:v>Venustiano Carranza</x:v>
      </x:c>
      <x:c r="B73" s="39" t="str">
        <x:v>Parque Lineal Gran Canal (segment)</x:v>
      </x:c>
      <x:c r="C73" s="39" t="str">
        <x:v>Linear park</x:v>
      </x:c>
      <x:c r="D73" s="40" t="n">
        <x:v>8</x:v>
      </x:c>
      <x:c r="E73" s="40" t="n">
        <x:v>80000</x:v>
      </x:c>
      <x:c r="F73" s="41" t="n">
        <x:v>2021</x:v>
      </x:c>
      <x:c r="G73" s="41" t="n">
        <x:v>2020</x:v>
      </x:c>
      <x:c r="H73" s="42" t="b">
        <x:v>1</x:v>
      </x:c>
      <x:c r="I73" s="39" t="str">
        <x:v>Medium</x:v>
      </x:c>
      <x:c r="J73" s="39" t="str">
        <x:v>https://es.wikipedia.org/wiki/Parque_Lineal_Gran_Canal</x:v>
      </x:c>
      <x:c r="K73" s="39" t="str">
        <x:v>Segment allocation approximate; verify actual split.</x:v>
      </x:c>
    </x:row>
    <x:row r="74">
      <x:c r="A74" s="39" t="str">
        <x:v>Venustiano Carranza</x:v>
      </x:c>
      <x:c r="B74" s="39" t="str">
        <x:v>Jardín Balbuena / neighborhood park system</x:v>
      </x:c>
      <x:c r="C74" s="39" t="str">
        <x:v>Urban green areas</x:v>
      </x:c>
      <x:c r="D74" s="40" t="n">
        <x:v>10</x:v>
      </x:c>
      <x:c r="E74" s="40" t="n">
        <x:v>100000</x:v>
      </x:c>
      <x:c r="F74" s="41"/>
      <x:c r="G74" s="41"/>
      <x:c r="H74" s="42" t="b">
        <x:v>0</x:v>
      </x:c>
      <x:c r="I74" s="39" t="str">
        <x:v>Low</x:v>
      </x:c>
      <x:c r="J74" s="39" t="str">
        <x:v>https://mexicocity.cdmx.gob.mx/venues/jardin-balbuena/</x:v>
      </x:c>
      <x:c r="K74" s="39" t="str">
        <x:v>Needs verification.</x:v>
      </x:c>
    </x:row>
    <x:row r="75">
      <x:c r="A75" s="39" t="str">
        <x:v>Venustiano Carranza</x:v>
      </x:c>
      <x:c r="B75" s="39" t="str">
        <x:v>Parque Fortino Serrano</x:v>
      </x:c>
      <x:c r="C75" s="39" t="str">
        <x:v>Urban park</x:v>
      </x:c>
      <x:c r="D75" s="40" t="n">
        <x:v>2</x:v>
      </x:c>
      <x:c r="E75" s="40" t="n">
        <x:v>20000</x:v>
      </x:c>
      <x:c r="F75" s="41"/>
      <x:c r="G75" s="41"/>
      <x:c r="H75" s="42" t="b">
        <x:v>0</x:v>
      </x:c>
      <x:c r="I75" s="39" t="str">
        <x:v>Low</x:v>
      </x:c>
      <x:c r="J75" s="39" t="str">
        <x:v>https://mexicocity.cdmx.gob.mx/</x:v>
      </x:c>
      <x:c r="K75" s="39" t="str">
        <x:v>Needs verification.</x:v>
      </x:c>
    </x:row>
    <x:row r="76">
      <x:c r="A76" s="39" t="str">
        <x:v>Venustiano Carranza</x:v>
      </x:c>
      <x:c r="B76" s="39" t="str">
        <x:v>Parque Ícaro</x:v>
      </x:c>
      <x:c r="C76" s="39" t="str">
        <x:v>Urban park</x:v>
      </x:c>
      <x:c r="D76" s="40" t="n">
        <x:v>2</x:v>
      </x:c>
      <x:c r="E76" s="40" t="n">
        <x:v>20000</x:v>
      </x:c>
      <x:c r="F76" s="41"/>
      <x:c r="G76" s="41"/>
      <x:c r="H76" s="42" t="b">
        <x:v>0</x:v>
      </x:c>
      <x:c r="I76" s="39" t="str">
        <x:v>Low</x:v>
      </x:c>
      <x:c r="J76" s="39" t="str">
        <x:v>https://mexicocity.cdmx.gob.mx/</x:v>
      </x:c>
      <x:c r="K76" s="39" t="str">
        <x:v>Needs verification.</x:v>
      </x:c>
    </x:row>
    <x:row r="77">
      <x:c r="A77" s="39" t="str">
        <x:v>Xochimilco</x:v>
      </x:c>
      <x:c r="B77" s="39" t="str">
        <x:v>Parque Ecológico Xochimilco</x:v>
      </x:c>
      <x:c r="C77" s="39" t="str">
        <x:v>Ecological park</x:v>
      </x:c>
      <x:c r="D77" s="40" t="n">
        <x:v>148</x:v>
      </x:c>
      <x:c r="E77" s="40" t="n">
        <x:v>1480000</x:v>
      </x:c>
      <x:c r="F77" s="41" t="n">
        <x:v>1993</x:v>
      </x:c>
      <x:c r="G77" s="41" t="n">
        <x:v>1990</x:v>
      </x:c>
      <x:c r="H77" s="42" t="b">
        <x:v>1</x:v>
      </x:c>
      <x:c r="I77" s="39" t="str">
        <x:v>High</x:v>
      </x:c>
      <x:c r="J77" s="39" t="str">
        <x:v>https://es.wikipedia.org/wiki/Parque_Ecol%C3%B3gico_Xochimilco</x:v>
      </x:c>
      <x:c r="K77" s="39" t="str">
        <x:v>Original opening 1993; size varies by source.</x:v>
      </x:c>
    </x:row>
    <x:row r="78">
      <x:c r="A78" s="39" t="str">
        <x:v>Xochimilco</x:v>
      </x:c>
      <x:c r="B78" s="39" t="str">
        <x:v>Ejidos de Xochimilco y San Gregorio Atlapulco</x:v>
      </x:c>
      <x:c r="C78" s="39" t="str">
        <x:v>Protected lake/chinampa landscape</x:v>
      </x:c>
      <x:c r="D78" s="40" t="n">
        <x:v>2657</x:v>
      </x:c>
      <x:c r="E78" s="40" t="n">
        <x:v>26570000</x:v>
      </x:c>
      <x:c r="F78" s="41" t="n">
        <x:v>1992</x:v>
      </x:c>
      <x:c r="G78" s="41" t="n">
        <x:v>1990</x:v>
      </x:c>
      <x:c r="H78" s="42" t="b">
        <x:v>0</x:v>
      </x:c>
      <x:c r="I78" s="39" t="str">
        <x:v>Medium</x:v>
      </x:c>
      <x:c r="J78" s="39" t="str">
        <x:v>https://www.sedema.cdmx.gob.mx/programas/programa/inventario-de-areas-verdes</x:v>
      </x:c>
      <x:c r="K78" s="39" t="str">
        <x:v>Huge protected system; excluded from metric to avoid overwhelming borough park access.</x:v>
      </x:c>
    </x:row>
    <x:row r="79">
      <x:c r="A79" s="39" t="str">
        <x:v>Xochimilco</x:v>
      </x:c>
      <x:c r="B79" s="39" t="str">
        <x:v>Bosque de Nativitas</x:v>
      </x:c>
      <x:c r="C79" s="39" t="str">
        <x:v>Urban forest</x:v>
      </x:c>
      <x:c r="D79" s="40" t="n">
        <x:v>17</x:v>
      </x:c>
      <x:c r="E79" s="40" t="n">
        <x:v>170000</x:v>
      </x:c>
      <x:c r="F79" s="41"/>
      <x:c r="G79" s="41"/>
      <x:c r="H79" s="42" t="b">
        <x:v>0</x:v>
      </x:c>
      <x:c r="I79" s="39" t="str">
        <x:v>Low</x:v>
      </x:c>
      <x:c r="J79" s="39" t="str">
        <x:v>https://mexicocity.cdmx.gob.mx/venues/bosque-de-nativitas/</x:v>
      </x:c>
      <x:c r="K79" s="39" t="str">
        <x:v>Needs inauguration date verification.</x:v>
      </x:c>
    </x:row>
    <x:row r="80">
      <x:c r="A80" s="39" t="str">
        <x:v>Xochimilco</x:v>
      </x:c>
      <x:c r="B80" s="39" t="str">
        <x:v>Parque Ecológico Cuemanco / embarcadero area</x:v>
      </x:c>
      <x:c r="C80" s="39" t="str">
        <x:v>Ecological park/market area</x:v>
      </x:c>
      <x:c r="D80" s="40" t="n">
        <x:v>20</x:v>
      </x:c>
      <x:c r="E80" s="40" t="n">
        <x:v>200000</x:v>
      </x:c>
      <x:c r="F80" s="41"/>
      <x:c r="G80" s="41"/>
      <x:c r="H80" s="42" t="b">
        <x:v>0</x:v>
      </x:c>
      <x:c r="I80" s="39" t="str">
        <x:v>Low</x:v>
      </x:c>
      <x:c r="J80" s="39" t="str">
        <x:v>https://gdu.com.mx/proyecto/parque-ecologico-xochimilco/</x:v>
      </x:c>
      <x:c r="K80" s="39" t="str">
        <x:v>Part of Xochimilco ecological system; date/area needs precise split.</x:v>
      </x:c>
    </x:row>
    <x:row r="81">
      <x:c r="A81" s="39" t="str">
        <x:v>Xochimilco</x:v>
      </x:c>
      <x:c r="B81" s="39" t="str">
        <x:v>Deportivo Xochimilco green areas</x:v>
      </x:c>
      <x:c r="C81" s="39" t="str">
        <x:v>Sports/green complex</x:v>
      </x:c>
      <x:c r="D81" s="40" t="n">
        <x:v>6</x:v>
      </x:c>
      <x:c r="E81" s="40" t="n">
        <x:v>60000</x:v>
      </x:c>
      <x:c r="F81" s="41"/>
      <x:c r="G81" s="41"/>
      <x:c r="H81" s="42" t="b">
        <x:v>0</x:v>
      </x:c>
      <x:c r="I81" s="39" t="str">
        <x:v>Low</x:v>
      </x:c>
      <x:c r="J81" s="39" t="str">
        <x:v>https://mexicocity.cdmx.gob.mx/</x:v>
      </x:c>
      <x:c r="K81" s="39" t="str">
        <x:v>Needs verification.</x:v>
      </x:c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</x:row>
  </x:sheetData>
  <x:conditionalFormatting sqref="I2:I81">
    <x:cfRule type="expression" dxfId="0" priority="1">
      <x:formula>$I2="Low"</x:formula>
    </x:cfRule>
  </x:conditionalFormatting>
  <x:conditionalFormatting sqref="H2:H81">
    <x:cfRule type="expression" dxfId="1" priority="2">
      <x:formula>$H2=FALSE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1a9cefefb145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5" hidden="0" customWidth="1"/>
  </x:cols>
  <x:sheetData>
    <x:row r="1">
      <x:c r="A1" s="38" t="str">
        <x:v>Decade</x:v>
      </x:c>
      <x:c r="B1" s="38" t="str">
        <x:v>Alcaldía</x:v>
      </x:c>
      <x:c r="C1" s="38" t="str">
        <x:v>Population in decade</x:v>
      </x:c>
      <x:c r="D1" s="38" t="str">
        <x:v>Cumulative dated major green m² (capped at SEDEMA current total)</x:v>
      </x:c>
      <x:c r="E1" s="38" t="str">
        <x:v>m² per capita - dated major green spaces</x:v>
      </x:c>
      <x:c r="F1" s="38" t="str">
        <x:v>SEDEMA current green total m²</x:v>
      </x:c>
      <x:c r="G1" s="38" t="str">
        <x:v>Current SEDEMA total / decade population</x:v>
      </x:c>
      <x:c r="H1" s="38" t="str">
        <x:v>Dated major m² as % of current SEDEMA total</x:v>
      </x:c>
      <x:c r="I1" s="38" t="str">
        <x:v>Formula / interpretation</x:v>
      </x:c>
    </x:row>
    <x:row r="2">
      <x:c r="A2" s="39" t="n">
        <x:v>1860</x:v>
      </x:c>
      <x:c r="B2" s="39" t="str">
        <x:v>Álvaro Obregón</x:v>
      </x:c>
      <x:c r="C2" s="56" t="n">
        <x:v>5363</x:v>
      </x:c>
      <x:c r="D2" s="56" t="n">
        <x:f>MIN(SUMIFS('Park Catalog'!$E:$E,'Park Catalog'!$A:$A,$B2,'Park Catalog'!$G:$G,"&lt;="&amp;$A2,'Park Catalog'!$H:$H,TRUE),$F2)</x:f>
        <x:v>0</x:v>
      </x:c>
      <x:c r="E2" s="57" t="n">
        <x:f>IFERROR($D2/$C2,"")</x:f>
        <x:v>0</x:v>
      </x:c>
      <x:c r="F2" s="58" t="n">
        <x:v>4913463.7</x:v>
      </x:c>
      <x:c r="G2" s="58" t="n">
        <x:f>IFERROR($F2/$C2,"")</x:f>
        <x:v>916.1782024986015</x:v>
      </x:c>
      <x:c r="H2" s="59" t="n">
        <x:f>IFERROR($D2/$F2,"")</x:f>
        <x:v>0</x:v>
      </x:c>
      <x:c r="I2" s="39" t="str">
        <x:v>Historical reconstruction from dated major parks; compare with current SEDEMA total.</x:v>
      </x:c>
    </x:row>
    <x:row r="3">
      <x:c r="A3" s="39" t="n">
        <x:v>1860</x:v>
      </x:c>
      <x:c r="B3" s="39" t="str">
        <x:v>Azcapotzalco</x:v>
      </x:c>
      <x:c r="C3" s="56" t="n">
        <x:v>4916</x:v>
      </x:c>
      <x:c r="D3" s="56" t="n">
        <x:f>MIN(SUMIFS('Park Catalog'!$E:$E,'Park Catalog'!$A:$A,$B3,'Park Catalog'!$G:$G,"&lt;="&amp;$A3,'Park Catalog'!$H:$H,TRUE),$F3)</x:f>
        <x:v>0</x:v>
      </x:c>
      <x:c r="E3" s="57" t="n">
        <x:f>IFERROR($D3/$C3,"")</x:f>
        <x:v>0</x:v>
      </x:c>
      <x:c r="F3" s="58" t="n">
        <x:v>3980866.7</x:v>
      </x:c>
      <x:c r="G3" s="58" t="n">
        <x:f>IFERROR($F3/$C3,"")</x:f>
        <x:v>809.7776037428804</x:v>
      </x:c>
      <x:c r="H3" s="59" t="n">
        <x:f>IFERROR($D3/$F3,"")</x:f>
        <x:v>0</x:v>
      </x:c>
      <x:c r="I3" s="39" t="str">
        <x:v>Historical reconstruction from dated major parks; compare with current SEDEMA total.</x:v>
      </x:c>
    </x:row>
    <x:row r="4">
      <x:c r="A4" s="39" t="n">
        <x:v>1860</x:v>
      </x:c>
      <x:c r="B4" s="39" t="str">
        <x:v>Benito Juárez</x:v>
      </x:c>
      <x:c r="C4" s="56" t="n">
        <x:v>31283</x:v>
      </x:c>
      <x:c r="D4" s="56" t="n">
        <x:f>MIN(SUMIFS('Park Catalog'!$E:$E,'Park Catalog'!$A:$A,$B4,'Park Catalog'!$G:$G,"&lt;="&amp;$A4,'Park Catalog'!$H:$H,TRUE),$F4)</x:f>
        <x:v>0</x:v>
      </x:c>
      <x:c r="E4" s="57" t="n">
        <x:f>IFERROR($D4/$C4,"")</x:f>
        <x:v>0</x:v>
      </x:c>
      <x:c r="F4" s="58" t="n">
        <x:v>929230.8</x:v>
      </x:c>
      <x:c r="G4" s="58" t="n">
        <x:f>IFERROR($F4/$C4,"")</x:f>
        <x:v>29.704018156826393</x:v>
      </x:c>
      <x:c r="H4" s="59" t="n">
        <x:f>IFERROR($D4/$F4,"")</x:f>
        <x:v>0</x:v>
      </x:c>
      <x:c r="I4" s="39" t="str">
        <x:v>Historical reconstruction from dated major parks; compare with current SEDEMA total.</x:v>
      </x:c>
    </x:row>
    <x:row r="5">
      <x:c r="A5" s="39" t="n">
        <x:v>1860</x:v>
      </x:c>
      <x:c r="B5" s="39" t="str">
        <x:v>Coyoacán</x:v>
      </x:c>
      <x:c r="C5" s="56" t="n">
        <x:v>4022</x:v>
      </x:c>
      <x:c r="D5" s="56" t="n">
        <x:f>MIN(SUMIFS('Park Catalog'!$E:$E,'Park Catalog'!$A:$A,$B5,'Park Catalog'!$G:$G,"&lt;="&amp;$A5,'Park Catalog'!$H:$H,TRUE),$F5)</x:f>
        <x:v>0</x:v>
      </x:c>
      <x:c r="E5" s="57" t="n">
        <x:f>IFERROR($D5/$C5,"")</x:f>
        <x:v>0</x:v>
      </x:c>
      <x:c r="F5" s="58" t="n">
        <x:v>9157547.7</x:v>
      </x:c>
      <x:c r="G5" s="58" t="n">
        <x:f>IFERROR($F5/$C5,"")</x:f>
        <x:v>2276.8641720537044</x:v>
      </x:c>
      <x:c r="H5" s="59" t="n">
        <x:f>IFERROR($D5/$F5,"")</x:f>
        <x:v>0</x:v>
      </x:c>
      <x:c r="I5" s="39" t="str">
        <x:v>Historical reconstruction from dated major parks; compare with current SEDEMA total.</x:v>
      </x:c>
    </x:row>
    <x:row r="6">
      <x:c r="A6" s="39" t="n">
        <x:v>1860</x:v>
      </x:c>
      <x:c r="B6" s="39" t="str">
        <x:v>Cuajimalpa de Morelos</x:v>
      </x:c>
      <x:c r="C6" s="56" t="n">
        <x:v>2234</x:v>
      </x:c>
      <x:c r="D6" s="56" t="n">
        <x:f>MIN(SUMIFS('Park Catalog'!$E:$E,'Park Catalog'!$A:$A,$B6,'Park Catalog'!$G:$G,"&lt;="&amp;$A6,'Park Catalog'!$H:$H,TRUE),$F6)</x:f>
        <x:v>0</x:v>
      </x:c>
      <x:c r="E6" s="57" t="n">
        <x:f>IFERROR($D6/$C6,"")</x:f>
        <x:v>0</x:v>
      </x:c>
      <x:c r="F6" s="58" t="n">
        <x:v>2048957.7</x:v>
      </x:c>
      <x:c r="G6" s="58" t="n">
        <x:f>IFERROR($F6/$C6,"")</x:f>
        <x:v>917.1699641897941</x:v>
      </x:c>
      <x:c r="H6" s="59" t="n">
        <x:f>IFERROR($D6/$F6,"")</x:f>
        <x:v>0</x:v>
      </x:c>
      <x:c r="I6" s="39" t="str">
        <x:v>Historical reconstruction from dated major parks; compare with current SEDEMA total.</x:v>
      </x:c>
    </x:row>
    <x:row r="7">
      <x:c r="A7" s="39" t="n">
        <x:v>1860</x:v>
      </x:c>
      <x:c r="B7" s="39" t="str">
        <x:v>Cuauhtémoc</x:v>
      </x:c>
      <x:c r="C7" s="56" t="n">
        <x:v>71503</x:v>
      </x:c>
      <x:c r="D7" s="56" t="n">
        <x:f>MIN(SUMIFS('Park Catalog'!$E:$E,'Park Catalog'!$A:$A,$B7,'Park Catalog'!$G:$G,"&lt;="&amp;$A7,'Park Catalog'!$H:$H,TRUE),$F7)</x:f>
        <x:v>0</x:v>
      </x:c>
      <x:c r="E7" s="57" t="n">
        <x:f>IFERROR($D7/$C7,"")</x:f>
        <x:v>0</x:v>
      </x:c>
      <x:c r="F7" s="58" t="n">
        <x:v>1915961</x:v>
      </x:c>
      <x:c r="G7" s="58" t="n">
        <x:f>IFERROR($F7/$C7,"")</x:f>
        <x:v>26.79553305455715</x:v>
      </x:c>
      <x:c r="H7" s="59" t="n">
        <x:f>IFERROR($D7/$F7,"")</x:f>
        <x:v>0</x:v>
      </x:c>
      <x:c r="I7" s="39" t="str">
        <x:v>Historical reconstruction from dated major parks; compare with current SEDEMA total.</x:v>
      </x:c>
    </x:row>
    <x:row r="8">
      <x:c r="A8" s="39" t="n">
        <x:v>1860</x:v>
      </x:c>
      <x:c r="B8" s="39" t="str">
        <x:v>Gustavo A. Madero</x:v>
      </x:c>
      <x:c r="C8" s="56" t="n">
        <x:v>4469</x:v>
      </x:c>
      <x:c r="D8" s="56" t="n">
        <x:f>MIN(SUMIFS('Park Catalog'!$E:$E,'Park Catalog'!$A:$A,$B8,'Park Catalog'!$G:$G,"&lt;="&amp;$A8,'Park Catalog'!$H:$H,TRUE),$F8)</x:f>
        <x:v>0</x:v>
      </x:c>
      <x:c r="E8" s="57" t="n">
        <x:f>IFERROR($D8/$C8,"")</x:f>
        <x:v>0</x:v>
      </x:c>
      <x:c r="F8" s="58" t="n">
        <x:v>7851619.6</x:v>
      </x:c>
      <x:c r="G8" s="58" t="n">
        <x:f>IFERROR($F8/$C8,"")</x:f>
        <x:v>1756.9074960841351</x:v>
      </x:c>
      <x:c r="H8" s="59" t="n">
        <x:f>IFERROR($D8/$F8,"")</x:f>
        <x:v>0</x:v>
      </x:c>
      <x:c r="I8" s="39" t="str">
        <x:v>Historical reconstruction from dated major parks; compare with current SEDEMA total.</x:v>
      </x:c>
    </x:row>
    <x:row r="9">
      <x:c r="A9" s="39" t="n">
        <x:v>1860</x:v>
      </x:c>
      <x:c r="B9" s="39" t="str">
        <x:v>Iztacalco</x:v>
      </x:c>
      <x:c r="C9" s="56" t="n">
        <x:v>2011</x:v>
      </x:c>
      <x:c r="D9" s="56" t="n">
        <x:f>MIN(SUMIFS('Park Catalog'!$E:$E,'Park Catalog'!$A:$A,$B9,'Park Catalog'!$G:$G,"&lt;="&amp;$A9,'Park Catalog'!$H:$H,TRUE),$F9)</x:f>
        <x:v>0</x:v>
      </x:c>
      <x:c r="E9" s="57" t="n">
        <x:f>IFERROR($D9/$C9,"")</x:f>
        <x:v>0</x:v>
      </x:c>
      <x:c r="F9" s="58" t="n">
        <x:v>1944289</x:v>
      </x:c>
      <x:c r="G9" s="58" t="n">
        <x:f>IFERROR($F9/$C9,"")</x:f>
        <x:v>966.8269517652909</x:v>
      </x:c>
      <x:c r="H9" s="59" t="n">
        <x:f>IFERROR($D9/$F9,"")</x:f>
        <x:v>0</x:v>
      </x:c>
      <x:c r="I9" s="39" t="str">
        <x:v>Historical reconstruction from dated major parks; compare with current SEDEMA total.</x:v>
      </x:c>
    </x:row>
    <x:row r="10">
      <x:c r="A10" s="39" t="n">
        <x:v>1860</x:v>
      </x:c>
      <x:c r="B10" s="39" t="str">
        <x:v>Iztapalapa</x:v>
      </x:c>
      <x:c r="C10" s="56" t="n">
        <x:v>5363</x:v>
      </x:c>
      <x:c r="D10" s="56" t="n">
        <x:f>MIN(SUMIFS('Park Catalog'!$E:$E,'Park Catalog'!$A:$A,$B10,'Park Catalog'!$G:$G,"&lt;="&amp;$A10,'Park Catalog'!$H:$H,TRUE),$F10)</x:f>
        <x:v>0</x:v>
      </x:c>
      <x:c r="E10" s="57" t="n">
        <x:f>IFERROR($D10/$C10,"")</x:f>
        <x:v>0</x:v>
      </x:c>
      <x:c r="F10" s="58" t="n">
        <x:v>9834858.6</x:v>
      </x:c>
      <x:c r="G10" s="58" t="n">
        <x:f>IFERROR($F10/$C10,"")</x:f>
        <x:v>1833.835278761887</x:v>
      </x:c>
      <x:c r="H10" s="59" t="n">
        <x:f>IFERROR($D10/$F10,"")</x:f>
        <x:v>0</x:v>
      </x:c>
      <x:c r="I10" s="39" t="str">
        <x:v>Historical reconstruction from dated major parks; compare with current SEDEMA total.</x:v>
      </x:c>
    </x:row>
    <x:row r="11">
      <x:c r="A11" s="39" t="n">
        <x:v>1860</x:v>
      </x:c>
      <x:c r="B11" s="39" t="str">
        <x:v>La Magdalena Contreras</x:v>
      </x:c>
      <x:c r="C11" s="56" t="n">
        <x:v>1564</x:v>
      </x:c>
      <x:c r="D11" s="56" t="n">
        <x:f>MIN(SUMIFS('Park Catalog'!$E:$E,'Park Catalog'!$A:$A,$B11,'Park Catalog'!$G:$G,"&lt;="&amp;$A11,'Park Catalog'!$H:$H,TRUE),$F11)</x:f>
        <x:v>0</x:v>
      </x:c>
      <x:c r="E11" s="57" t="n">
        <x:f>IFERROR($D11/$C11,"")</x:f>
        <x:v>0</x:v>
      </x:c>
      <x:c r="F11" s="58" t="n">
        <x:v>1335114.4</x:v>
      </x:c>
      <x:c r="G11" s="58" t="n">
        <x:f>IFERROR($F11/$C11,"")</x:f>
        <x:v>853.6537084398976</x:v>
      </x:c>
      <x:c r="H11" s="59" t="n">
        <x:f>IFERROR($D11/$F11,"")</x:f>
        <x:v>0</x:v>
      </x:c>
      <x:c r="I11" s="39" t="str">
        <x:v>Historical reconstruction from dated major parks; compare with current SEDEMA total.</x:v>
      </x:c>
    </x:row>
    <x:row r="12">
      <x:c r="A12" s="39" t="n">
        <x:v>1860</x:v>
      </x:c>
      <x:c r="B12" s="39" t="str">
        <x:v>Miguel Hidalgo</x:v>
      </x:c>
      <x:c r="C12" s="56" t="n">
        <x:v>33517</x:v>
      </x:c>
      <x:c r="D12" s="56" t="n">
        <x:f>MIN(SUMIFS('Park Catalog'!$E:$E,'Park Catalog'!$A:$A,$B12,'Park Catalog'!$G:$G,"&lt;="&amp;$A12,'Park Catalog'!$H:$H,TRUE),$F12)</x:f>
        <x:v>0</x:v>
      </x:c>
      <x:c r="E12" s="57" t="n">
        <x:f>IFERROR($D12/$C12,"")</x:f>
        <x:v>0</x:v>
      </x:c>
      <x:c r="F12" s="58" t="n">
        <x:v>5607701.5</x:v>
      </x:c>
      <x:c r="G12" s="58" t="n">
        <x:f>IFERROR($F12/$C12,"")</x:f>
        <x:v>167.3091714652266</x:v>
      </x:c>
      <x:c r="H12" s="59" t="n">
        <x:f>IFERROR($D12/$F12,"")</x:f>
        <x:v>0</x:v>
      </x:c>
      <x:c r="I12" s="39" t="str">
        <x:v>Historical reconstruction from dated major parks; compare with current SEDEMA total.</x:v>
      </x:c>
    </x:row>
    <x:row r="13">
      <x:c r="A13" s="39" t="n">
        <x:v>1860</x:v>
      </x:c>
      <x:c r="B13" s="39" t="str">
        <x:v>Milpa Alta</x:v>
      </x:c>
      <x:c r="C13" s="56" t="n">
        <x:v>4022</x:v>
      </x:c>
      <x:c r="D13" s="56" t="n">
        <x:f>MIN(SUMIFS('Park Catalog'!$E:$E,'Park Catalog'!$A:$A,$B13,'Park Catalog'!$G:$G,"&lt;="&amp;$A13,'Park Catalog'!$H:$H,TRUE),$F13)</x:f>
        <x:v>0</x:v>
      </x:c>
      <x:c r="E13" s="57" t="n">
        <x:f>IFERROR($D13/$C13,"")</x:f>
        <x:v>0</x:v>
      </x:c>
      <x:c r="F13" s="58" t="n">
        <x:v>309724</x:v>
      </x:c>
      <x:c r="G13" s="58" t="n">
        <x:f>IFERROR($F13/$C13,"")</x:f>
        <x:v>77.00745897563401</x:v>
      </x:c>
      <x:c r="H13" s="59" t="n">
        <x:f>IFERROR($D13/$F13,"")</x:f>
        <x:v>0</x:v>
      </x:c>
      <x:c r="I13" s="39" t="str">
        <x:v>Historical reconstruction from dated major parks; compare with current SEDEMA total.</x:v>
      </x:c>
    </x:row>
    <x:row r="14">
      <x:c r="A14" s="39" t="n">
        <x:v>1860</x:v>
      </x:c>
      <x:c r="B14" s="39" t="str">
        <x:v>Tláhuac</x:v>
      </x:c>
      <x:c r="C14" s="56" t="n">
        <x:v>1564</x:v>
      </x:c>
      <x:c r="D14" s="56" t="n">
        <x:f>MIN(SUMIFS('Park Catalog'!$E:$E,'Park Catalog'!$A:$A,$B14,'Park Catalog'!$G:$G,"&lt;="&amp;$A14,'Park Catalog'!$H:$H,TRUE),$F14)</x:f>
        <x:v>0</x:v>
      </x:c>
      <x:c r="E14" s="57" t="n">
        <x:f>IFERROR($D14/$C14,"")</x:f>
        <x:v>0</x:v>
      </x:c>
      <x:c r="F14" s="58" t="n">
        <x:v>3054084.7</x:v>
      </x:c>
      <x:c r="G14" s="58" t="n">
        <x:f>IFERROR($F14/$C14,"")</x:f>
        <x:v>1952.7395780051152</x:v>
      </x:c>
      <x:c r="H14" s="59" t="n">
        <x:f>IFERROR($D14/$F14,"")</x:f>
        <x:v>0</x:v>
      </x:c>
      <x:c r="I14" s="39" t="str">
        <x:v>Historical reconstruction from dated major parks; compare with current SEDEMA total.</x:v>
      </x:c>
    </x:row>
    <x:row r="15">
      <x:c r="A15" s="39" t="n">
        <x:v>1860</x:v>
      </x:c>
      <x:c r="B15" s="39" t="str">
        <x:v>Tlalpan</x:v>
      </x:c>
      <x:c r="C15" s="56" t="n">
        <x:v>2681</x:v>
      </x:c>
      <x:c r="D15" s="56" t="n">
        <x:f>MIN(SUMIFS('Park Catalog'!$E:$E,'Park Catalog'!$A:$A,$B15,'Park Catalog'!$G:$G,"&lt;="&amp;$A15,'Park Catalog'!$H:$H,TRUE),$F15)</x:f>
        <x:v>0</x:v>
      </x:c>
      <x:c r="E15" s="57" t="n">
        <x:f>IFERROR($D15/$C15,"")</x:f>
        <x:v>0</x:v>
      </x:c>
      <x:c r="F15" s="58" t="n">
        <x:v>6530744.7</x:v>
      </x:c>
      <x:c r="G15" s="58" t="n">
        <x:f>IFERROR($F15/$C15,"")</x:f>
        <x:v>2435.936105930623</x:v>
      </x:c>
      <x:c r="H15" s="59" t="n">
        <x:f>IFERROR($D15/$F15,"")</x:f>
        <x:v>0</x:v>
      </x:c>
      <x:c r="I15" s="39" t="str">
        <x:v>Historical reconstruction from dated major parks; compare with current SEDEMA total.</x:v>
      </x:c>
    </x:row>
    <x:row r="16">
      <x:c r="A16" s="39" t="n">
        <x:v>1860</x:v>
      </x:c>
      <x:c r="B16" s="39" t="str">
        <x:v>Venustiano Carranza</x:v>
      </x:c>
      <x:c r="C16" s="56" t="n">
        <x:v>37986</x:v>
      </x:c>
      <x:c r="D16" s="56" t="n">
        <x:f>MIN(SUMIFS('Park Catalog'!$E:$E,'Park Catalog'!$A:$A,$B16,'Park Catalog'!$G:$G,"&lt;="&amp;$A16,'Park Catalog'!$H:$H,TRUE),$F16)</x:f>
        <x:v>0</x:v>
      </x:c>
      <x:c r="E16" s="57" t="n">
        <x:f>IFERROR($D16/$C16,"")</x:f>
        <x:v>0</x:v>
      </x:c>
      <x:c r="F16" s="58" t="n">
        <x:v>5805150.1</x:v>
      </x:c>
      <x:c r="G16" s="58" t="n">
        <x:f>IFERROR($F16/$C16,"")</x:f>
        <x:v>152.8234112567788</x:v>
      </x:c>
      <x:c r="H16" s="59" t="n">
        <x:f>IFERROR($D16/$F16,"")</x:f>
        <x:v>0</x:v>
      </x:c>
      <x:c r="I16" s="39" t="str">
        <x:v>Historical reconstruction from dated major parks; compare with current SEDEMA total.</x:v>
      </x:c>
    </x:row>
    <x:row r="17">
      <x:c r="A17" s="39" t="n">
        <x:v>1860</x:v>
      </x:c>
      <x:c r="B17" s="39" t="str">
        <x:v>Xochimilco</x:v>
      </x:c>
      <x:c r="C17" s="56" t="n">
        <x:v>7597</x:v>
      </x:c>
      <x:c r="D17" s="56" t="n">
        <x:f>MIN(SUMIFS('Park Catalog'!$E:$E,'Park Catalog'!$A:$A,$B17,'Park Catalog'!$G:$G,"&lt;="&amp;$A17,'Park Catalog'!$H:$H,TRUE),$F17)</x:f>
        <x:v>0</x:v>
      </x:c>
      <x:c r="E17" s="57" t="n">
        <x:f>IFERROR($D17/$C17,"")</x:f>
        <x:v>0</x:v>
      </x:c>
      <x:c r="F17" s="58" t="n">
        <x:v>2092259.6</x:v>
      </x:c>
      <x:c r="G17" s="58" t="n">
        <x:f>IFERROR($F17/$C17,"")</x:f>
        <x:v>275.4060286955377</x:v>
      </x:c>
      <x:c r="H17" s="59" t="n">
        <x:f>IFERROR($D17/$F17,"")</x:f>
        <x:v>0</x:v>
      </x:c>
      <x:c r="I17" s="39" t="str">
        <x:v>Historical reconstruction from dated major parks; compare with current SEDEMA total.</x:v>
      </x:c>
    </x:row>
    <x:row r="18">
      <x:c r="A18" s="39" t="n">
        <x:v>1870</x:v>
      </x:c>
      <x:c r="B18" s="39" t="str">
        <x:v>Álvaro Obregón</x:v>
      </x:c>
      <x:c r="C18" s="56" t="n">
        <x:v>5850</x:v>
      </x:c>
      <x:c r="D18" s="56" t="n">
        <x:f>MIN(SUMIFS('Park Catalog'!$E:$E,'Park Catalog'!$A:$A,$B18,'Park Catalog'!$G:$G,"&lt;="&amp;$A18,'Park Catalog'!$H:$H,TRUE),$F18)</x:f>
        <x:v>0</x:v>
      </x:c>
      <x:c r="E18" s="57" t="n">
        <x:f>IFERROR($D18/$C18,"")</x:f>
        <x:v>0</x:v>
      </x:c>
      <x:c r="F18" s="58" t="n">
        <x:v>4913463.7</x:v>
      </x:c>
      <x:c r="G18" s="58" t="n">
        <x:f>IFERROR($F18/$C18,"")</x:f>
        <x:v>839.9083247863248</x:v>
      </x:c>
      <x:c r="H18" s="59" t="n">
        <x:f>IFERROR($D18/$F18,"")</x:f>
        <x:v>0</x:v>
      </x:c>
      <x:c r="I18" s="39" t="str">
        <x:v>Historical reconstruction from dated major parks; compare with current SEDEMA total.</x:v>
      </x:c>
    </x:row>
    <x:row r="19">
      <x:c r="A19" s="39" t="n">
        <x:v>1870</x:v>
      </x:c>
      <x:c r="B19" s="39" t="str">
        <x:v>Azcapotzalco</x:v>
      </x:c>
      <x:c r="C19" s="56" t="n">
        <x:v>5363</x:v>
      </x:c>
      <x:c r="D19" s="56" t="n">
        <x:f>MIN(SUMIFS('Park Catalog'!$E:$E,'Park Catalog'!$A:$A,$B19,'Park Catalog'!$G:$G,"&lt;="&amp;$A19,'Park Catalog'!$H:$H,TRUE),$F19)</x:f>
        <x:v>0</x:v>
      </x:c>
      <x:c r="E19" s="57" t="n">
        <x:f>IFERROR($D19/$C19,"")</x:f>
        <x:v>0</x:v>
      </x:c>
      <x:c r="F19" s="58" t="n">
        <x:v>3980866.7</x:v>
      </x:c>
      <x:c r="G19" s="58" t="n">
        <x:f>IFERROR($F19/$C19,"")</x:f>
        <x:v>742.2835539809809</x:v>
      </x:c>
      <x:c r="H19" s="59" t="n">
        <x:f>IFERROR($D19/$F19,"")</x:f>
        <x:v>0</x:v>
      </x:c>
      <x:c r="I19" s="39" t="str">
        <x:v>Historical reconstruction from dated major parks; compare with current SEDEMA total.</x:v>
      </x:c>
    </x:row>
    <x:row r="20">
      <x:c r="A20" s="39" t="n">
        <x:v>1870</x:v>
      </x:c>
      <x:c r="B20" s="39" t="str">
        <x:v>Benito Juárez</x:v>
      </x:c>
      <x:c r="C20" s="56" t="n">
        <x:v>34126</x:v>
      </x:c>
      <x:c r="D20" s="56" t="n">
        <x:f>MIN(SUMIFS('Park Catalog'!$E:$E,'Park Catalog'!$A:$A,$B20,'Park Catalog'!$G:$G,"&lt;="&amp;$A20,'Park Catalog'!$H:$H,TRUE),$F20)</x:f>
        <x:v>0</x:v>
      </x:c>
      <x:c r="E20" s="57" t="n">
        <x:f>IFERROR($D20/$C20,"")</x:f>
        <x:v>0</x:v>
      </x:c>
      <x:c r="F20" s="58" t="n">
        <x:v>929230.8</x:v>
      </x:c>
      <x:c r="G20" s="58" t="n">
        <x:f>IFERROR($F20/$C20,"")</x:f>
        <x:v>27.22940866201723</x:v>
      </x:c>
      <x:c r="H20" s="59" t="n">
        <x:f>IFERROR($D20/$F20,"")</x:f>
        <x:v>0</x:v>
      </x:c>
      <x:c r="I20" s="39" t="str">
        <x:v>Historical reconstruction from dated major parks; compare with current SEDEMA total.</x:v>
      </x:c>
    </x:row>
    <x:row r="21">
      <x:c r="A21" s="39" t="n">
        <x:v>1870</x:v>
      </x:c>
      <x:c r="B21" s="39" t="str">
        <x:v>Coyoacán</x:v>
      </x:c>
      <x:c r="C21" s="56" t="n">
        <x:v>4388</x:v>
      </x:c>
      <x:c r="D21" s="56" t="n">
        <x:f>MIN(SUMIFS('Park Catalog'!$E:$E,'Park Catalog'!$A:$A,$B21,'Park Catalog'!$G:$G,"&lt;="&amp;$A21,'Park Catalog'!$H:$H,TRUE),$F21)</x:f>
        <x:v>0</x:v>
      </x:c>
      <x:c r="E21" s="57" t="n">
        <x:f>IFERROR($D21/$C21,"")</x:f>
        <x:v>0</x:v>
      </x:c>
      <x:c r="F21" s="58" t="n">
        <x:v>9157547.7</x:v>
      </x:c>
      <x:c r="G21" s="58" t="n">
        <x:f>IFERROR($F21/$C21,"")</x:f>
        <x:v>2086.952529626253</x:v>
      </x:c>
      <x:c r="H21" s="59" t="n">
        <x:f>IFERROR($D21/$F21,"")</x:f>
        <x:v>0</x:v>
      </x:c>
      <x:c r="I21" s="39" t="str">
        <x:v>Historical reconstruction from dated major parks; compare with current SEDEMA total.</x:v>
      </x:c>
    </x:row>
    <x:row r="22">
      <x:c r="A22" s="39" t="n">
        <x:v>1870</x:v>
      </x:c>
      <x:c r="B22" s="39" t="str">
        <x:v>Cuajimalpa de Morelos</x:v>
      </x:c>
      <x:c r="C22" s="56" t="n">
        <x:v>2438</x:v>
      </x:c>
      <x:c r="D22" s="56" t="n">
        <x:f>MIN(SUMIFS('Park Catalog'!$E:$E,'Park Catalog'!$A:$A,$B22,'Park Catalog'!$G:$G,"&lt;="&amp;$A22,'Park Catalog'!$H:$H,TRUE),$F22)</x:f>
        <x:v>0</x:v>
      </x:c>
      <x:c r="E22" s="57" t="n">
        <x:f>IFERROR($D22/$C22,"")</x:f>
        <x:v>0</x:v>
      </x:c>
      <x:c r="F22" s="58" t="n">
        <x:v>2048957.7</x:v>
      </x:c>
      <x:c r="G22" s="58" t="n">
        <x:f>IFERROR($F22/$C22,"")</x:f>
        <x:v>840.4256357670222</x:v>
      </x:c>
      <x:c r="H22" s="59" t="n">
        <x:f>IFERROR($D22/$F22,"")</x:f>
        <x:v>0</x:v>
      </x:c>
      <x:c r="I22" s="39" t="str">
        <x:v>Historical reconstruction from dated major parks; compare with current SEDEMA total.</x:v>
      </x:c>
    </x:row>
    <x:row r="23">
      <x:c r="A23" s="39" t="n">
        <x:v>1870</x:v>
      </x:c>
      <x:c r="B23" s="39" t="str">
        <x:v>Cuauhtémoc</x:v>
      </x:c>
      <x:c r="C23" s="56" t="n">
        <x:v>78003</x:v>
      </x:c>
      <x:c r="D23" s="56" t="n">
        <x:f>MIN(SUMIFS('Park Catalog'!$E:$E,'Park Catalog'!$A:$A,$B23,'Park Catalog'!$G:$G,"&lt;="&amp;$A23,'Park Catalog'!$H:$H,TRUE),$F23)</x:f>
        <x:v>0</x:v>
      </x:c>
      <x:c r="E23" s="57" t="n">
        <x:f>IFERROR($D23/$C23,"")</x:f>
        <x:v>0</x:v>
      </x:c>
      <x:c r="F23" s="58" t="n">
        <x:v>1915961</x:v>
      </x:c>
      <x:c r="G23" s="58" t="n">
        <x:f>IFERROR($F23/$C23,"")</x:f>
        <x:v>24.562657846493085</x:v>
      </x:c>
      <x:c r="H23" s="59" t="n">
        <x:f>IFERROR($D23/$F23,"")</x:f>
        <x:v>0</x:v>
      </x:c>
      <x:c r="I23" s="39" t="str">
        <x:v>Historical reconstruction from dated major parks; compare with current SEDEMA total.</x:v>
      </x:c>
    </x:row>
    <x:row r="24">
      <x:c r="A24" s="39" t="n">
        <x:v>1870</x:v>
      </x:c>
      <x:c r="B24" s="39" t="str">
        <x:v>Gustavo A. Madero</x:v>
      </x:c>
      <x:c r="C24" s="56" t="n">
        <x:v>4875</x:v>
      </x:c>
      <x:c r="D24" s="56" t="n">
        <x:f>MIN(SUMIFS('Park Catalog'!$E:$E,'Park Catalog'!$A:$A,$B24,'Park Catalog'!$G:$G,"&lt;="&amp;$A24,'Park Catalog'!$H:$H,TRUE),$F24)</x:f>
        <x:v>0</x:v>
      </x:c>
      <x:c r="E24" s="57" t="n">
        <x:f>IFERROR($D24/$C24,"")</x:f>
        <x:v>0</x:v>
      </x:c>
      <x:c r="F24" s="58" t="n">
        <x:v>7851619.6</x:v>
      </x:c>
      <x:c r="G24" s="58" t="n">
        <x:f>IFERROR($F24/$C24,"")</x:f>
        <x:v>1610.5886358974358</x:v>
      </x:c>
      <x:c r="H24" s="59" t="n">
        <x:f>IFERROR($D24/$F24,"")</x:f>
        <x:v>0</x:v>
      </x:c>
      <x:c r="I24" s="39" t="str">
        <x:v>Historical reconstruction from dated major parks; compare with current SEDEMA total.</x:v>
      </x:c>
    </x:row>
    <x:row r="25">
      <x:c r="A25" s="39" t="n">
        <x:v>1870</x:v>
      </x:c>
      <x:c r="B25" s="39" t="str">
        <x:v>Iztacalco</x:v>
      </x:c>
      <x:c r="C25" s="56" t="n">
        <x:v>2194</x:v>
      </x:c>
      <x:c r="D25" s="56" t="n">
        <x:f>MIN(SUMIFS('Park Catalog'!$E:$E,'Park Catalog'!$A:$A,$B25,'Park Catalog'!$G:$G,"&lt;="&amp;$A25,'Park Catalog'!$H:$H,TRUE),$F25)</x:f>
        <x:v>0</x:v>
      </x:c>
      <x:c r="E25" s="57" t="n">
        <x:f>IFERROR($D25/$C25,"")</x:f>
        <x:v>0</x:v>
      </x:c>
      <x:c r="F25" s="58" t="n">
        <x:v>1944289</x:v>
      </x:c>
      <x:c r="G25" s="58" t="n">
        <x:f>IFERROR($F25/$C25,"")</x:f>
        <x:v>886.1845943482224</x:v>
      </x:c>
      <x:c r="H25" s="59" t="n">
        <x:f>IFERROR($D25/$F25,"")</x:f>
        <x:v>0</x:v>
      </x:c>
      <x:c r="I25" s="39" t="str">
        <x:v>Historical reconstruction from dated major parks; compare with current SEDEMA total.</x:v>
      </x:c>
    </x:row>
    <x:row r="26">
      <x:c r="A26" s="39" t="n">
        <x:v>1870</x:v>
      </x:c>
      <x:c r="B26" s="39" t="str">
        <x:v>Iztapalapa</x:v>
      </x:c>
      <x:c r="C26" s="56" t="n">
        <x:v>5850</x:v>
      </x:c>
      <x:c r="D26" s="56" t="n">
        <x:f>MIN(SUMIFS('Park Catalog'!$E:$E,'Park Catalog'!$A:$A,$B26,'Park Catalog'!$G:$G,"&lt;="&amp;$A26,'Park Catalog'!$H:$H,TRUE),$F26)</x:f>
        <x:v>0</x:v>
      </x:c>
      <x:c r="E26" s="57" t="n">
        <x:f>IFERROR($D26/$C26,"")</x:f>
        <x:v>0</x:v>
      </x:c>
      <x:c r="F26" s="58" t="n">
        <x:v>9834858.6</x:v>
      </x:c>
      <x:c r="G26" s="58" t="n">
        <x:f>IFERROR($F26/$C26,"")</x:f>
        <x:v>1681.17241025641</x:v>
      </x:c>
      <x:c r="H26" s="59" t="n">
        <x:f>IFERROR($D26/$F26,"")</x:f>
        <x:v>0</x:v>
      </x:c>
      <x:c r="I26" s="39" t="str">
        <x:v>Historical reconstruction from dated major parks; compare with current SEDEMA total.</x:v>
      </x:c>
    </x:row>
    <x:row r="27">
      <x:c r="A27" s="39" t="n">
        <x:v>1870</x:v>
      </x:c>
      <x:c r="B27" s="39" t="str">
        <x:v>La Magdalena Contreras</x:v>
      </x:c>
      <x:c r="C27" s="56" t="n">
        <x:v>1706</x:v>
      </x:c>
      <x:c r="D27" s="56" t="n">
        <x:f>MIN(SUMIFS('Park Catalog'!$E:$E,'Park Catalog'!$A:$A,$B27,'Park Catalog'!$G:$G,"&lt;="&amp;$A27,'Park Catalog'!$H:$H,TRUE),$F27)</x:f>
        <x:v>0</x:v>
      </x:c>
      <x:c r="E27" s="57" t="n">
        <x:f>IFERROR($D27/$C27,"")</x:f>
        <x:v>0</x:v>
      </x:c>
      <x:c r="F27" s="58" t="n">
        <x:v>1335114.4</x:v>
      </x:c>
      <x:c r="G27" s="58" t="n">
        <x:f>IFERROR($F27/$C27,"")</x:f>
        <x:v>782.5992966002344</x:v>
      </x:c>
      <x:c r="H27" s="59" t="n">
        <x:f>IFERROR($D27/$F27,"")</x:f>
        <x:v>0</x:v>
      </x:c>
      <x:c r="I27" s="39" t="str">
        <x:v>Historical reconstruction from dated major parks; compare with current SEDEMA total.</x:v>
      </x:c>
    </x:row>
    <x:row r="28">
      <x:c r="A28" s="39" t="n">
        <x:v>1870</x:v>
      </x:c>
      <x:c r="B28" s="39" t="str">
        <x:v>Miguel Hidalgo</x:v>
      </x:c>
      <x:c r="C28" s="56" t="n">
        <x:v>36564</x:v>
      </x:c>
      <x:c r="D28" s="56" t="n">
        <x:f>MIN(SUMIFS('Park Catalog'!$E:$E,'Park Catalog'!$A:$A,$B28,'Park Catalog'!$G:$G,"&lt;="&amp;$A28,'Park Catalog'!$H:$H,TRUE),$F28)</x:f>
        <x:v>0</x:v>
      </x:c>
      <x:c r="E28" s="57" t="n">
        <x:f>IFERROR($D28/$C28,"")</x:f>
        <x:v>0</x:v>
      </x:c>
      <x:c r="F28" s="58" t="n">
        <x:v>5607701.5</x:v>
      </x:c>
      <x:c r="G28" s="58" t="n">
        <x:f>IFERROR($F28/$C28,"")</x:f>
        <x:v>153.36674050979104</x:v>
      </x:c>
      <x:c r="H28" s="59" t="n">
        <x:f>IFERROR($D28/$F28,"")</x:f>
        <x:v>0</x:v>
      </x:c>
      <x:c r="I28" s="39" t="str">
        <x:v>Historical reconstruction from dated major parks; compare with current SEDEMA total.</x:v>
      </x:c>
    </x:row>
    <x:row r="29">
      <x:c r="A29" s="39" t="n">
        <x:v>1870</x:v>
      </x:c>
      <x:c r="B29" s="39" t="str">
        <x:v>Milpa Alta</x:v>
      </x:c>
      <x:c r="C29" s="56" t="n">
        <x:v>4388</x:v>
      </x:c>
      <x:c r="D29" s="56" t="n">
        <x:f>MIN(SUMIFS('Park Catalog'!$E:$E,'Park Catalog'!$A:$A,$B29,'Park Catalog'!$G:$G,"&lt;="&amp;$A29,'Park Catalog'!$H:$H,TRUE),$F29)</x:f>
        <x:v>0</x:v>
      </x:c>
      <x:c r="E29" s="57" t="n">
        <x:f>IFERROR($D29/$C29,"")</x:f>
        <x:v>0</x:v>
      </x:c>
      <x:c r="F29" s="58" t="n">
        <x:v>309724</x:v>
      </x:c>
      <x:c r="G29" s="58" t="n">
        <x:f>IFERROR($F29/$C29,"")</x:f>
        <x:v>70.58432087511395</x:v>
      </x:c>
      <x:c r="H29" s="59" t="n">
        <x:f>IFERROR($D29/$F29,"")</x:f>
        <x:v>0</x:v>
      </x:c>
      <x:c r="I29" s="39" t="str">
        <x:v>Historical reconstruction from dated major parks; compare with current SEDEMA total.</x:v>
      </x:c>
    </x:row>
    <x:row r="30">
      <x:c r="A30" s="39" t="n">
        <x:v>1870</x:v>
      </x:c>
      <x:c r="B30" s="39" t="str">
        <x:v>Tláhuac</x:v>
      </x:c>
      <x:c r="C30" s="56" t="n">
        <x:v>1706</x:v>
      </x:c>
      <x:c r="D30" s="56" t="n">
        <x:f>MIN(SUMIFS('Park Catalog'!$E:$E,'Park Catalog'!$A:$A,$B30,'Park Catalog'!$G:$G,"&lt;="&amp;$A30,'Park Catalog'!$H:$H,TRUE),$F30)</x:f>
        <x:v>0</x:v>
      </x:c>
      <x:c r="E30" s="57" t="n">
        <x:f>IFERROR($D30/$C30,"")</x:f>
        <x:v>0</x:v>
      </x:c>
      <x:c r="F30" s="58" t="n">
        <x:v>3054084.7</x:v>
      </x:c>
      <x:c r="G30" s="58" t="n">
        <x:f>IFERROR($F30/$C30,"")</x:f>
        <x:v>1790.2020515826496</x:v>
      </x:c>
      <x:c r="H30" s="59" t="n">
        <x:f>IFERROR($D30/$F30,"")</x:f>
        <x:v>0</x:v>
      </x:c>
      <x:c r="I30" s="39" t="str">
        <x:v>Historical reconstruction from dated major parks; compare with current SEDEMA total.</x:v>
      </x:c>
    </x:row>
    <x:row r="31">
      <x:c r="A31" s="39" t="n">
        <x:v>1870</x:v>
      </x:c>
      <x:c r="B31" s="39" t="str">
        <x:v>Tlalpan</x:v>
      </x:c>
      <x:c r="C31" s="56" t="n">
        <x:v>2925</x:v>
      </x:c>
      <x:c r="D31" s="56" t="n">
        <x:f>MIN(SUMIFS('Park Catalog'!$E:$E,'Park Catalog'!$A:$A,$B31,'Park Catalog'!$G:$G,"&lt;="&amp;$A31,'Park Catalog'!$H:$H,TRUE),$F31)</x:f>
        <x:v>0</x:v>
      </x:c>
      <x:c r="E31" s="57" t="n">
        <x:f>IFERROR($D31/$C31,"")</x:f>
        <x:v>0</x:v>
      </x:c>
      <x:c r="F31" s="58" t="n">
        <x:v>6530744.7</x:v>
      </x:c>
      <x:c r="G31" s="58" t="n">
        <x:f>IFERROR($F31/$C31,"")</x:f>
        <x:v>2232.733230769231</x:v>
      </x:c>
      <x:c r="H31" s="59" t="n">
        <x:f>IFERROR($D31/$F31,"")</x:f>
        <x:v>0</x:v>
      </x:c>
      <x:c r="I31" s="39" t="str">
        <x:v>Historical reconstruction from dated major parks; compare with current SEDEMA total.</x:v>
      </x:c>
    </x:row>
    <x:row r="32">
      <x:c r="A32" s="39" t="n">
        <x:v>1870</x:v>
      </x:c>
      <x:c r="B32" s="39" t="str">
        <x:v>Venustiano Carranza</x:v>
      </x:c>
      <x:c r="C32" s="56" t="n">
        <x:v>41439</x:v>
      </x:c>
      <x:c r="D32" s="56" t="n">
        <x:f>MIN(SUMIFS('Park Catalog'!$E:$E,'Park Catalog'!$A:$A,$B32,'Park Catalog'!$G:$G,"&lt;="&amp;$A32,'Park Catalog'!$H:$H,TRUE),$F32)</x:f>
        <x:v>0</x:v>
      </x:c>
      <x:c r="E32" s="57" t="n">
        <x:f>IFERROR($D32/$C32,"")</x:f>
        <x:v>0</x:v>
      </x:c>
      <x:c r="F32" s="58" t="n">
        <x:v>5805150.1</x:v>
      </x:c>
      <x:c r="G32" s="58" t="n">
        <x:f>IFERROR($F32/$C32,"")</x:f>
        <x:v>140.08904896353675</x:v>
      </x:c>
      <x:c r="H32" s="59" t="n">
        <x:f>IFERROR($D32/$F32,"")</x:f>
        <x:v>0</x:v>
      </x:c>
      <x:c r="I32" s="39" t="str">
        <x:v>Historical reconstruction from dated major parks; compare with current SEDEMA total.</x:v>
      </x:c>
    </x:row>
    <x:row r="33">
      <x:c r="A33" s="39" t="n">
        <x:v>1870</x:v>
      </x:c>
      <x:c r="B33" s="39" t="str">
        <x:v>Xochimilco</x:v>
      </x:c>
      <x:c r="C33" s="56" t="n">
        <x:v>8288</x:v>
      </x:c>
      <x:c r="D33" s="56" t="n">
        <x:f>MIN(SUMIFS('Park Catalog'!$E:$E,'Park Catalog'!$A:$A,$B33,'Park Catalog'!$G:$G,"&lt;="&amp;$A33,'Park Catalog'!$H:$H,TRUE),$F33)</x:f>
        <x:v>0</x:v>
      </x:c>
      <x:c r="E33" s="57" t="n">
        <x:f>IFERROR($D33/$C33,"")</x:f>
        <x:v>0</x:v>
      </x:c>
      <x:c r="F33" s="58" t="n">
        <x:v>2092259.6</x:v>
      </x:c>
      <x:c r="G33" s="58" t="n">
        <x:f>IFERROR($F33/$C33,"")</x:f>
        <x:v>252.44444980694982</x:v>
      </x:c>
      <x:c r="H33" s="59" t="n">
        <x:f>IFERROR($D33/$F33,"")</x:f>
        <x:v>0</x:v>
      </x:c>
      <x:c r="I33" s="39" t="str">
        <x:v>Historical reconstruction from dated major parks; compare with current SEDEMA total.</x:v>
      </x:c>
    </x:row>
    <x:row r="34">
      <x:c r="A34" s="39" t="n">
        <x:v>1880</x:v>
      </x:c>
      <x:c r="B34" s="39" t="str">
        <x:v>Álvaro Obregón</x:v>
      </x:c>
      <x:c r="C34" s="56" t="n">
        <x:v>7069</x:v>
      </x:c>
      <x:c r="D34" s="56" t="n">
        <x:f>MIN(SUMIFS('Park Catalog'!$E:$E,'Park Catalog'!$A:$A,$B34,'Park Catalog'!$G:$G,"&lt;="&amp;$A34,'Park Catalog'!$H:$H,TRUE),$F34)</x:f>
        <x:v>0</x:v>
      </x:c>
      <x:c r="E34" s="57" t="n">
        <x:f>IFERROR($D34/$C34,"")</x:f>
        <x:v>0</x:v>
      </x:c>
      <x:c r="F34" s="58" t="n">
        <x:v>4913463.7</x:v>
      </x:c>
      <x:c r="G34" s="58" t="n">
        <x:f>IFERROR($F34/$C34,"")</x:f>
        <x:v>695.0719620879898</x:v>
      </x:c>
      <x:c r="H34" s="59" t="n">
        <x:f>IFERROR($D34/$F34,"")</x:f>
        <x:v>0</x:v>
      </x:c>
      <x:c r="I34" s="39" t="str">
        <x:v>Historical reconstruction from dated major parks; compare with current SEDEMA total.</x:v>
      </x:c>
    </x:row>
    <x:row r="35">
      <x:c r="A35" s="39" t="n">
        <x:v>1880</x:v>
      </x:c>
      <x:c r="B35" s="39" t="str">
        <x:v>Azcapotzalco</x:v>
      </x:c>
      <x:c r="C35" s="56" t="n">
        <x:v>6480</x:v>
      </x:c>
      <x:c r="D35" s="56" t="n">
        <x:f>MIN(SUMIFS('Park Catalog'!$E:$E,'Park Catalog'!$A:$A,$B35,'Park Catalog'!$G:$G,"&lt;="&amp;$A35,'Park Catalog'!$H:$H,TRUE),$F35)</x:f>
        <x:v>0</x:v>
      </x:c>
      <x:c r="E35" s="57" t="n">
        <x:f>IFERROR($D35/$C35,"")</x:f>
        <x:v>0</x:v>
      </x:c>
      <x:c r="F35" s="58" t="n">
        <x:v>3980866.7</x:v>
      </x:c>
      <x:c r="G35" s="58" t="n">
        <x:f>IFERROR($F35/$C35,"")</x:f>
        <x:v>614.3312808641975</x:v>
      </x:c>
      <x:c r="H35" s="59" t="n">
        <x:f>IFERROR($D35/$F35,"")</x:f>
        <x:v>0</x:v>
      </x:c>
      <x:c r="I35" s="39" t="str">
        <x:v>Historical reconstruction from dated major parks; compare with current SEDEMA total.</x:v>
      </x:c>
    </x:row>
    <x:row r="36">
      <x:c r="A36" s="39" t="n">
        <x:v>1880</x:v>
      </x:c>
      <x:c r="B36" s="39" t="str">
        <x:v>Benito Juárez</x:v>
      </x:c>
      <x:c r="C36" s="56" t="n">
        <x:v>41236</x:v>
      </x:c>
      <x:c r="D36" s="56" t="n">
        <x:f>MIN(SUMIFS('Park Catalog'!$E:$E,'Park Catalog'!$A:$A,$B36,'Park Catalog'!$G:$G,"&lt;="&amp;$A36,'Park Catalog'!$H:$H,TRUE),$F36)</x:f>
        <x:v>0</x:v>
      </x:c>
      <x:c r="E36" s="57" t="n">
        <x:f>IFERROR($D36/$C36,"")</x:f>
        <x:v>0</x:v>
      </x:c>
      <x:c r="F36" s="58" t="n">
        <x:v>929230.8</x:v>
      </x:c>
      <x:c r="G36" s="58" t="n">
        <x:f>IFERROR($F36/$C36,"")</x:f>
        <x:v>22.53445533029392</x:v>
      </x:c>
      <x:c r="H36" s="59" t="n">
        <x:f>IFERROR($D36/$F36,"")</x:f>
        <x:v>0</x:v>
      </x:c>
      <x:c r="I36" s="39" t="str">
        <x:v>Historical reconstruction from dated major parks; compare with current SEDEMA total.</x:v>
      </x:c>
    </x:row>
    <x:row r="37">
      <x:c r="A37" s="39" t="n">
        <x:v>1880</x:v>
      </x:c>
      <x:c r="B37" s="39" t="str">
        <x:v>Coyoacán</x:v>
      </x:c>
      <x:c r="C37" s="56" t="n">
        <x:v>5302</x:v>
      </x:c>
      <x:c r="D37" s="56" t="n">
        <x:f>MIN(SUMIFS('Park Catalog'!$E:$E,'Park Catalog'!$A:$A,$B37,'Park Catalog'!$G:$G,"&lt;="&amp;$A37,'Park Catalog'!$H:$H,TRUE),$F37)</x:f>
        <x:v>0</x:v>
      </x:c>
      <x:c r="E37" s="57" t="n">
        <x:f>IFERROR($D37/$C37,"")</x:f>
        <x:v>0</x:v>
      </x:c>
      <x:c r="F37" s="58" t="n">
        <x:v>9157547.7</x:v>
      </x:c>
      <x:c r="G37" s="58" t="n">
        <x:f>IFERROR($F37/$C37,"")</x:f>
        <x:v>1727.1874198415692</x:v>
      </x:c>
      <x:c r="H37" s="59" t="n">
        <x:f>IFERROR($D37/$F37,"")</x:f>
        <x:v>0</x:v>
      </x:c>
      <x:c r="I37" s="39" t="str">
        <x:v>Historical reconstruction from dated major parks; compare with current SEDEMA total.</x:v>
      </x:c>
    </x:row>
    <x:row r="38">
      <x:c r="A38" s="39" t="n">
        <x:v>1880</x:v>
      </x:c>
      <x:c r="B38" s="39" t="str">
        <x:v>Cuajimalpa de Morelos</x:v>
      </x:c>
      <x:c r="C38" s="56" t="n">
        <x:v>2945</x:v>
      </x:c>
      <x:c r="D38" s="56" t="n">
        <x:f>MIN(SUMIFS('Park Catalog'!$E:$E,'Park Catalog'!$A:$A,$B38,'Park Catalog'!$G:$G,"&lt;="&amp;$A38,'Park Catalog'!$H:$H,TRUE),$F38)</x:f>
        <x:v>0</x:v>
      </x:c>
      <x:c r="E38" s="57" t="n">
        <x:f>IFERROR($D38/$C38,"")</x:f>
        <x:v>0</x:v>
      </x:c>
      <x:c r="F38" s="58" t="n">
        <x:v>2048957.7</x:v>
      </x:c>
      <x:c r="G38" s="58" t="n">
        <x:f>IFERROR($F38/$C38,"")</x:f>
        <x:v>695.7411544991511</x:v>
      </x:c>
      <x:c r="H38" s="59" t="n">
        <x:f>IFERROR($D38/$F38,"")</x:f>
        <x:v>0</x:v>
      </x:c>
      <x:c r="I38" s="39" t="str">
        <x:v>Historical reconstruction from dated major parks; compare with current SEDEMA total.</x:v>
      </x:c>
    </x:row>
    <x:row r="39">
      <x:c r="A39" s="39" t="n">
        <x:v>1880</x:v>
      </x:c>
      <x:c r="B39" s="39" t="str">
        <x:v>Cuauhtémoc</x:v>
      </x:c>
      <x:c r="C39" s="56" t="n">
        <x:v>94254</x:v>
      </x:c>
      <x:c r="D39" s="56" t="n">
        <x:f>MIN(SUMIFS('Park Catalog'!$E:$E,'Park Catalog'!$A:$A,$B39,'Park Catalog'!$G:$G,"&lt;="&amp;$A39,'Park Catalog'!$H:$H,TRUE),$F39)</x:f>
        <x:v>0</x:v>
      </x:c>
      <x:c r="E39" s="57" t="n">
        <x:f>IFERROR($D39/$C39,"")</x:f>
        <x:v>0</x:v>
      </x:c>
      <x:c r="F39" s="58" t="n">
        <x:v>1915961</x:v>
      </x:c>
      <x:c r="G39" s="58" t="n">
        <x:f>IFERROR($F39/$C39,"")</x:f>
        <x:v>20.327635962399473</x:v>
      </x:c>
      <x:c r="H39" s="59" t="n">
        <x:f>IFERROR($D39/$F39,"")</x:f>
        <x:v>0</x:v>
      </x:c>
      <x:c r="I39" s="39" t="str">
        <x:v>Historical reconstruction from dated major parks; compare with current SEDEMA total.</x:v>
      </x:c>
    </x:row>
    <x:row r="40">
      <x:c r="A40" s="39" t="n">
        <x:v>1880</x:v>
      </x:c>
      <x:c r="B40" s="39" t="str">
        <x:v>Gustavo A. Madero</x:v>
      </x:c>
      <x:c r="C40" s="56" t="n">
        <x:v>5891</x:v>
      </x:c>
      <x:c r="D40" s="56" t="n">
        <x:f>MIN(SUMIFS('Park Catalog'!$E:$E,'Park Catalog'!$A:$A,$B40,'Park Catalog'!$G:$G,"&lt;="&amp;$A40,'Park Catalog'!$H:$H,TRUE),$F40)</x:f>
        <x:v>0</x:v>
      </x:c>
      <x:c r="E40" s="57" t="n">
        <x:f>IFERROR($D40/$C40,"")</x:f>
        <x:v>0</x:v>
      </x:c>
      <x:c r="F40" s="58" t="n">
        <x:v>7851619.6</x:v>
      </x:c>
      <x:c r="G40" s="58" t="n">
        <x:f>IFERROR($F40/$C40,"")</x:f>
        <x:v>1332.8160923442538</x:v>
      </x:c>
      <x:c r="H40" s="59" t="n">
        <x:f>IFERROR($D40/$F40,"")</x:f>
        <x:v>0</x:v>
      </x:c>
      <x:c r="I40" s="39" t="str">
        <x:v>Historical reconstruction from dated major parks; compare with current SEDEMA total.</x:v>
      </x:c>
    </x:row>
    <x:row r="41">
      <x:c r="A41" s="39" t="n">
        <x:v>1880</x:v>
      </x:c>
      <x:c r="B41" s="39" t="str">
        <x:v>Iztacalco</x:v>
      </x:c>
      <x:c r="C41" s="56" t="n">
        <x:v>2651</x:v>
      </x:c>
      <x:c r="D41" s="56" t="n">
        <x:f>MIN(SUMIFS('Park Catalog'!$E:$E,'Park Catalog'!$A:$A,$B41,'Park Catalog'!$G:$G,"&lt;="&amp;$A41,'Park Catalog'!$H:$H,TRUE),$F41)</x:f>
        <x:v>0</x:v>
      </x:c>
      <x:c r="E41" s="57" t="n">
        <x:f>IFERROR($D41/$C41,"")</x:f>
        <x:v>0</x:v>
      </x:c>
      <x:c r="F41" s="58" t="n">
        <x:v>1944289</x:v>
      </x:c>
      <x:c r="G41" s="58" t="n">
        <x:f>IFERROR($F41/$C41,"")</x:f>
        <x:v>733.4172010562052</x:v>
      </x:c>
      <x:c r="H41" s="59" t="n">
        <x:f>IFERROR($D41/$F41,"")</x:f>
        <x:v>0</x:v>
      </x:c>
      <x:c r="I41" s="39" t="str">
        <x:v>Historical reconstruction from dated major parks; compare with current SEDEMA total.</x:v>
      </x:c>
    </x:row>
    <x:row r="42">
      <x:c r="A42" s="39" t="n">
        <x:v>1880</x:v>
      </x:c>
      <x:c r="B42" s="39" t="str">
        <x:v>Iztapalapa</x:v>
      </x:c>
      <x:c r="C42" s="56" t="n">
        <x:v>7069</x:v>
      </x:c>
      <x:c r="D42" s="56" t="n">
        <x:f>MIN(SUMIFS('Park Catalog'!$E:$E,'Park Catalog'!$A:$A,$B42,'Park Catalog'!$G:$G,"&lt;="&amp;$A42,'Park Catalog'!$H:$H,TRUE),$F42)</x:f>
        <x:v>0</x:v>
      </x:c>
      <x:c r="E42" s="57" t="n">
        <x:f>IFERROR($D42/$C42,"")</x:f>
        <x:v>0</x:v>
      </x:c>
      <x:c r="F42" s="58" t="n">
        <x:v>9834858.6</x:v>
      </x:c>
      <x:c r="G42" s="58" t="n">
        <x:f>IFERROR($F42/$C42,"")</x:f>
        <x:v>1391.2658933371056</x:v>
      </x:c>
      <x:c r="H42" s="59" t="n">
        <x:f>IFERROR($D42/$F42,"")</x:f>
        <x:v>0</x:v>
      </x:c>
      <x:c r="I42" s="39" t="str">
        <x:v>Historical reconstruction from dated major parks; compare with current SEDEMA total.</x:v>
      </x:c>
    </x:row>
    <x:row r="43">
      <x:c r="A43" s="39" t="n">
        <x:v>1880</x:v>
      </x:c>
      <x:c r="B43" s="39" t="str">
        <x:v>La Magdalena Contreras</x:v>
      </x:c>
      <x:c r="C43" s="56" t="n">
        <x:v>2062</x:v>
      </x:c>
      <x:c r="D43" s="56" t="n">
        <x:f>MIN(SUMIFS('Park Catalog'!$E:$E,'Park Catalog'!$A:$A,$B43,'Park Catalog'!$G:$G,"&lt;="&amp;$A43,'Park Catalog'!$H:$H,TRUE),$F43)</x:f>
        <x:v>0</x:v>
      </x:c>
      <x:c r="E43" s="57" t="n">
        <x:f>IFERROR($D43/$C43,"")</x:f>
        <x:v>0</x:v>
      </x:c>
      <x:c r="F43" s="58" t="n">
        <x:v>1335114.4</x:v>
      </x:c>
      <x:c r="G43" s="58" t="n">
        <x:f>IFERROR($F43/$C43,"")</x:f>
        <x:v>647.4851600387973</x:v>
      </x:c>
      <x:c r="H43" s="59" t="n">
        <x:f>IFERROR($D43/$F43,"")</x:f>
        <x:v>0</x:v>
      </x:c>
      <x:c r="I43" s="39" t="str">
        <x:v>Historical reconstruction from dated major parks; compare with current SEDEMA total.</x:v>
      </x:c>
    </x:row>
    <x:row r="44">
      <x:c r="A44" s="39" t="n">
        <x:v>1880</x:v>
      </x:c>
      <x:c r="B44" s="39" t="str">
        <x:v>Miguel Hidalgo</x:v>
      </x:c>
      <x:c r="C44" s="56" t="n">
        <x:v>44182</x:v>
      </x:c>
      <x:c r="D44" s="56" t="n">
        <x:f>MIN(SUMIFS('Park Catalog'!$E:$E,'Park Catalog'!$A:$A,$B44,'Park Catalog'!$G:$G,"&lt;="&amp;$A44,'Park Catalog'!$H:$H,TRUE),$F44)</x:f>
        <x:v>0</x:v>
      </x:c>
      <x:c r="E44" s="57" t="n">
        <x:f>IFERROR($D44/$C44,"")</x:f>
        <x:v>0</x:v>
      </x:c>
      <x:c r="F44" s="58" t="n">
        <x:v>5607701.5</x:v>
      </x:c>
      <x:c r="G44" s="58" t="n">
        <x:f>IFERROR($F44/$C44,"")</x:f>
        <x:v>126.92276266352813</x:v>
      </x:c>
      <x:c r="H44" s="59" t="n">
        <x:f>IFERROR($D44/$F44,"")</x:f>
        <x:v>0</x:v>
      </x:c>
      <x:c r="I44" s="39" t="str">
        <x:v>Historical reconstruction from dated major parks; compare with current SEDEMA total.</x:v>
      </x:c>
    </x:row>
    <x:row r="45">
      <x:c r="A45" s="39" t="n">
        <x:v>1880</x:v>
      </x:c>
      <x:c r="B45" s="39" t="str">
        <x:v>Milpa Alta</x:v>
      </x:c>
      <x:c r="C45" s="56" t="n">
        <x:v>5302</x:v>
      </x:c>
      <x:c r="D45" s="56" t="n">
        <x:f>MIN(SUMIFS('Park Catalog'!$E:$E,'Park Catalog'!$A:$A,$B45,'Park Catalog'!$G:$G,"&lt;="&amp;$A45,'Park Catalog'!$H:$H,TRUE),$F45)</x:f>
        <x:v>0</x:v>
      </x:c>
      <x:c r="E45" s="57" t="n">
        <x:f>IFERROR($D45/$C45,"")</x:f>
        <x:v>0</x:v>
      </x:c>
      <x:c r="F45" s="58" t="n">
        <x:v>309724</x:v>
      </x:c>
      <x:c r="G45" s="58" t="n">
        <x:f>IFERROR($F45/$C45,"")</x:f>
        <x:v>58.416446623915505</x:v>
      </x:c>
      <x:c r="H45" s="59" t="n">
        <x:f>IFERROR($D45/$F45,"")</x:f>
        <x:v>0</x:v>
      </x:c>
      <x:c r="I45" s="39" t="str">
        <x:v>Historical reconstruction from dated major parks; compare with current SEDEMA total.</x:v>
      </x:c>
    </x:row>
    <x:row r="46">
      <x:c r="A46" s="39" t="n">
        <x:v>1880</x:v>
      </x:c>
      <x:c r="B46" s="39" t="str">
        <x:v>Tláhuac</x:v>
      </x:c>
      <x:c r="C46" s="56" t="n">
        <x:v>2062</x:v>
      </x:c>
      <x:c r="D46" s="56" t="n">
        <x:f>MIN(SUMIFS('Park Catalog'!$E:$E,'Park Catalog'!$A:$A,$B46,'Park Catalog'!$G:$G,"&lt;="&amp;$A46,'Park Catalog'!$H:$H,TRUE),$F46)</x:f>
        <x:v>0</x:v>
      </x:c>
      <x:c r="E46" s="57" t="n">
        <x:f>IFERROR($D46/$C46,"")</x:f>
        <x:v>0</x:v>
      </x:c>
      <x:c r="F46" s="58" t="n">
        <x:v>3054084.7</x:v>
      </x:c>
      <x:c r="G46" s="58" t="n">
        <x:f>IFERROR($F46/$C46,"")</x:f>
        <x:v>1481.1274005819594</x:v>
      </x:c>
      <x:c r="H46" s="59" t="n">
        <x:f>IFERROR($D46/$F46,"")</x:f>
        <x:v>0</x:v>
      </x:c>
      <x:c r="I46" s="39" t="str">
        <x:v>Historical reconstruction from dated major parks; compare with current SEDEMA total.</x:v>
      </x:c>
    </x:row>
    <x:row r="47">
      <x:c r="A47" s="39" t="n">
        <x:v>1880</x:v>
      </x:c>
      <x:c r="B47" s="39" t="str">
        <x:v>Tlalpan</x:v>
      </x:c>
      <x:c r="C47" s="56" t="n">
        <x:v>3535</x:v>
      </x:c>
      <x:c r="D47" s="56" t="n">
        <x:f>MIN(SUMIFS('Park Catalog'!$E:$E,'Park Catalog'!$A:$A,$B47,'Park Catalog'!$G:$G,"&lt;="&amp;$A47,'Park Catalog'!$H:$H,TRUE),$F47)</x:f>
        <x:v>0</x:v>
      </x:c>
      <x:c r="E47" s="57" t="n">
        <x:f>IFERROR($D47/$C47,"")</x:f>
        <x:v>0</x:v>
      </x:c>
      <x:c r="F47" s="58" t="n">
        <x:v>6530744.7</x:v>
      </x:c>
      <x:c r="G47" s="58" t="n">
        <x:f>IFERROR($F47/$C47,"")</x:f>
        <x:v>1847.452531824611</x:v>
      </x:c>
      <x:c r="H47" s="59" t="n">
        <x:f>IFERROR($D47/$F47,"")</x:f>
        <x:v>0</x:v>
      </x:c>
      <x:c r="I47" s="39" t="str">
        <x:v>Historical reconstruction from dated major parks; compare with current SEDEMA total.</x:v>
      </x:c>
    </x:row>
    <x:row r="48">
      <x:c r="A48" s="39" t="n">
        <x:v>1880</x:v>
      </x:c>
      <x:c r="B48" s="39" t="str">
        <x:v>Venustiano Carranza</x:v>
      </x:c>
      <x:c r="C48" s="56" t="n">
        <x:v>50072</x:v>
      </x:c>
      <x:c r="D48" s="56" t="n">
        <x:f>MIN(SUMIFS('Park Catalog'!$E:$E,'Park Catalog'!$A:$A,$B48,'Park Catalog'!$G:$G,"&lt;="&amp;$A48,'Park Catalog'!$H:$H,TRUE),$F48)</x:f>
        <x:v>0</x:v>
      </x:c>
      <x:c r="E48" s="57" t="n">
        <x:f>IFERROR($D48/$C48,"")</x:f>
        <x:v>0</x:v>
      </x:c>
      <x:c r="F48" s="58" t="n">
        <x:v>5805150.1</x:v>
      </x:c>
      <x:c r="G48" s="58" t="n">
        <x:f>IFERROR($F48/$C48,"")</x:f>
        <x:v>115.93605408212174</x:v>
      </x:c>
      <x:c r="H48" s="59" t="n">
        <x:f>IFERROR($D48/$F48,"")</x:f>
        <x:v>0</x:v>
      </x:c>
      <x:c r="I48" s="39" t="str">
        <x:v>Historical reconstruction from dated major parks; compare with current SEDEMA total.</x:v>
      </x:c>
    </x:row>
    <x:row r="49">
      <x:c r="A49" s="39" t="n">
        <x:v>1880</x:v>
      </x:c>
      <x:c r="B49" s="39" t="str">
        <x:v>Xochimilco</x:v>
      </x:c>
      <x:c r="C49" s="56" t="n">
        <x:v>10014</x:v>
      </x:c>
      <x:c r="D49" s="56" t="n">
        <x:f>MIN(SUMIFS('Park Catalog'!$E:$E,'Park Catalog'!$A:$A,$B49,'Park Catalog'!$G:$G,"&lt;="&amp;$A49,'Park Catalog'!$H:$H,TRUE),$F49)</x:f>
        <x:v>0</x:v>
      </x:c>
      <x:c r="E49" s="57" t="n">
        <x:f>IFERROR($D49/$C49,"")</x:f>
        <x:v>0</x:v>
      </x:c>
      <x:c r="F49" s="58" t="n">
        <x:v>2092259.6</x:v>
      </x:c>
      <x:c r="G49" s="58" t="n">
        <x:f>IFERROR($F49/$C49,"")</x:f>
        <x:v>208.9334531655682</x:v>
      </x:c>
      <x:c r="H49" s="59" t="n">
        <x:f>IFERROR($D49/$F49,"")</x:f>
        <x:v>0</x:v>
      </x:c>
      <x:c r="I49" s="39" t="str">
        <x:v>Historical reconstruction from dated major parks; compare with current SEDEMA total.</x:v>
      </x:c>
    </x:row>
    <x:row r="50">
      <x:c r="A50" s="39" t="n">
        <x:v>1890</x:v>
      </x:c>
      <x:c r="B50" s="39" t="str">
        <x:v>Álvaro Obregón</x:v>
      </x:c>
      <x:c r="C50" s="56" t="n">
        <x:v>9750</x:v>
      </x:c>
      <x:c r="D50" s="56" t="n">
        <x:f>MIN(SUMIFS('Park Catalog'!$E:$E,'Park Catalog'!$A:$A,$B50,'Park Catalog'!$G:$G,"&lt;="&amp;$A50,'Park Catalog'!$H:$H,TRUE),$F50)</x:f>
        <x:v>0</x:v>
      </x:c>
      <x:c r="E50" s="57" t="n">
        <x:f>IFERROR($D50/$C50,"")</x:f>
        <x:v>0</x:v>
      </x:c>
      <x:c r="F50" s="58" t="n">
        <x:v>4913463.7</x:v>
      </x:c>
      <x:c r="G50" s="58" t="n">
        <x:f>IFERROR($F50/$C50,"")</x:f>
        <x:v>503.9449948717949</x:v>
      </x:c>
      <x:c r="H50" s="59" t="n">
        <x:f>IFERROR($D50/$F50,"")</x:f>
        <x:v>0</x:v>
      </x:c>
      <x:c r="I50" s="39" t="str">
        <x:v>Historical reconstruction from dated major parks; compare with current SEDEMA total.</x:v>
      </x:c>
    </x:row>
    <x:row r="51">
      <x:c r="A51" s="39" t="n">
        <x:v>1890</x:v>
      </x:c>
      <x:c r="B51" s="39" t="str">
        <x:v>Azcapotzalco</x:v>
      </x:c>
      <x:c r="C51" s="56" t="n">
        <x:v>8938</x:v>
      </x:c>
      <x:c r="D51" s="56" t="n">
        <x:f>MIN(SUMIFS('Park Catalog'!$E:$E,'Park Catalog'!$A:$A,$B51,'Park Catalog'!$G:$G,"&lt;="&amp;$A51,'Park Catalog'!$H:$H,TRUE),$F51)</x:f>
        <x:v>0</x:v>
      </x:c>
      <x:c r="E51" s="57" t="n">
        <x:f>IFERROR($D51/$C51,"")</x:f>
        <x:v>0</x:v>
      </x:c>
      <x:c r="F51" s="58" t="n">
        <x:v>3980866.7</x:v>
      </x:c>
      <x:c r="G51" s="58" t="n">
        <x:f>IFERROR($F51/$C51,"")</x:f>
        <x:v>445.38674200044755</x:v>
      </x:c>
      <x:c r="H51" s="59" t="n">
        <x:f>IFERROR($D51/$F51,"")</x:f>
        <x:v>0</x:v>
      </x:c>
      <x:c r="I51" s="39" t="str">
        <x:v>Historical reconstruction from dated major parks; compare with current SEDEMA total.</x:v>
      </x:c>
    </x:row>
    <x:row r="52">
      <x:c r="A52" s="39" t="n">
        <x:v>1890</x:v>
      </x:c>
      <x:c r="B52" s="39" t="str">
        <x:v>Benito Juárez</x:v>
      </x:c>
      <x:c r="C52" s="56" t="n">
        <x:v>56877</x:v>
      </x:c>
      <x:c r="D52" s="56" t="n">
        <x:f>MIN(SUMIFS('Park Catalog'!$E:$E,'Park Catalog'!$A:$A,$B52,'Park Catalog'!$G:$G,"&lt;="&amp;$A52,'Park Catalog'!$H:$H,TRUE),$F52)</x:f>
        <x:v>0</x:v>
      </x:c>
      <x:c r="E52" s="57" t="n">
        <x:f>IFERROR($D52/$C52,"")</x:f>
        <x:v>0</x:v>
      </x:c>
      <x:c r="F52" s="58" t="n">
        <x:v>929230.8</x:v>
      </x:c>
      <x:c r="G52" s="58" t="n">
        <x:f>IFERROR($F52/$C52,"")</x:f>
        <x:v>16.33754944881059</x:v>
      </x:c>
      <x:c r="H52" s="59" t="n">
        <x:f>IFERROR($D52/$F52,"")</x:f>
        <x:v>0</x:v>
      </x:c>
      <x:c r="I52" s="39" t="str">
        <x:v>Historical reconstruction from dated major parks; compare with current SEDEMA total.</x:v>
      </x:c>
    </x:row>
    <x:row r="53">
      <x:c r="A53" s="39" t="n">
        <x:v>1890</x:v>
      </x:c>
      <x:c r="B53" s="39" t="str">
        <x:v>Coyoacán</x:v>
      </x:c>
      <x:c r="C53" s="56" t="n">
        <x:v>7313</x:v>
      </x:c>
      <x:c r="D53" s="56" t="n">
        <x:f>MIN(SUMIFS('Park Catalog'!$E:$E,'Park Catalog'!$A:$A,$B53,'Park Catalog'!$G:$G,"&lt;="&amp;$A53,'Park Catalog'!$H:$H,TRUE),$F53)</x:f>
        <x:v>0</x:v>
      </x:c>
      <x:c r="E53" s="57" t="n">
        <x:f>IFERROR($D53/$C53,"")</x:f>
        <x:v>0</x:v>
      </x:c>
      <x:c r="F53" s="58" t="n">
        <x:v>9157547.7</x:v>
      </x:c>
      <x:c r="G53" s="58" t="n">
        <x:f>IFERROR($F53/$C53,"")</x:f>
        <x:v>1252.2285929167235</x:v>
      </x:c>
      <x:c r="H53" s="59" t="n">
        <x:f>IFERROR($D53/$F53,"")</x:f>
        <x:v>0</x:v>
      </x:c>
      <x:c r="I53" s="39" t="str">
        <x:v>Historical reconstruction from dated major parks; compare with current SEDEMA total.</x:v>
      </x:c>
    </x:row>
    <x:row r="54">
      <x:c r="A54" s="39" t="n">
        <x:v>1890</x:v>
      </x:c>
      <x:c r="B54" s="39" t="str">
        <x:v>Cuajimalpa de Morelos</x:v>
      </x:c>
      <x:c r="C54" s="56" t="n">
        <x:v>4063</x:v>
      </x:c>
      <x:c r="D54" s="56" t="n">
        <x:f>MIN(SUMIFS('Park Catalog'!$E:$E,'Park Catalog'!$A:$A,$B54,'Park Catalog'!$G:$G,"&lt;="&amp;$A54,'Park Catalog'!$H:$H,TRUE),$F54)</x:f>
        <x:v>0</x:v>
      </x:c>
      <x:c r="E54" s="57" t="n">
        <x:f>IFERROR($D54/$C54,"")</x:f>
        <x:v>0</x:v>
      </x:c>
      <x:c r="F54" s="58" t="n">
        <x:v>2048957.7</x:v>
      </x:c>
      <x:c r="G54" s="58" t="n">
        <x:f>IFERROR($F54/$C54,"")</x:f>
        <x:v>504.29675116908686</x:v>
      </x:c>
      <x:c r="H54" s="59" t="n">
        <x:f>IFERROR($D54/$F54,"")</x:f>
        <x:v>0</x:v>
      </x:c>
      <x:c r="I54" s="39" t="str">
        <x:v>Historical reconstruction from dated major parks; compare with current SEDEMA total.</x:v>
      </x:c>
    </x:row>
    <x:row r="55">
      <x:c r="A55" s="39" t="n">
        <x:v>1890</x:v>
      </x:c>
      <x:c r="B55" s="39" t="str">
        <x:v>Cuauhtémoc</x:v>
      </x:c>
      <x:c r="C55" s="56" t="n">
        <x:v>130005</x:v>
      </x:c>
      <x:c r="D55" s="56" t="n">
        <x:f>MIN(SUMIFS('Park Catalog'!$E:$E,'Park Catalog'!$A:$A,$B55,'Park Catalog'!$G:$G,"&lt;="&amp;$A55,'Park Catalog'!$H:$H,TRUE),$F55)</x:f>
        <x:v>0</x:v>
      </x:c>
      <x:c r="E55" s="57" t="n">
        <x:f>IFERROR($D55/$C55,"")</x:f>
        <x:v>0</x:v>
      </x:c>
      <x:c r="F55" s="58" t="n">
        <x:v>1915961</x:v>
      </x:c>
      <x:c r="G55" s="58" t="n">
        <x:f>IFERROR($F55/$C55,"")</x:f>
        <x:v>14.73759470789585</x:v>
      </x:c>
      <x:c r="H55" s="59" t="n">
        <x:f>IFERROR($D55/$F55,"")</x:f>
        <x:v>0</x:v>
      </x:c>
      <x:c r="I55" s="39" t="str">
        <x:v>Historical reconstruction from dated major parks; compare with current SEDEMA total.</x:v>
      </x:c>
    </x:row>
    <x:row r="56">
      <x:c r="A56" s="39" t="n">
        <x:v>1890</x:v>
      </x:c>
      <x:c r="B56" s="39" t="str">
        <x:v>Gustavo A. Madero</x:v>
      </x:c>
      <x:c r="C56" s="56" t="n">
        <x:v>8125</x:v>
      </x:c>
      <x:c r="D56" s="56" t="n">
        <x:f>MIN(SUMIFS('Park Catalog'!$E:$E,'Park Catalog'!$A:$A,$B56,'Park Catalog'!$G:$G,"&lt;="&amp;$A56,'Park Catalog'!$H:$H,TRUE),$F56)</x:f>
        <x:v>0</x:v>
      </x:c>
      <x:c r="E56" s="57" t="n">
        <x:f>IFERROR($D56/$C56,"")</x:f>
        <x:v>0</x:v>
      </x:c>
      <x:c r="F56" s="58" t="n">
        <x:v>7851619.6</x:v>
      </x:c>
      <x:c r="G56" s="58" t="n">
        <x:f>IFERROR($F56/$C56,"")</x:f>
        <x:v>966.3531815384615</x:v>
      </x:c>
      <x:c r="H56" s="59" t="n">
        <x:f>IFERROR($D56/$F56,"")</x:f>
        <x:v>0</x:v>
      </x:c>
      <x:c r="I56" s="39" t="str">
        <x:v>Historical reconstruction from dated major parks; compare with current SEDEMA total.</x:v>
      </x:c>
    </x:row>
    <x:row r="57">
      <x:c r="A57" s="39" t="n">
        <x:v>1890</x:v>
      </x:c>
      <x:c r="B57" s="39" t="str">
        <x:v>Iztacalco</x:v>
      </x:c>
      <x:c r="C57" s="56" t="n">
        <x:v>3656</x:v>
      </x:c>
      <x:c r="D57" s="56" t="n">
        <x:f>MIN(SUMIFS('Park Catalog'!$E:$E,'Park Catalog'!$A:$A,$B57,'Park Catalog'!$G:$G,"&lt;="&amp;$A57,'Park Catalog'!$H:$H,TRUE),$F57)</x:f>
        <x:v>0</x:v>
      </x:c>
      <x:c r="E57" s="57" t="n">
        <x:f>IFERROR($D57/$C57,"")</x:f>
        <x:v>0</x:v>
      </x:c>
      <x:c r="F57" s="58" t="n">
        <x:v>1944289</x:v>
      </x:c>
      <x:c r="G57" s="58" t="n">
        <x:f>IFERROR($F57/$C57,"")</x:f>
        <x:v>531.8077133479212</x:v>
      </x:c>
      <x:c r="H57" s="59" t="n">
        <x:f>IFERROR($D57/$F57,"")</x:f>
        <x:v>0</x:v>
      </x:c>
      <x:c r="I57" s="39" t="str">
        <x:v>Historical reconstruction from dated major parks; compare with current SEDEMA total.</x:v>
      </x:c>
    </x:row>
    <x:row r="58">
      <x:c r="A58" s="39" t="n">
        <x:v>1890</x:v>
      </x:c>
      <x:c r="B58" s="39" t="str">
        <x:v>Iztapalapa</x:v>
      </x:c>
      <x:c r="C58" s="56" t="n">
        <x:v>9750</x:v>
      </x:c>
      <x:c r="D58" s="56" t="n">
        <x:f>MIN(SUMIFS('Park Catalog'!$E:$E,'Park Catalog'!$A:$A,$B58,'Park Catalog'!$G:$G,"&lt;="&amp;$A58,'Park Catalog'!$H:$H,TRUE),$F58)</x:f>
        <x:v>0</x:v>
      </x:c>
      <x:c r="E58" s="57" t="n">
        <x:f>IFERROR($D58/$C58,"")</x:f>
        <x:v>0</x:v>
      </x:c>
      <x:c r="F58" s="58" t="n">
        <x:v>9834858.6</x:v>
      </x:c>
      <x:c r="G58" s="58" t="n">
        <x:f>IFERROR($F58/$C58,"")</x:f>
        <x:v>1008.7034461538461</x:v>
      </x:c>
      <x:c r="H58" s="59" t="n">
        <x:f>IFERROR($D58/$F58,"")</x:f>
        <x:v>0</x:v>
      </x:c>
      <x:c r="I58" s="39" t="str">
        <x:v>Historical reconstruction from dated major parks; compare with current SEDEMA total.</x:v>
      </x:c>
    </x:row>
    <x:row r="59">
      <x:c r="A59" s="39" t="n">
        <x:v>1890</x:v>
      </x:c>
      <x:c r="B59" s="39" t="str">
        <x:v>La Magdalena Contreras</x:v>
      </x:c>
      <x:c r="C59" s="56" t="n">
        <x:v>2844</x:v>
      </x:c>
      <x:c r="D59" s="56" t="n">
        <x:f>MIN(SUMIFS('Park Catalog'!$E:$E,'Park Catalog'!$A:$A,$B59,'Park Catalog'!$G:$G,"&lt;="&amp;$A59,'Park Catalog'!$H:$H,TRUE),$F59)</x:f>
        <x:v>0</x:v>
      </x:c>
      <x:c r="E59" s="57" t="n">
        <x:f>IFERROR($D59/$C59,"")</x:f>
        <x:v>0</x:v>
      </x:c>
      <x:c r="F59" s="58" t="n">
        <x:v>1335114.4</x:v>
      </x:c>
      <x:c r="G59" s="58" t="n">
        <x:f>IFERROR($F59/$C59,"")</x:f>
        <x:v>469.44950773558367</x:v>
      </x:c>
      <x:c r="H59" s="59" t="n">
        <x:f>IFERROR($D59/$F59,"")</x:f>
        <x:v>0</x:v>
      </x:c>
      <x:c r="I59" s="39" t="str">
        <x:v>Historical reconstruction from dated major parks; compare with current SEDEMA total.</x:v>
      </x:c>
    </x:row>
    <x:row r="60">
      <x:c r="A60" s="39" t="n">
        <x:v>1890</x:v>
      </x:c>
      <x:c r="B60" s="39" t="str">
        <x:v>Miguel Hidalgo</x:v>
      </x:c>
      <x:c r="C60" s="56" t="n">
        <x:v>60940</x:v>
      </x:c>
      <x:c r="D60" s="56" t="n">
        <x:f>MIN(SUMIFS('Park Catalog'!$E:$E,'Park Catalog'!$A:$A,$B60,'Park Catalog'!$G:$G,"&lt;="&amp;$A60,'Park Catalog'!$H:$H,TRUE),$F60)</x:f>
        <x:v>0</x:v>
      </x:c>
      <x:c r="E60" s="57" t="n">
        <x:f>IFERROR($D60/$C60,"")</x:f>
        <x:v>0</x:v>
      </x:c>
      <x:c r="F60" s="58" t="n">
        <x:v>5607701.5</x:v>
      </x:c>
      <x:c r="G60" s="58" t="n">
        <x:f>IFERROR($F60/$C60,"")</x:f>
        <x:v>92.02004430587463</x:v>
      </x:c>
      <x:c r="H60" s="59" t="n">
        <x:f>IFERROR($D60/$F60,"")</x:f>
        <x:v>0</x:v>
      </x:c>
      <x:c r="I60" s="39" t="str">
        <x:v>Historical reconstruction from dated major parks; compare with current SEDEMA total.</x:v>
      </x:c>
    </x:row>
    <x:row r="61">
      <x:c r="A61" s="39" t="n">
        <x:v>1890</x:v>
      </x:c>
      <x:c r="B61" s="39" t="str">
        <x:v>Milpa Alta</x:v>
      </x:c>
      <x:c r="C61" s="56" t="n">
        <x:v>7313</x:v>
      </x:c>
      <x:c r="D61" s="56" t="n">
        <x:f>MIN(SUMIFS('Park Catalog'!$E:$E,'Park Catalog'!$A:$A,$B61,'Park Catalog'!$G:$G,"&lt;="&amp;$A61,'Park Catalog'!$H:$H,TRUE),$F61)</x:f>
        <x:v>0</x:v>
      </x:c>
      <x:c r="E61" s="57" t="n">
        <x:f>IFERROR($D61/$C61,"")</x:f>
        <x:v>0</x:v>
      </x:c>
      <x:c r="F61" s="58" t="n">
        <x:v>309724</x:v>
      </x:c>
      <x:c r="G61" s="58" t="n">
        <x:f>IFERROR($F61/$C61,"")</x:f>
        <x:v>42.352522904416794</x:v>
      </x:c>
      <x:c r="H61" s="59" t="n">
        <x:f>IFERROR($D61/$F61,"")</x:f>
        <x:v>0</x:v>
      </x:c>
      <x:c r="I61" s="39" t="str">
        <x:v>Historical reconstruction from dated major parks; compare with current SEDEMA total.</x:v>
      </x:c>
    </x:row>
    <x:row r="62">
      <x:c r="A62" s="39" t="n">
        <x:v>1890</x:v>
      </x:c>
      <x:c r="B62" s="39" t="str">
        <x:v>Tláhuac</x:v>
      </x:c>
      <x:c r="C62" s="56" t="n">
        <x:v>2844</x:v>
      </x:c>
      <x:c r="D62" s="56" t="n">
        <x:f>MIN(SUMIFS('Park Catalog'!$E:$E,'Park Catalog'!$A:$A,$B62,'Park Catalog'!$G:$G,"&lt;="&amp;$A62,'Park Catalog'!$H:$H,TRUE),$F62)</x:f>
        <x:v>0</x:v>
      </x:c>
      <x:c r="E62" s="57" t="n">
        <x:f>IFERROR($D62/$C62,"")</x:f>
        <x:v>0</x:v>
      </x:c>
      <x:c r="F62" s="58" t="n">
        <x:v>3054084.7</x:v>
      </x:c>
      <x:c r="G62" s="58" t="n">
        <x:f>IFERROR($F62/$C62,"")</x:f>
        <x:v>1073.8694444444445</x:v>
      </x:c>
      <x:c r="H62" s="59" t="n">
        <x:f>IFERROR($D62/$F62,"")</x:f>
        <x:v>0</x:v>
      </x:c>
      <x:c r="I62" s="39" t="str">
        <x:v>Historical reconstruction from dated major parks; compare with current SEDEMA total.</x:v>
      </x:c>
    </x:row>
    <x:row r="63">
      <x:c r="A63" s="39" t="n">
        <x:v>1890</x:v>
      </x:c>
      <x:c r="B63" s="39" t="str">
        <x:v>Tlalpan</x:v>
      </x:c>
      <x:c r="C63" s="56" t="n">
        <x:v>4875</x:v>
      </x:c>
      <x:c r="D63" s="56" t="n">
        <x:f>MIN(SUMIFS('Park Catalog'!$E:$E,'Park Catalog'!$A:$A,$B63,'Park Catalog'!$G:$G,"&lt;="&amp;$A63,'Park Catalog'!$H:$H,TRUE),$F63)</x:f>
        <x:v>0</x:v>
      </x:c>
      <x:c r="E63" s="57" t="n">
        <x:f>IFERROR($D63/$C63,"")</x:f>
        <x:v>0</x:v>
      </x:c>
      <x:c r="F63" s="58" t="n">
        <x:v>6530744.7</x:v>
      </x:c>
      <x:c r="G63" s="58" t="n">
        <x:f>IFERROR($F63/$C63,"")</x:f>
        <x:v>1339.6399384615386</x:v>
      </x:c>
      <x:c r="H63" s="59" t="n">
        <x:f>IFERROR($D63/$F63,"")</x:f>
        <x:v>0</x:v>
      </x:c>
      <x:c r="I63" s="39" t="str">
        <x:v>Historical reconstruction from dated major parks; compare with current SEDEMA total.</x:v>
      </x:c>
    </x:row>
    <x:row r="64">
      <x:c r="A64" s="39" t="n">
        <x:v>1890</x:v>
      </x:c>
      <x:c r="B64" s="39" t="str">
        <x:v>Venustiano Carranza</x:v>
      </x:c>
      <x:c r="C64" s="56" t="n">
        <x:v>69065</x:v>
      </x:c>
      <x:c r="D64" s="56" t="n">
        <x:f>MIN(SUMIFS('Park Catalog'!$E:$E,'Park Catalog'!$A:$A,$B64,'Park Catalog'!$G:$G,"&lt;="&amp;$A64,'Park Catalog'!$H:$H,TRUE),$F64)</x:f>
        <x:v>0</x:v>
      </x:c>
      <x:c r="E64" s="57" t="n">
        <x:f>IFERROR($D64/$C64,"")</x:f>
        <x:v>0</x:v>
      </x:c>
      <x:c r="F64" s="58" t="n">
        <x:v>5805150.1</x:v>
      </x:c>
      <x:c r="G64" s="58" t="n">
        <x:f>IFERROR($F64/$C64,"")</x:f>
        <x:v>84.05342937812205</x:v>
      </x:c>
      <x:c r="H64" s="59" t="n">
        <x:f>IFERROR($D64/$F64,"")</x:f>
        <x:v>0</x:v>
      </x:c>
      <x:c r="I64" s="39" t="str">
        <x:v>Historical reconstruction from dated major parks; compare with current SEDEMA total.</x:v>
      </x:c>
    </x:row>
    <x:row r="65">
      <x:c r="A65" s="39" t="n">
        <x:v>1890</x:v>
      </x:c>
      <x:c r="B65" s="39" t="str">
        <x:v>Xochimilco</x:v>
      </x:c>
      <x:c r="C65" s="56" t="n">
        <x:v>13813</x:v>
      </x:c>
      <x:c r="D65" s="56" t="n">
        <x:f>MIN(SUMIFS('Park Catalog'!$E:$E,'Park Catalog'!$A:$A,$B65,'Park Catalog'!$G:$G,"&lt;="&amp;$A65,'Park Catalog'!$H:$H,TRUE),$F65)</x:f>
        <x:v>0</x:v>
      </x:c>
      <x:c r="E65" s="57" t="n">
        <x:f>IFERROR($D65/$C65,"")</x:f>
        <x:v>0</x:v>
      </x:c>
      <x:c r="F65" s="58" t="n">
        <x:v>2092259.6</x:v>
      </x:c>
      <x:c r="G65" s="58" t="n">
        <x:f>IFERROR($F65/$C65,"")</x:f>
        <x:v>151.47032505610656</x:v>
      </x:c>
      <x:c r="H65" s="59" t="n">
        <x:f>IFERROR($D65/$F65,"")</x:f>
        <x:v>0</x:v>
      </x:c>
      <x:c r="I65" s="39" t="str">
        <x:v>Historical reconstruction from dated major parks; compare with current SEDEMA total.</x:v>
      </x:c>
    </x:row>
    <x:row r="66">
      <x:c r="A66" s="39" t="n">
        <x:v>1900</x:v>
      </x:c>
      <x:c r="B66" s="39" t="str">
        <x:v>Álvaro Obregón</x:v>
      </x:c>
      <x:c r="C66" s="56" t="n">
        <x:v>13194</x:v>
      </x:c>
      <x:c r="D66" s="56" t="n">
        <x:f>MIN(SUMIFS('Park Catalog'!$E:$E,'Park Catalog'!$A:$A,$B66,'Park Catalog'!$G:$G,"&lt;="&amp;$A66,'Park Catalog'!$H:$H,TRUE),$F66)</x:f>
        <x:v>0</x:v>
      </x:c>
      <x:c r="E66" s="57" t="n">
        <x:f>IFERROR($D66/$C66,"")</x:f>
        <x:v>0</x:v>
      </x:c>
      <x:c r="F66" s="58" t="n">
        <x:v>4913463.7</x:v>
      </x:c>
      <x:c r="G66" s="58" t="n">
        <x:f>IFERROR($F66/$C66,"")</x:f>
        <x:v>372.4013718356829</x:v>
      </x:c>
      <x:c r="H66" s="59" t="n">
        <x:f>IFERROR($D66/$F66,"")</x:f>
        <x:v>0</x:v>
      </x:c>
      <x:c r="I66" s="39" t="str">
        <x:v>Historical reconstruction from dated major parks; compare with current SEDEMA total.</x:v>
      </x:c>
    </x:row>
    <x:row r="67">
      <x:c r="A67" s="39" t="n">
        <x:v>1900</x:v>
      </x:c>
      <x:c r="B67" s="39" t="str">
        <x:v>Azcapotzalco</x:v>
      </x:c>
      <x:c r="C67" s="56" t="n">
        <x:v>12095</x:v>
      </x:c>
      <x:c r="D67" s="56" t="n">
        <x:f>MIN(SUMIFS('Park Catalog'!$E:$E,'Park Catalog'!$A:$A,$B67,'Park Catalog'!$G:$G,"&lt;="&amp;$A67,'Park Catalog'!$H:$H,TRUE),$F67)</x:f>
        <x:v>0</x:v>
      </x:c>
      <x:c r="E67" s="57" t="n">
        <x:f>IFERROR($D67/$C67,"")</x:f>
        <x:v>0</x:v>
      </x:c>
      <x:c r="F67" s="58" t="n">
        <x:v>3980866.7</x:v>
      </x:c>
      <x:c r="G67" s="58" t="n">
        <x:f>IFERROR($F67/$C67,"")</x:f>
        <x:v>329.13325341050023</x:v>
      </x:c>
      <x:c r="H67" s="59" t="n">
        <x:f>IFERROR($D67/$F67,"")</x:f>
        <x:v>0</x:v>
      </x:c>
      <x:c r="I67" s="39" t="str">
        <x:v>Historical reconstruction from dated major parks; compare with current SEDEMA total.</x:v>
      </x:c>
    </x:row>
    <x:row r="68">
      <x:c r="A68" s="39" t="n">
        <x:v>1900</x:v>
      </x:c>
      <x:c r="B68" s="39" t="str">
        <x:v>Benito Juárez</x:v>
      </x:c>
      <x:c r="C68" s="56" t="n">
        <x:v>76967</x:v>
      </x:c>
      <x:c r="D68" s="56" t="n">
        <x:f>MIN(SUMIFS('Park Catalog'!$E:$E,'Park Catalog'!$A:$A,$B68,'Park Catalog'!$G:$G,"&lt;="&amp;$A68,'Park Catalog'!$H:$H,TRUE),$F68)</x:f>
        <x:v>0</x:v>
      </x:c>
      <x:c r="E68" s="57" t="n">
        <x:f>IFERROR($D68/$C68,"")</x:f>
        <x:v>0</x:v>
      </x:c>
      <x:c r="F68" s="58" t="n">
        <x:v>929230.8</x:v>
      </x:c>
      <x:c r="G68" s="58" t="n">
        <x:f>IFERROR($F68/$C68,"")</x:f>
        <x:v>12.073106656099368</x:v>
      </x:c>
      <x:c r="H68" s="59" t="n">
        <x:f>IFERROR($D68/$F68,"")</x:f>
        <x:v>0</x:v>
      </x:c>
      <x:c r="I68" s="39" t="str">
        <x:v>Historical reconstruction from dated major parks; compare with current SEDEMA total.</x:v>
      </x:c>
    </x:row>
    <x:row r="69">
      <x:c r="A69" s="39" t="n">
        <x:v>1900</x:v>
      </x:c>
      <x:c r="B69" s="39" t="str">
        <x:v>Coyoacán</x:v>
      </x:c>
      <x:c r="C69" s="56" t="n">
        <x:v>9896</x:v>
      </x:c>
      <x:c r="D69" s="56" t="n">
        <x:f>MIN(SUMIFS('Park Catalog'!$E:$E,'Park Catalog'!$A:$A,$B69,'Park Catalog'!$G:$G,"&lt;="&amp;$A69,'Park Catalog'!$H:$H,TRUE),$F69)</x:f>
        <x:v>0</x:v>
      </x:c>
      <x:c r="E69" s="57" t="n">
        <x:f>IFERROR($D69/$C69,"")</x:f>
        <x:v>0</x:v>
      </x:c>
      <x:c r="F69" s="58" t="n">
        <x:v>9157547.7</x:v>
      </x:c>
      <x:c r="G69" s="58" t="n">
        <x:f>IFERROR($F69/$C69,"")</x:f>
        <x:v>925.3787085691188</x:v>
      </x:c>
      <x:c r="H69" s="59" t="n">
        <x:f>IFERROR($D69/$F69,"")</x:f>
        <x:v>0</x:v>
      </x:c>
      <x:c r="I69" s="39" t="str">
        <x:v>Historical reconstruction from dated major parks; compare with current SEDEMA total.</x:v>
      </x:c>
    </x:row>
    <x:row r="70">
      <x:c r="A70" s="39" t="n">
        <x:v>1900</x:v>
      </x:c>
      <x:c r="B70" s="39" t="str">
        <x:v>Cuajimalpa de Morelos</x:v>
      </x:c>
      <x:c r="C70" s="56" t="n">
        <x:v>5498</x:v>
      </x:c>
      <x:c r="D70" s="56" t="n">
        <x:f>MIN(SUMIFS('Park Catalog'!$E:$E,'Park Catalog'!$A:$A,$B70,'Park Catalog'!$G:$G,"&lt;="&amp;$A70,'Park Catalog'!$H:$H,TRUE),$F70)</x:f>
        <x:v>0</x:v>
      </x:c>
      <x:c r="E70" s="57" t="n">
        <x:f>IFERROR($D70/$C70,"")</x:f>
        <x:v>0</x:v>
      </x:c>
      <x:c r="F70" s="58" t="n">
        <x:v>2048957.7</x:v>
      </x:c>
      <x:c r="G70" s="58" t="n">
        <x:f>IFERROR($F70/$C70,"")</x:f>
        <x:v>372.67328119316113</x:v>
      </x:c>
      <x:c r="H70" s="59" t="n">
        <x:f>IFERROR($D70/$F70,"")</x:f>
        <x:v>0</x:v>
      </x:c>
      <x:c r="I70" s="39" t="str">
        <x:v>Historical reconstruction from dated major parks; compare with current SEDEMA total.</x:v>
      </x:c>
    </x:row>
    <x:row r="71">
      <x:c r="A71" s="39" t="n">
        <x:v>1900</x:v>
      </x:c>
      <x:c r="B71" s="39" t="str">
        <x:v>Cuauhtémoc</x:v>
      </x:c>
      <x:c r="C71" s="56" t="n">
        <x:v>175924</x:v>
      </x:c>
      <x:c r="D71" s="56" t="n">
        <x:f>MIN(SUMIFS('Park Catalog'!$E:$E,'Park Catalog'!$A:$A,$B71,'Park Catalog'!$G:$G,"&lt;="&amp;$A71,'Park Catalog'!$H:$H,TRUE),$F71)</x:f>
        <x:v>0</x:v>
      </x:c>
      <x:c r="E71" s="57" t="n">
        <x:f>IFERROR($D71/$C71,"")</x:f>
        <x:v>0</x:v>
      </x:c>
      <x:c r="F71" s="58" t="n">
        <x:v>1915961</x:v>
      </x:c>
      <x:c r="G71" s="58" t="n">
        <x:f>IFERROR($F71/$C71,"")</x:f>
        <x:v>10.890844910302176</x:v>
      </x:c>
      <x:c r="H71" s="59" t="n">
        <x:f>IFERROR($D71/$F71,"")</x:f>
        <x:v>0</x:v>
      </x:c>
      <x:c r="I71" s="39" t="str">
        <x:v>Historical reconstruction from dated major parks; compare with current SEDEMA total.</x:v>
      </x:c>
    </x:row>
    <x:row r="72">
      <x:c r="A72" s="39" t="n">
        <x:v>1900</x:v>
      </x:c>
      <x:c r="B72" s="39" t="str">
        <x:v>Gustavo A. Madero</x:v>
      </x:c>
      <x:c r="C72" s="56" t="n">
        <x:v>10995</x:v>
      </x:c>
      <x:c r="D72" s="56" t="n">
        <x:f>MIN(SUMIFS('Park Catalog'!$E:$E,'Park Catalog'!$A:$A,$B72,'Park Catalog'!$G:$G,"&lt;="&amp;$A72,'Park Catalog'!$H:$H,TRUE),$F72)</x:f>
        <x:v>0</x:v>
      </x:c>
      <x:c r="E72" s="57" t="n">
        <x:f>IFERROR($D72/$C72,"")</x:f>
        <x:v>0</x:v>
      </x:c>
      <x:c r="F72" s="58" t="n">
        <x:v>7851619.6</x:v>
      </x:c>
      <x:c r="G72" s="58" t="n">
        <x:f>IFERROR($F72/$C72,"")</x:f>
        <x:v>714.1081946339244</x:v>
      </x:c>
      <x:c r="H72" s="59" t="n">
        <x:f>IFERROR($D72/$F72,"")</x:f>
        <x:v>0</x:v>
      </x:c>
      <x:c r="I72" s="39" t="str">
        <x:v>Historical reconstruction from dated major parks; compare with current SEDEMA total.</x:v>
      </x:c>
    </x:row>
    <x:row r="73">
      <x:c r="A73" s="39" t="n">
        <x:v>1900</x:v>
      </x:c>
      <x:c r="B73" s="39" t="str">
        <x:v>Iztacalco</x:v>
      </x:c>
      <x:c r="C73" s="56" t="n">
        <x:v>4948</x:v>
      </x:c>
      <x:c r="D73" s="56" t="n">
        <x:f>MIN(SUMIFS('Park Catalog'!$E:$E,'Park Catalog'!$A:$A,$B73,'Park Catalog'!$G:$G,"&lt;="&amp;$A73,'Park Catalog'!$H:$H,TRUE),$F73)</x:f>
        <x:v>0</x:v>
      </x:c>
      <x:c r="E73" s="57" t="n">
        <x:f>IFERROR($D73/$C73,"")</x:f>
        <x:v>0</x:v>
      </x:c>
      <x:c r="F73" s="58" t="n">
        <x:v>1944289</x:v>
      </x:c>
      <x:c r="G73" s="58" t="n">
        <x:f>IFERROR($F73/$C73,"")</x:f>
        <x:v>392.9444219886823</x:v>
      </x:c>
      <x:c r="H73" s="59" t="n">
        <x:f>IFERROR($D73/$F73,"")</x:f>
        <x:v>0</x:v>
      </x:c>
      <x:c r="I73" s="39" t="str">
        <x:v>Historical reconstruction from dated major parks; compare with current SEDEMA total.</x:v>
      </x:c>
    </x:row>
    <x:row r="74">
      <x:c r="A74" s="39" t="n">
        <x:v>1900</x:v>
      </x:c>
      <x:c r="B74" s="39" t="str">
        <x:v>Iztapalapa</x:v>
      </x:c>
      <x:c r="C74" s="56" t="n">
        <x:v>13194</x:v>
      </x:c>
      <x:c r="D74" s="56" t="n">
        <x:f>MIN(SUMIFS('Park Catalog'!$E:$E,'Park Catalog'!$A:$A,$B74,'Park Catalog'!$G:$G,"&lt;="&amp;$A74,'Park Catalog'!$H:$H,TRUE),$F74)</x:f>
        <x:v>0</x:v>
      </x:c>
      <x:c r="E74" s="57" t="n">
        <x:f>IFERROR($D74/$C74,"")</x:f>
        <x:v>0</x:v>
      </x:c>
      <x:c r="F74" s="58" t="n">
        <x:v>9834858.6</x:v>
      </x:c>
      <x:c r="G74" s="58" t="n">
        <x:f>IFERROR($F74/$C74,"")</x:f>
        <x:v>745.4038653933605</x:v>
      </x:c>
      <x:c r="H74" s="59" t="n">
        <x:f>IFERROR($D74/$F74,"")</x:f>
        <x:v>0</x:v>
      </x:c>
      <x:c r="I74" s="39" t="str">
        <x:v>Historical reconstruction from dated major parks; compare with current SEDEMA total.</x:v>
      </x:c>
    </x:row>
    <x:row r="75">
      <x:c r="A75" s="39" t="n">
        <x:v>1900</x:v>
      </x:c>
      <x:c r="B75" s="39" t="str">
        <x:v>La Magdalena Contreras</x:v>
      </x:c>
      <x:c r="C75" s="56" t="n">
        <x:v>3848</x:v>
      </x:c>
      <x:c r="D75" s="56" t="n">
        <x:f>MIN(SUMIFS('Park Catalog'!$E:$E,'Park Catalog'!$A:$A,$B75,'Park Catalog'!$G:$G,"&lt;="&amp;$A75,'Park Catalog'!$H:$H,TRUE),$F75)</x:f>
        <x:v>0</x:v>
      </x:c>
      <x:c r="E75" s="57" t="n">
        <x:f>IFERROR($D75/$C75,"")</x:f>
        <x:v>0</x:v>
      </x:c>
      <x:c r="F75" s="58" t="n">
        <x:v>1335114.4</x:v>
      </x:c>
      <x:c r="G75" s="58" t="n">
        <x:f>IFERROR($F75/$C75,"")</x:f>
        <x:v>346.96320166320163</x:v>
      </x:c>
      <x:c r="H75" s="59" t="n">
        <x:f>IFERROR($D75/$F75,"")</x:f>
        <x:v>0</x:v>
      </x:c>
      <x:c r="I75" s="39" t="str">
        <x:v>Historical reconstruction from dated major parks; compare with current SEDEMA total.</x:v>
      </x:c>
    </x:row>
    <x:row r="76">
      <x:c r="A76" s="39" t="n">
        <x:v>1900</x:v>
      </x:c>
      <x:c r="B76" s="39" t="str">
        <x:v>Miguel Hidalgo</x:v>
      </x:c>
      <x:c r="C76" s="56" t="n">
        <x:v>82464</x:v>
      </x:c>
      <x:c r="D76" s="56" t="n">
        <x:f>MIN(SUMIFS('Park Catalog'!$E:$E,'Park Catalog'!$A:$A,$B76,'Park Catalog'!$G:$G,"&lt;="&amp;$A76,'Park Catalog'!$H:$H,TRUE),$F76)</x:f>
        <x:v>0</x:v>
      </x:c>
      <x:c r="E76" s="57" t="n">
        <x:f>IFERROR($D76/$C76,"")</x:f>
        <x:v>0</x:v>
      </x:c>
      <x:c r="F76" s="58" t="n">
        <x:v>5607701.5</x:v>
      </x:c>
      <x:c r="G76" s="58" t="n">
        <x:f>IFERROR($F76/$C76,"")</x:f>
        <x:v>68.00181291230112</x:v>
      </x:c>
      <x:c r="H76" s="59" t="n">
        <x:f>IFERROR($D76/$F76,"")</x:f>
        <x:v>0</x:v>
      </x:c>
      <x:c r="I76" s="39" t="str">
        <x:v>Historical reconstruction from dated major parks; compare with current SEDEMA total.</x:v>
      </x:c>
    </x:row>
    <x:row r="77">
      <x:c r="A77" s="39" t="n">
        <x:v>1900</x:v>
      </x:c>
      <x:c r="B77" s="39" t="str">
        <x:v>Milpa Alta</x:v>
      </x:c>
      <x:c r="C77" s="56" t="n">
        <x:v>9896</x:v>
      </x:c>
      <x:c r="D77" s="56" t="n">
        <x:f>MIN(SUMIFS('Park Catalog'!$E:$E,'Park Catalog'!$A:$A,$B77,'Park Catalog'!$G:$G,"&lt;="&amp;$A77,'Park Catalog'!$H:$H,TRUE),$F77)</x:f>
        <x:v>0</x:v>
      </x:c>
      <x:c r="E77" s="57" t="n">
        <x:f>IFERROR($D77/$C77,"")</x:f>
        <x:v>0</x:v>
      </x:c>
      <x:c r="F77" s="58" t="n">
        <x:v>309724</x:v>
      </x:c>
      <x:c r="G77" s="58" t="n">
        <x:f>IFERROR($F77/$C77,"")</x:f>
        <x:v>31.297898140662895</x:v>
      </x:c>
      <x:c r="H77" s="59" t="n">
        <x:f>IFERROR($D77/$F77,"")</x:f>
        <x:v>0</x:v>
      </x:c>
      <x:c r="I77" s="39" t="str">
        <x:v>Historical reconstruction from dated major parks; compare with current SEDEMA total.</x:v>
      </x:c>
    </x:row>
    <x:row r="78">
      <x:c r="A78" s="39" t="n">
        <x:v>1900</x:v>
      </x:c>
      <x:c r="B78" s="39" t="str">
        <x:v>Tláhuac</x:v>
      </x:c>
      <x:c r="C78" s="56" t="n">
        <x:v>3848</x:v>
      </x:c>
      <x:c r="D78" s="56" t="n">
        <x:f>MIN(SUMIFS('Park Catalog'!$E:$E,'Park Catalog'!$A:$A,$B78,'Park Catalog'!$G:$G,"&lt;="&amp;$A78,'Park Catalog'!$H:$H,TRUE),$F78)</x:f>
        <x:v>0</x:v>
      </x:c>
      <x:c r="E78" s="57" t="n">
        <x:f>IFERROR($D78/$C78,"")</x:f>
        <x:v>0</x:v>
      </x:c>
      <x:c r="F78" s="58" t="n">
        <x:v>3054084.7</x:v>
      </x:c>
      <x:c r="G78" s="58" t="n">
        <x:f>IFERROR($F78/$C78,"")</x:f>
        <x:v>793.6810550935552</x:v>
      </x:c>
      <x:c r="H78" s="59" t="n">
        <x:f>IFERROR($D78/$F78,"")</x:f>
        <x:v>0</x:v>
      </x:c>
      <x:c r="I78" s="39" t="str">
        <x:v>Historical reconstruction from dated major parks; compare with current SEDEMA total.</x:v>
      </x:c>
    </x:row>
    <x:row r="79">
      <x:c r="A79" s="39" t="n">
        <x:v>1900</x:v>
      </x:c>
      <x:c r="B79" s="39" t="str">
        <x:v>Tlalpan</x:v>
      </x:c>
      <x:c r="C79" s="56" t="n">
        <x:v>6597</x:v>
      </x:c>
      <x:c r="D79" s="56" t="n">
        <x:f>MIN(SUMIFS('Park Catalog'!$E:$E,'Park Catalog'!$A:$A,$B79,'Park Catalog'!$G:$G,"&lt;="&amp;$A79,'Park Catalog'!$H:$H,TRUE),$F79)</x:f>
        <x:v>0</x:v>
      </x:c>
      <x:c r="E79" s="57" t="n">
        <x:f>IFERROR($D79/$C79,"")</x:f>
        <x:v>0</x:v>
      </x:c>
      <x:c r="F79" s="58" t="n">
        <x:v>6530744.7</x:v>
      </x:c>
      <x:c r="G79" s="58" t="n">
        <x:f>IFERROR($F79/$C79,"")</x:f>
        <x:v>989.9567530695771</x:v>
      </x:c>
      <x:c r="H79" s="59" t="n">
        <x:f>IFERROR($D79/$F79,"")</x:f>
        <x:v>0</x:v>
      </x:c>
      <x:c r="I79" s="39" t="str">
        <x:v>Historical reconstruction from dated major parks; compare with current SEDEMA total.</x:v>
      </x:c>
    </x:row>
    <x:row r="80">
      <x:c r="A80" s="39" t="n">
        <x:v>1900</x:v>
      </x:c>
      <x:c r="B80" s="39" t="str">
        <x:v>Venustiano Carranza</x:v>
      </x:c>
      <x:c r="C80" s="56" t="n">
        <x:v>93460</x:v>
      </x:c>
      <x:c r="D80" s="56" t="n">
        <x:f>MIN(SUMIFS('Park Catalog'!$E:$E,'Park Catalog'!$A:$A,$B80,'Park Catalog'!$G:$G,"&lt;="&amp;$A80,'Park Catalog'!$H:$H,TRUE),$F80)</x:f>
        <x:v>0</x:v>
      </x:c>
      <x:c r="E80" s="57" t="n">
        <x:f>IFERROR($D80/$C80,"")</x:f>
        <x:v>0</x:v>
      </x:c>
      <x:c r="F80" s="58" t="n">
        <x:v>5805150.1</x:v>
      </x:c>
      <x:c r="G80" s="58" t="n">
        <x:f>IFERROR($F80/$C80,"")</x:f>
        <x:v>62.1137395677295</x:v>
      </x:c>
      <x:c r="H80" s="59" t="n">
        <x:f>IFERROR($D80/$F80,"")</x:f>
        <x:v>0</x:v>
      </x:c>
      <x:c r="I80" s="39" t="str">
        <x:v>Historical reconstruction from dated major parks; compare with current SEDEMA total.</x:v>
      </x:c>
    </x:row>
    <x:row r="81">
      <x:c r="A81" s="39" t="n">
        <x:v>1900</x:v>
      </x:c>
      <x:c r="B81" s="39" t="str">
        <x:v>Xochimilco</x:v>
      </x:c>
      <x:c r="C81" s="56" t="n">
        <x:v>18692</x:v>
      </x:c>
      <x:c r="D81" s="56" t="n">
        <x:f>MIN(SUMIFS('Park Catalog'!$E:$E,'Park Catalog'!$A:$A,$B81,'Park Catalog'!$G:$G,"&lt;="&amp;$A81,'Park Catalog'!$H:$H,TRUE),$F81)</x:f>
        <x:v>0</x:v>
      </x:c>
      <x:c r="E81" s="57" t="n">
        <x:f>IFERROR($D81/$C81,"")</x:f>
        <x:v>0</x:v>
      </x:c>
      <x:c r="F81" s="58" t="n">
        <x:v>2092259.6</x:v>
      </x:c>
      <x:c r="G81" s="58" t="n">
        <x:f>IFERROR($F81/$C81,"")</x:f>
        <x:v>111.93342606462659</x:v>
      </x:c>
      <x:c r="H81" s="59" t="n">
        <x:f>IFERROR($D81/$F81,"")</x:f>
        <x:v>0</x:v>
      </x:c>
      <x:c r="I81" s="39" t="str">
        <x:v>Historical reconstruction from dated major parks; compare with current SEDEMA total.</x:v>
      </x:c>
    </x:row>
    <x:row r="82">
      <x:c r="A82" s="39" t="n">
        <x:v>1910</x:v>
      </x:c>
      <x:c r="B82" s="39" t="str">
        <x:v>Álvaro Obregón</x:v>
      </x:c>
      <x:c r="C82" s="56" t="n">
        <x:v>20166</x:v>
      </x:c>
      <x:c r="D82" s="56" t="n">
        <x:f>MIN(SUMIFS('Park Catalog'!$E:$E,'Park Catalog'!$A:$A,$B82,'Park Catalog'!$G:$G,"&lt;="&amp;$A82,'Park Catalog'!$H:$H,TRUE),$F82)</x:f>
        <x:v>0</x:v>
      </x:c>
      <x:c r="E82" s="57" t="n">
        <x:f>IFERROR($D82/$C82,"")</x:f>
        <x:v>0</x:v>
      </x:c>
      <x:c r="F82" s="58" t="n">
        <x:v>4913463.7</x:v>
      </x:c>
      <x:c r="G82" s="58" t="n">
        <x:f>IFERROR($F82/$C82,"")</x:f>
        <x:v>243.65088267380742</x:v>
      </x:c>
      <x:c r="H82" s="59" t="n">
        <x:f>IFERROR($D82/$F82,"")</x:f>
        <x:v>0</x:v>
      </x:c>
      <x:c r="I82" s="39" t="str">
        <x:v>Historical reconstruction from dated major parks; compare with current SEDEMA total.</x:v>
      </x:c>
    </x:row>
    <x:row r="83">
      <x:c r="A83" s="39" t="n">
        <x:v>1910</x:v>
      </x:c>
      <x:c r="B83" s="39" t="str">
        <x:v>Azcapotzalco</x:v>
      </x:c>
      <x:c r="C83" s="56" t="n">
        <x:v>32638</x:v>
      </x:c>
      <x:c r="D83" s="56" t="n">
        <x:f>MIN(SUMIFS('Park Catalog'!$E:$E,'Park Catalog'!$A:$A,$B83,'Park Catalog'!$G:$G,"&lt;="&amp;$A83,'Park Catalog'!$H:$H,TRUE),$F83)</x:f>
        <x:v>0</x:v>
      </x:c>
      <x:c r="E83" s="57" t="n">
        <x:f>IFERROR($D83/$C83,"")</x:f>
        <x:v>0</x:v>
      </x:c>
      <x:c r="F83" s="58" t="n">
        <x:v>3980866.7</x:v>
      </x:c>
      <x:c r="G83" s="58" t="n">
        <x:f>IFERROR($F83/$C83,"")</x:f>
        <x:v>121.97030148906184</x:v>
      </x:c>
      <x:c r="H83" s="59" t="n">
        <x:f>IFERROR($D83/$F83,"")</x:f>
        <x:v>0</x:v>
      </x:c>
      <x:c r="I83" s="39" t="str">
        <x:v>Historical reconstruction from dated major parks; compare with current SEDEMA total.</x:v>
      </x:c>
    </x:row>
    <x:row r="84">
      <x:c r="A84" s="39" t="n">
        <x:v>1910</x:v>
      </x:c>
      <x:c r="B84" s="39" t="str">
        <x:v>Benito Juárez</x:v>
      </x:c>
      <x:c r="C84" s="56" t="n">
        <x:v>107351</x:v>
      </x:c>
      <x:c r="D84" s="56" t="n">
        <x:f>MIN(SUMIFS('Park Catalog'!$E:$E,'Park Catalog'!$A:$A,$B84,'Park Catalog'!$G:$G,"&lt;="&amp;$A84,'Park Catalog'!$H:$H,TRUE),$F84)</x:f>
        <x:v>0</x:v>
      </x:c>
      <x:c r="E84" s="57" t="n">
        <x:f>IFERROR($D84/$C84,"")</x:f>
        <x:v>0</x:v>
      </x:c>
      <x:c r="F84" s="58" t="n">
        <x:v>929230.8</x:v>
      </x:c>
      <x:c r="G84" s="58" t="n">
        <x:f>IFERROR($F84/$C84,"")</x:f>
        <x:v>8.656005067488891</x:v>
      </x:c>
      <x:c r="H84" s="59" t="n">
        <x:f>IFERROR($D84/$F84,"")</x:f>
        <x:v>0</x:v>
      </x:c>
      <x:c r="I84" s="39" t="str">
        <x:v>Historical reconstruction from dated major parks; compare with current SEDEMA total.</x:v>
      </x:c>
    </x:row>
    <x:row r="85">
      <x:c r="A85" s="39" t="n">
        <x:v>1910</x:v>
      </x:c>
      <x:c r="B85" s="39" t="str">
        <x:v>Coyoacán</x:v>
      </x:c>
      <x:c r="C85" s="56" t="n">
        <x:v>15141</x:v>
      </x:c>
      <x:c r="D85" s="56" t="n">
        <x:f>MIN(SUMIFS('Park Catalog'!$E:$E,'Park Catalog'!$A:$A,$B85,'Park Catalog'!$G:$G,"&lt;="&amp;$A85,'Park Catalog'!$H:$H,TRUE),$F85)</x:f>
        <x:v>0</x:v>
      </x:c>
      <x:c r="E85" s="57" t="n">
        <x:f>IFERROR($D85/$C85,"")</x:f>
        <x:v>0</x:v>
      </x:c>
      <x:c r="F85" s="58" t="n">
        <x:v>9157547.7</x:v>
      </x:c>
      <x:c r="G85" s="58" t="n">
        <x:f>IFERROR($F85/$C85,"")</x:f>
        <x:v>604.8178918169209</x:v>
      </x:c>
      <x:c r="H85" s="59" t="n">
        <x:f>IFERROR($D85/$F85,"")</x:f>
        <x:v>0</x:v>
      </x:c>
      <x:c r="I85" s="39" t="str">
        <x:v>Historical reconstruction from dated major parks; compare with current SEDEMA total.</x:v>
      </x:c>
    </x:row>
    <x:row r="86">
      <x:c r="A86" s="39" t="n">
        <x:v>1910</x:v>
      </x:c>
      <x:c r="B86" s="39" t="str">
        <x:v>Cuajimalpa de Morelos</x:v>
      </x:c>
      <x:c r="C86" s="56" t="n">
        <x:v>4376</x:v>
      </x:c>
      <x:c r="D86" s="56" t="n">
        <x:f>MIN(SUMIFS('Park Catalog'!$E:$E,'Park Catalog'!$A:$A,$B86,'Park Catalog'!$G:$G,"&lt;="&amp;$A86,'Park Catalog'!$H:$H,TRUE),$F86)</x:f>
        <x:v>0</x:v>
      </x:c>
      <x:c r="E86" s="57" t="n">
        <x:f>IFERROR($D86/$C86,"")</x:f>
        <x:v>0</x:v>
      </x:c>
      <x:c r="F86" s="58" t="n">
        <x:v>2048957.7</x:v>
      </x:c>
      <x:c r="G86" s="58" t="n">
        <x:f>IFERROR($F86/$C86,"")</x:f>
        <x:v>468.2261654478976</x:v>
      </x:c>
      <x:c r="H86" s="59" t="n">
        <x:f>IFERROR($D86/$F86,"")</x:f>
        <x:v>0</x:v>
      </x:c>
      <x:c r="I86" s="39" t="str">
        <x:v>Historical reconstruction from dated major parks; compare with current SEDEMA total.</x:v>
      </x:c>
    </x:row>
    <x:row r="87">
      <x:c r="A87" s="39" t="n">
        <x:v>1910</x:v>
      </x:c>
      <x:c r="B87" s="39" t="str">
        <x:v>Cuauhtémoc</x:v>
      </x:c>
      <x:c r="C87" s="56" t="n">
        <x:v>194179</x:v>
      </x:c>
      <x:c r="D87" s="56" t="n">
        <x:f>MIN(SUMIFS('Park Catalog'!$E:$E,'Park Catalog'!$A:$A,$B87,'Park Catalog'!$G:$G,"&lt;="&amp;$A87,'Park Catalog'!$H:$H,TRUE),$F87)</x:f>
        <x:v>0</x:v>
      </x:c>
      <x:c r="E87" s="57" t="n">
        <x:f>IFERROR($D87/$C87,"")</x:f>
        <x:v>0</x:v>
      </x:c>
      <x:c r="F87" s="58" t="n">
        <x:v>1915961</x:v>
      </x:c>
      <x:c r="G87" s="58" t="n">
        <x:f>IFERROR($F87/$C87,"")</x:f>
        <x:v>9.866983556409293</x:v>
      </x:c>
      <x:c r="H87" s="59" t="n">
        <x:f>IFERROR($D87/$F87,"")</x:f>
        <x:v>0</x:v>
      </x:c>
      <x:c r="I87" s="39" t="str">
        <x:v>Historical reconstruction from dated major parks; compare with current SEDEMA total.</x:v>
      </x:c>
    </x:row>
    <x:row r="88">
      <x:c r="A88" s="39" t="n">
        <x:v>1910</x:v>
      </x:c>
      <x:c r="B88" s="39" t="str">
        <x:v>Gustavo A. Madero</x:v>
      </x:c>
      <x:c r="C88" s="56" t="n">
        <x:v>34375</x:v>
      </x:c>
      <x:c r="D88" s="56" t="n">
        <x:f>MIN(SUMIFS('Park Catalog'!$E:$E,'Park Catalog'!$A:$A,$B88,'Park Catalog'!$G:$G,"&lt;="&amp;$A88,'Park Catalog'!$H:$H,TRUE),$F88)</x:f>
        <x:v>0</x:v>
      </x:c>
      <x:c r="E88" s="57" t="n">
        <x:f>IFERROR($D88/$C88,"")</x:f>
        <x:v>0</x:v>
      </x:c>
      <x:c r="F88" s="58" t="n">
        <x:v>7851619.6</x:v>
      </x:c>
      <x:c r="G88" s="58" t="n">
        <x:f>IFERROR($F88/$C88,"")</x:f>
        <x:v>228.410752</x:v>
      </x:c>
      <x:c r="H88" s="59" t="n">
        <x:f>IFERROR($D88/$F88,"")</x:f>
        <x:v>0</x:v>
      </x:c>
      <x:c r="I88" s="39" t="str">
        <x:v>Historical reconstruction from dated major parks; compare with current SEDEMA total.</x:v>
      </x:c>
    </x:row>
    <x:row r="89">
      <x:c r="A89" s="39" t="n">
        <x:v>1910</x:v>
      </x:c>
      <x:c r="B89" s="39" t="str">
        <x:v>Iztacalco</x:v>
      </x:c>
      <x:c r="C89" s="56" t="n">
        <x:v>7424</x:v>
      </x:c>
      <x:c r="D89" s="56" t="n">
        <x:f>MIN(SUMIFS('Park Catalog'!$E:$E,'Park Catalog'!$A:$A,$B89,'Park Catalog'!$G:$G,"&lt;="&amp;$A89,'Park Catalog'!$H:$H,TRUE),$F89)</x:f>
        <x:v>0</x:v>
      </x:c>
      <x:c r="E89" s="57" t="n">
        <x:f>IFERROR($D89/$C89,"")</x:f>
        <x:v>0</x:v>
      </x:c>
      <x:c r="F89" s="58" t="n">
        <x:v>1944289</x:v>
      </x:c>
      <x:c r="G89" s="58" t="n">
        <x:f>IFERROR($F89/$C89,"")</x:f>
        <x:v>261.8923760775862</x:v>
      </x:c>
      <x:c r="H89" s="59" t="n">
        <x:f>IFERROR($D89/$F89,"")</x:f>
        <x:v>0</x:v>
      </x:c>
      <x:c r="I89" s="39" t="str">
        <x:v>Historical reconstruction from dated major parks; compare with current SEDEMA total.</x:v>
      </x:c>
    </x:row>
    <x:row r="90">
      <x:c r="A90" s="39" t="n">
        <x:v>1910</x:v>
      </x:c>
      <x:c r="B90" s="39" t="str">
        <x:v>Iztapalapa</x:v>
      </x:c>
      <x:c r="C90" s="56" t="n">
        <x:v>17879</x:v>
      </x:c>
      <x:c r="D90" s="56" t="n">
        <x:f>MIN(SUMIFS('Park Catalog'!$E:$E,'Park Catalog'!$A:$A,$B90,'Park Catalog'!$G:$G,"&lt;="&amp;$A90,'Park Catalog'!$H:$H,TRUE),$F90)</x:f>
        <x:v>0</x:v>
      </x:c>
      <x:c r="E90" s="57" t="n">
        <x:f>IFERROR($D90/$C90,"")</x:f>
        <x:v>0</x:v>
      </x:c>
      <x:c r="F90" s="58" t="n">
        <x:v>9834858.6</x:v>
      </x:c>
      <x:c r="G90" s="58" t="n">
        <x:f>IFERROR($F90/$C90,"")</x:f>
        <x:v>550.0787851669556</x:v>
      </x:c>
      <x:c r="H90" s="59" t="n">
        <x:f>IFERROR($D90/$F90,"")</x:f>
        <x:v>0</x:v>
      </x:c>
      <x:c r="I90" s="39" t="str">
        <x:v>Historical reconstruction from dated major parks; compare with current SEDEMA total.</x:v>
      </x:c>
    </x:row>
    <x:row r="91">
      <x:c r="A91" s="39" t="n">
        <x:v>1910</x:v>
      </x:c>
      <x:c r="B91" s="39" t="str">
        <x:v>La Magdalena Contreras</x:v>
      </x:c>
      <x:c r="C91" s="56" t="n">
        <x:v>5160</x:v>
      </x:c>
      <x:c r="D91" s="56" t="n">
        <x:f>MIN(SUMIFS('Park Catalog'!$E:$E,'Park Catalog'!$A:$A,$B91,'Park Catalog'!$G:$G,"&lt;="&amp;$A91,'Park Catalog'!$H:$H,TRUE),$F91)</x:f>
        <x:v>0</x:v>
      </x:c>
      <x:c r="E91" s="57" t="n">
        <x:f>IFERROR($D91/$C91,"")</x:f>
        <x:v>0</x:v>
      </x:c>
      <x:c r="F91" s="58" t="n">
        <x:v>1335114.4</x:v>
      </x:c>
      <x:c r="G91" s="58" t="n">
        <x:f>IFERROR($F91/$C91,"")</x:f>
        <x:v>258.7431007751938</x:v>
      </x:c>
      <x:c r="H91" s="59" t="n">
        <x:f>IFERROR($D91/$F91,"")</x:f>
        <x:v>0</x:v>
      </x:c>
      <x:c r="I91" s="39" t="str">
        <x:v>Historical reconstruction from dated major parks; compare with current SEDEMA total.</x:v>
      </x:c>
    </x:row>
    <x:row r="92">
      <x:c r="A92" s="39" t="n">
        <x:v>1910</x:v>
      </x:c>
      <x:c r="B92" s="39" t="str">
        <x:v>Miguel Hidalgo</x:v>
      </x:c>
      <x:c r="C92" s="56" t="n">
        <x:v>110174</x:v>
      </x:c>
      <x:c r="D92" s="56" t="n">
        <x:f>MIN(SUMIFS('Park Catalog'!$E:$E,'Park Catalog'!$A:$A,$B92,'Park Catalog'!$G:$G,"&lt;="&amp;$A92,'Park Catalog'!$H:$H,TRUE),$F92)</x:f>
        <x:v>0</x:v>
      </x:c>
      <x:c r="E92" s="57" t="n">
        <x:f>IFERROR($D92/$C92,"")</x:f>
        <x:v>0</x:v>
      </x:c>
      <x:c r="F92" s="58" t="n">
        <x:v>5607701.5</x:v>
      </x:c>
      <x:c r="G92" s="58" t="n">
        <x:f>IFERROR($F92/$C92,"")</x:f>
        <x:v>50.89859222684118</x:v>
      </x:c>
      <x:c r="H92" s="59" t="n">
        <x:f>IFERROR($D92/$F92,"")</x:f>
        <x:v>0</x:v>
      </x:c>
      <x:c r="I92" s="39" t="str">
        <x:v>Historical reconstruction from dated major parks; compare with current SEDEMA total.</x:v>
      </x:c>
    </x:row>
    <x:row r="93">
      <x:c r="A93" s="39" t="n">
        <x:v>1910</x:v>
      </x:c>
      <x:c r="B93" s="39" t="str">
        <x:v>Milpa Alta</x:v>
      </x:c>
      <x:c r="C93" s="56" t="n">
        <x:v>7986</x:v>
      </x:c>
      <x:c r="D93" s="56" t="n">
        <x:f>MIN(SUMIFS('Park Catalog'!$E:$E,'Park Catalog'!$A:$A,$B93,'Park Catalog'!$G:$G,"&lt;="&amp;$A93,'Park Catalog'!$H:$H,TRUE),$F93)</x:f>
        <x:v>0</x:v>
      </x:c>
      <x:c r="E93" s="57" t="n">
        <x:f>IFERROR($D93/$C93,"")</x:f>
        <x:v>0</x:v>
      </x:c>
      <x:c r="F93" s="58" t="n">
        <x:v>309724</x:v>
      </x:c>
      <x:c r="G93" s="58" t="n">
        <x:f>IFERROR($F93/$C93,"")</x:f>
        <x:v>38.783370899073375</x:v>
      </x:c>
      <x:c r="H93" s="59" t="n">
        <x:f>IFERROR($D93/$F93,"")</x:f>
        <x:v>0</x:v>
      </x:c>
      <x:c r="I93" s="39" t="str">
        <x:v>Historical reconstruction from dated major parks; compare with current SEDEMA total.</x:v>
      </x:c>
    </x:row>
    <x:row r="94">
      <x:c r="A94" s="39" t="n">
        <x:v>1910</x:v>
      </x:c>
      <x:c r="B94" s="39" t="str">
        <x:v>Tláhuac</x:v>
      </x:c>
      <x:c r="C94" s="56" t="n">
        <x:v>4823</x:v>
      </x:c>
      <x:c r="D94" s="56" t="n">
        <x:f>MIN(SUMIFS('Park Catalog'!$E:$E,'Park Catalog'!$A:$A,$B94,'Park Catalog'!$G:$G,"&lt;="&amp;$A94,'Park Catalog'!$H:$H,TRUE),$F94)</x:f>
        <x:v>0</x:v>
      </x:c>
      <x:c r="E94" s="57" t="n">
        <x:f>IFERROR($D94/$C94,"")</x:f>
        <x:v>0</x:v>
      </x:c>
      <x:c r="F94" s="58" t="n">
        <x:v>3054084.7</x:v>
      </x:c>
      <x:c r="G94" s="58" t="n">
        <x:f>IFERROR($F94/$C94,"")</x:f>
        <x:v>633.2334024466101</x:v>
      </x:c>
      <x:c r="H94" s="59" t="n">
        <x:f>IFERROR($D94/$F94,"")</x:f>
        <x:v>0</x:v>
      </x:c>
      <x:c r="I94" s="39" t="str">
        <x:v>Historical reconstruction from dated major parks; compare with current SEDEMA total.</x:v>
      </x:c>
    </x:row>
    <x:row r="95">
      <x:c r="A95" s="39" t="n">
        <x:v>1910</x:v>
      </x:c>
      <x:c r="B95" s="39" t="str">
        <x:v>Tlalpan</x:v>
      </x:c>
      <x:c r="C95" s="56" t="n">
        <x:v>8174</x:v>
      </x:c>
      <x:c r="D95" s="56" t="n">
        <x:f>MIN(SUMIFS('Park Catalog'!$E:$E,'Park Catalog'!$A:$A,$B95,'Park Catalog'!$G:$G,"&lt;="&amp;$A95,'Park Catalog'!$H:$H,TRUE),$F95)</x:f>
        <x:v>0</x:v>
      </x:c>
      <x:c r="E95" s="57" t="n">
        <x:f>IFERROR($D95/$C95,"")</x:f>
        <x:v>0</x:v>
      </x:c>
      <x:c r="F95" s="58" t="n">
        <x:v>6530744.7</x:v>
      </x:c>
      <x:c r="G95" s="58" t="n">
        <x:f>IFERROR($F95/$C95,"")</x:f>
        <x:v>798.9655860044043</x:v>
      </x:c>
      <x:c r="H95" s="59" t="n">
        <x:f>IFERROR($D95/$F95,"")</x:f>
        <x:v>0</x:v>
      </x:c>
      <x:c r="I95" s="39" t="str">
        <x:v>Historical reconstruction from dated major parks; compare with current SEDEMA total.</x:v>
      </x:c>
    </x:row>
    <x:row r="96">
      <x:c r="A96" s="39" t="n">
        <x:v>1910</x:v>
      </x:c>
      <x:c r="B96" s="39" t="str">
        <x:v>Venustiano Carranza</x:v>
      </x:c>
      <x:c r="C96" s="56" t="n">
        <x:v>134072</x:v>
      </x:c>
      <x:c r="D96" s="56" t="n">
        <x:f>MIN(SUMIFS('Park Catalog'!$E:$E,'Park Catalog'!$A:$A,$B96,'Park Catalog'!$G:$G,"&lt;="&amp;$A96,'Park Catalog'!$H:$H,TRUE),$F96)</x:f>
        <x:v>0</x:v>
      </x:c>
      <x:c r="E96" s="57" t="n">
        <x:f>IFERROR($D96/$C96,"")</x:f>
        <x:v>0</x:v>
      </x:c>
      <x:c r="F96" s="58" t="n">
        <x:v>5805150.1</x:v>
      </x:c>
      <x:c r="G96" s="58" t="n">
        <x:f>IFERROR($F96/$C96,"")</x:f>
        <x:v>43.2987506712811</x:v>
      </x:c>
      <x:c r="H96" s="59" t="n">
        <x:f>IFERROR($D96/$F96,"")</x:f>
        <x:v>0</x:v>
      </x:c>
      <x:c r="I96" s="39" t="str">
        <x:v>Historical reconstruction from dated major parks; compare with current SEDEMA total.</x:v>
      </x:c>
    </x:row>
    <x:row r="97">
      <x:c r="A97" s="39" t="n">
        <x:v>1910</x:v>
      </x:c>
      <x:c r="B97" s="39" t="str">
        <x:v>Xochimilco</x:v>
      </x:c>
      <x:c r="C97" s="56" t="n">
        <x:v>16837</x:v>
      </x:c>
      <x:c r="D97" s="56" t="n">
        <x:f>MIN(SUMIFS('Park Catalog'!$E:$E,'Park Catalog'!$A:$A,$B97,'Park Catalog'!$G:$G,"&lt;="&amp;$A97,'Park Catalog'!$H:$H,TRUE),$F97)</x:f>
        <x:v>0</x:v>
      </x:c>
      <x:c r="E97" s="57" t="n">
        <x:f>IFERROR($D97/$C97,"")</x:f>
        <x:v>0</x:v>
      </x:c>
      <x:c r="F97" s="58" t="n">
        <x:v>2092259.6</x:v>
      </x:c>
      <x:c r="G97" s="58" t="n">
        <x:f>IFERROR($F97/$C97,"")</x:f>
        <x:v>124.26558175446932</x:v>
      </x:c>
      <x:c r="H97" s="59" t="n">
        <x:f>IFERROR($D97/$F97,"")</x:f>
        <x:v>0</x:v>
      </x:c>
      <x:c r="I97" s="39" t="str">
        <x:v>Historical reconstruction from dated major parks; compare with current SEDEMA total.</x:v>
      </x:c>
    </x:row>
    <x:row r="98">
      <x:c r="A98" s="39" t="n">
        <x:v>1920</x:v>
      </x:c>
      <x:c r="B98" s="39" t="str">
        <x:v>Álvaro Obregón</x:v>
      </x:c>
      <x:c r="C98" s="56" t="n">
        <x:v>26498</x:v>
      </x:c>
      <x:c r="D98" s="56" t="n">
        <x:f>MIN(SUMIFS('Park Catalog'!$E:$E,'Park Catalog'!$A:$A,$B98,'Park Catalog'!$G:$G,"&lt;="&amp;$A98,'Park Catalog'!$H:$H,TRUE),$F98)</x:f>
        <x:v>0</x:v>
      </x:c>
      <x:c r="E98" s="57" t="n">
        <x:f>IFERROR($D98/$C98,"")</x:f>
        <x:v>0</x:v>
      </x:c>
      <x:c r="F98" s="58" t="n">
        <x:v>4913463.7</x:v>
      </x:c>
      <x:c r="G98" s="58" t="n">
        <x:f>IFERROR($F98/$C98,"")</x:f>
        <x:v>185.4277190731376</x:v>
      </x:c>
      <x:c r="H98" s="59" t="n">
        <x:f>IFERROR($D98/$F98,"")</x:f>
        <x:v>0</x:v>
      </x:c>
      <x:c r="I98" s="39" t="str">
        <x:v>Historical reconstruction from dated major parks; compare with current SEDEMA total.</x:v>
      </x:c>
    </x:row>
    <x:row r="99">
      <x:c r="A99" s="39" t="n">
        <x:v>1920</x:v>
      </x:c>
      <x:c r="B99" s="39" t="str">
        <x:v>Azcapotzalco</x:v>
      </x:c>
      <x:c r="C99" s="56" t="n">
        <x:v>48320</x:v>
      </x:c>
      <x:c r="D99" s="56" t="n">
        <x:f>MIN(SUMIFS('Park Catalog'!$E:$E,'Park Catalog'!$A:$A,$B99,'Park Catalog'!$G:$G,"&lt;="&amp;$A99,'Park Catalog'!$H:$H,TRUE),$F99)</x:f>
        <x:v>0</x:v>
      </x:c>
      <x:c r="E99" s="57" t="n">
        <x:f>IFERROR($D99/$C99,"")</x:f>
        <x:v>0</x:v>
      </x:c>
      <x:c r="F99" s="58" t="n">
        <x:v>3980866.7</x:v>
      </x:c>
      <x:c r="G99" s="58" t="n">
        <x:f>IFERROR($F99/$C99,"")</x:f>
        <x:v>82.3854863410596</x:v>
      </x:c>
      <x:c r="H99" s="59" t="n">
        <x:f>IFERROR($D99/$F99,"")</x:f>
        <x:v>0</x:v>
      </x:c>
      <x:c r="I99" s="39" t="str">
        <x:v>Historical reconstruction from dated major parks; compare with current SEDEMA total.</x:v>
      </x:c>
    </x:row>
    <x:row r="100">
      <x:c r="A100" s="39" t="n">
        <x:v>1920</x:v>
      </x:c>
      <x:c r="B100" s="39" t="str">
        <x:v>Benito Juárez</x:v>
      </x:c>
      <x:c r="C100" s="56" t="n">
        <x:v>137115</x:v>
      </x:c>
      <x:c r="D100" s="56" t="n">
        <x:f>MIN(SUMIFS('Park Catalog'!$E:$E,'Park Catalog'!$A:$A,$B100,'Park Catalog'!$G:$G,"&lt;="&amp;$A100,'Park Catalog'!$H:$H,TRUE),$F100)</x:f>
        <x:v>0</x:v>
      </x:c>
      <x:c r="E100" s="57" t="n">
        <x:f>IFERROR($D100/$C100,"")</x:f>
        <x:v>0</x:v>
      </x:c>
      <x:c r="F100" s="58" t="n">
        <x:v>929230.8</x:v>
      </x:c>
      <x:c r="G100" s="58" t="n">
        <x:f>IFERROR($F100/$C100,"")</x:f>
        <x:v>6.777017831747074</x:v>
      </x:c>
      <x:c r="H100" s="59" t="n">
        <x:f>IFERROR($D100/$F100,"")</x:f>
        <x:v>0</x:v>
      </x:c>
      <x:c r="I100" s="39" t="str">
        <x:v>Historical reconstruction from dated major parks; compare with current SEDEMA total.</x:v>
      </x:c>
    </x:row>
    <x:row r="101">
      <x:c r="A101" s="39" t="n">
        <x:v>1920</x:v>
      </x:c>
      <x:c r="B101" s="39" t="str">
        <x:v>Coyoacán</x:v>
      </x:c>
      <x:c r="C101" s="56" t="n">
        <x:v>19902</x:v>
      </x:c>
      <x:c r="D101" s="56" t="n">
        <x:f>MIN(SUMIFS('Park Catalog'!$E:$E,'Park Catalog'!$A:$A,$B101,'Park Catalog'!$G:$G,"&lt;="&amp;$A101,'Park Catalog'!$H:$H,TRUE),$F101)</x:f>
        <x:v>0</x:v>
      </x:c>
      <x:c r="E101" s="57" t="n">
        <x:f>IFERROR($D101/$C101,"")</x:f>
        <x:v>0</x:v>
      </x:c>
      <x:c r="F101" s="58" t="n">
        <x:v>9157547.7</x:v>
      </x:c>
      <x:c r="G101" s="58" t="n">
        <x:f>IFERROR($F101/$C101,"")</x:f>
        <x:v>460.13203195658724</x:v>
      </x:c>
      <x:c r="H101" s="59" t="n">
        <x:f>IFERROR($D101/$F101,"")</x:f>
        <x:v>0</x:v>
      </x:c>
      <x:c r="I101" s="39" t="str">
        <x:v>Historical reconstruction from dated major parks; compare with current SEDEMA total.</x:v>
      </x:c>
    </x:row>
    <x:row r="102">
      <x:c r="A102" s="39" t="n">
        <x:v>1920</x:v>
      </x:c>
      <x:c r="B102" s="39" t="str">
        <x:v>Cuajimalpa de Morelos</x:v>
      </x:c>
      <x:c r="C102" s="56" t="n">
        <x:v>4204</x:v>
      </x:c>
      <x:c r="D102" s="56" t="n">
        <x:f>MIN(SUMIFS('Park Catalog'!$E:$E,'Park Catalog'!$A:$A,$B102,'Park Catalog'!$G:$G,"&lt;="&amp;$A102,'Park Catalog'!$H:$H,TRUE),$F102)</x:f>
        <x:v>0</x:v>
      </x:c>
      <x:c r="E102" s="57" t="n">
        <x:f>IFERROR($D102/$C102,"")</x:f>
        <x:v>0</x:v>
      </x:c>
      <x:c r="F102" s="58" t="n">
        <x:v>2048957.7</x:v>
      </x:c>
      <x:c r="G102" s="58" t="n">
        <x:f>IFERROR($F102/$C102,"")</x:f>
        <x:v>487.3828972407231</x:v>
      </x:c>
      <x:c r="H102" s="59" t="n">
        <x:f>IFERROR($D102/$F102,"")</x:f>
        <x:v>0</x:v>
      </x:c>
      <x:c r="I102" s="39" t="str">
        <x:v>Historical reconstruction from dated major parks; compare with current SEDEMA total.</x:v>
      </x:c>
    </x:row>
    <x:row r="103">
      <x:c r="A103" s="39" t="n">
        <x:v>1920</x:v>
      </x:c>
      <x:c r="B103" s="39" t="str">
        <x:v>Cuauhtémoc</x:v>
      </x:c>
      <x:c r="C103" s="56" t="n">
        <x:v>226485</x:v>
      </x:c>
      <x:c r="D103" s="56" t="n">
        <x:f>MIN(SUMIFS('Park Catalog'!$E:$E,'Park Catalog'!$A:$A,$B103,'Park Catalog'!$G:$G,"&lt;="&amp;$A103,'Park Catalog'!$H:$H,TRUE),$F103)</x:f>
        <x:v>0</x:v>
      </x:c>
      <x:c r="E103" s="57" t="n">
        <x:f>IFERROR($D103/$C103,"")</x:f>
        <x:v>0</x:v>
      </x:c>
      <x:c r="F103" s="58" t="n">
        <x:v>1915961</x:v>
      </x:c>
      <x:c r="G103" s="58" t="n">
        <x:f>IFERROR($F103/$C103,"")</x:f>
        <x:v>8.4595491975186</x:v>
      </x:c>
      <x:c r="H103" s="59" t="n">
        <x:f>IFERROR($D103/$F103,"")</x:f>
        <x:v>0</x:v>
      </x:c>
      <x:c r="I103" s="39" t="str">
        <x:v>Historical reconstruction from dated major parks; compare with current SEDEMA total.</x:v>
      </x:c>
    </x:row>
    <x:row r="104">
      <x:c r="A104" s="39" t="n">
        <x:v>1920</x:v>
      </x:c>
      <x:c r="B104" s="39" t="str">
        <x:v>Gustavo A. Madero</x:v>
      </x:c>
      <x:c r="C104" s="56" t="n">
        <x:v>51913</x:v>
      </x:c>
      <x:c r="D104" s="56" t="n">
        <x:f>MIN(SUMIFS('Park Catalog'!$E:$E,'Park Catalog'!$A:$A,$B104,'Park Catalog'!$G:$G,"&lt;="&amp;$A104,'Park Catalog'!$H:$H,TRUE),$F104)</x:f>
        <x:v>0</x:v>
      </x:c>
      <x:c r="E104" s="57" t="n">
        <x:f>IFERROR($D104/$C104,"")</x:f>
        <x:v>0</x:v>
      </x:c>
      <x:c r="F104" s="58" t="n">
        <x:v>7851619.6</x:v>
      </x:c>
      <x:c r="G104" s="58" t="n">
        <x:f>IFERROR($F104/$C104,"")</x:f>
        <x:v>151.24573035655808</x:v>
      </x:c>
      <x:c r="H104" s="59" t="n">
        <x:f>IFERROR($D104/$F104,"")</x:f>
        <x:v>0</x:v>
      </x:c>
      <x:c r="I104" s="39" t="str">
        <x:v>Historical reconstruction from dated major parks; compare with current SEDEMA total.</x:v>
      </x:c>
    </x:row>
    <x:row r="105">
      <x:c r="A105" s="39" t="n">
        <x:v>1920</x:v>
      </x:c>
      <x:c r="B105" s="39" t="str">
        <x:v>Iztacalco</x:v>
      </x:c>
      <x:c r="C105" s="56" t="n">
        <x:v>9703</x:v>
      </x:c>
      <x:c r="D105" s="56" t="n">
        <x:f>MIN(SUMIFS('Park Catalog'!$E:$E,'Park Catalog'!$A:$A,$B105,'Park Catalog'!$G:$G,"&lt;="&amp;$A105,'Park Catalog'!$H:$H,TRUE),$F105)</x:f>
        <x:v>0</x:v>
      </x:c>
      <x:c r="E105" s="57" t="n">
        <x:f>IFERROR($D105/$C105,"")</x:f>
        <x:v>0</x:v>
      </x:c>
      <x:c r="F105" s="58" t="n">
        <x:v>1944289</x:v>
      </x:c>
      <x:c r="G105" s="58" t="n">
        <x:f>IFERROR($F105/$C105,"")</x:f>
        <x:v>200.38019169329073</x:v>
      </x:c>
      <x:c r="H105" s="59" t="n">
        <x:f>IFERROR($D105/$F105,"")</x:f>
        <x:v>0</x:v>
      </x:c>
      <x:c r="I105" s="39" t="str">
        <x:v>Historical reconstruction from dated major parks; compare with current SEDEMA total.</x:v>
      </x:c>
    </x:row>
    <x:row r="106">
      <x:c r="A106" s="39" t="n">
        <x:v>1920</x:v>
      </x:c>
      <x:c r="B106" s="39" t="str">
        <x:v>Iztapalapa</x:v>
      </x:c>
      <x:c r="C106" s="56" t="n">
        <x:v>22615</x:v>
      </x:c>
      <x:c r="D106" s="56" t="n">
        <x:f>MIN(SUMIFS('Park Catalog'!$E:$E,'Park Catalog'!$A:$A,$B106,'Park Catalog'!$G:$G,"&lt;="&amp;$A106,'Park Catalog'!$H:$H,TRUE),$F106)</x:f>
        <x:v>0</x:v>
      </x:c>
      <x:c r="E106" s="57" t="n">
        <x:f>IFERROR($D106/$C106,"")</x:f>
        <x:v>0</x:v>
      </x:c>
      <x:c r="F106" s="58" t="n">
        <x:v>9834858.6</x:v>
      </x:c>
      <x:c r="G106" s="58" t="n">
        <x:f>IFERROR($F106/$C106,"")</x:f>
        <x:v>434.8820959540128</x:v>
      </x:c>
      <x:c r="H106" s="59" t="n">
        <x:f>IFERROR($D106/$F106,"")</x:f>
        <x:v>0</x:v>
      </x:c>
      <x:c r="I106" s="39" t="str">
        <x:v>Historical reconstruction from dated major parks; compare with current SEDEMA total.</x:v>
      </x:c>
    </x:row>
    <x:row r="107">
      <x:c r="A107" s="39" t="n">
        <x:v>1920</x:v>
      </x:c>
      <x:c r="B107" s="39" t="str">
        <x:v>La Magdalena Contreras</x:v>
      </x:c>
      <x:c r="C107" s="56" t="n">
        <x:v>6504</x:v>
      </x:c>
      <x:c r="D107" s="56" t="n">
        <x:f>MIN(SUMIFS('Park Catalog'!$E:$E,'Park Catalog'!$A:$A,$B107,'Park Catalog'!$G:$G,"&lt;="&amp;$A107,'Park Catalog'!$H:$H,TRUE),$F107)</x:f>
        <x:v>0</x:v>
      </x:c>
      <x:c r="E107" s="57" t="n">
        <x:f>IFERROR($D107/$C107,"")</x:f>
        <x:v>0</x:v>
      </x:c>
      <x:c r="F107" s="58" t="n">
        <x:v>1335114.4</x:v>
      </x:c>
      <x:c r="G107" s="58" t="n">
        <x:f>IFERROR($F107/$C107,"")</x:f>
        <x:v>205.27589175891757</x:v>
      </x:c>
      <x:c r="H107" s="59" t="n">
        <x:f>IFERROR($D107/$F107,"")</x:f>
        <x:v>0</x:v>
      </x:c>
      <x:c r="I107" s="39" t="str">
        <x:v>Historical reconstruction from dated major parks; compare with current SEDEMA total.</x:v>
      </x:c>
    </x:row>
    <x:row r="108">
      <x:c r="A108" s="39" t="n">
        <x:v>1920</x:v>
      </x:c>
      <x:c r="B108" s="39" t="str">
        <x:v>Miguel Hidalgo</x:v>
      </x:c>
      <x:c r="C108" s="56" t="n">
        <x:v>138682</x:v>
      </x:c>
      <x:c r="D108" s="56" t="n">
        <x:f>MIN(SUMIFS('Park Catalog'!$E:$E,'Park Catalog'!$A:$A,$B108,'Park Catalog'!$G:$G,"&lt;="&amp;$A108,'Park Catalog'!$H:$H,TRUE),$F108)</x:f>
        <x:v>0</x:v>
      </x:c>
      <x:c r="E108" s="57" t="n">
        <x:f>IFERROR($D108/$C108,"")</x:f>
        <x:v>0</x:v>
      </x:c>
      <x:c r="F108" s="58" t="n">
        <x:v>5607701.5</x:v>
      </x:c>
      <x:c r="G108" s="58" t="n">
        <x:f>IFERROR($F108/$C108,"")</x:f>
        <x:v>40.435683794580406</x:v>
      </x:c>
      <x:c r="H108" s="59" t="n">
        <x:f>IFERROR($D108/$F108,"")</x:f>
        <x:v>0</x:v>
      </x:c>
      <x:c r="I108" s="39" t="str">
        <x:v>Historical reconstruction from dated major parks; compare with current SEDEMA total.</x:v>
      </x:c>
    </x:row>
    <x:row r="109">
      <x:c r="A109" s="39" t="n">
        <x:v>1920</x:v>
      </x:c>
      <x:c r="B109" s="39" t="str">
        <x:v>Milpa Alta</x:v>
      </x:c>
      <x:c r="C109" s="56" t="n">
        <x:v>7755</x:v>
      </x:c>
      <x:c r="D109" s="56" t="n">
        <x:f>MIN(SUMIFS('Park Catalog'!$E:$E,'Park Catalog'!$A:$A,$B109,'Park Catalog'!$G:$G,"&lt;="&amp;$A109,'Park Catalog'!$H:$H,TRUE),$F109)</x:f>
        <x:v>0</x:v>
      </x:c>
      <x:c r="E109" s="57" t="n">
        <x:f>IFERROR($D109/$C109,"")</x:f>
        <x:v>0</x:v>
      </x:c>
      <x:c r="F109" s="58" t="n">
        <x:v>309724</x:v>
      </x:c>
      <x:c r="G109" s="58" t="n">
        <x:f>IFERROR($F109/$C109,"")</x:f>
        <x:v>39.93862024500322</x:v>
      </x:c>
      <x:c r="H109" s="59" t="n">
        <x:f>IFERROR($D109/$F109,"")</x:f>
        <x:v>0</x:v>
      </x:c>
      <x:c r="I109" s="39" t="str">
        <x:v>Historical reconstruction from dated major parks; compare with current SEDEMA total.</x:v>
      </x:c>
    </x:row>
    <x:row r="110">
      <x:c r="A110" s="39" t="n">
        <x:v>1920</x:v>
      </x:c>
      <x:c r="B110" s="39" t="str">
        <x:v>Tláhuac</x:v>
      </x:c>
      <x:c r="C110" s="56" t="n">
        <x:v>5931</x:v>
      </x:c>
      <x:c r="D110" s="56" t="n">
        <x:f>MIN(SUMIFS('Park Catalog'!$E:$E,'Park Catalog'!$A:$A,$B110,'Park Catalog'!$G:$G,"&lt;="&amp;$A110,'Park Catalog'!$H:$H,TRUE),$F110)</x:f>
        <x:v>0</x:v>
      </x:c>
      <x:c r="E110" s="57" t="n">
        <x:f>IFERROR($D110/$C110,"")</x:f>
        <x:v>0</x:v>
      </x:c>
      <x:c r="F110" s="58" t="n">
        <x:v>3054084.7</x:v>
      </x:c>
      <x:c r="G110" s="58" t="n">
        <x:f>IFERROR($F110/$C110,"")</x:f>
        <x:v>514.9358792783679</x:v>
      </x:c>
      <x:c r="H110" s="59" t="n">
        <x:f>IFERROR($D110/$F110,"")</x:f>
        <x:v>0</x:v>
      </x:c>
      <x:c r="I110" s="39" t="str">
        <x:v>Historical reconstruction from dated major parks; compare with current SEDEMA total.</x:v>
      </x:c>
    </x:row>
    <x:row r="111">
      <x:c r="A111" s="39" t="n">
        <x:v>1920</x:v>
      </x:c>
      <x:c r="B111" s="39" t="str">
        <x:v>Tlalpan</x:v>
      </x:c>
      <x:c r="C111" s="56" t="n">
        <x:v>10007</x:v>
      </x:c>
      <x:c r="D111" s="56" t="n">
        <x:f>MIN(SUMIFS('Park Catalog'!$E:$E,'Park Catalog'!$A:$A,$B111,'Park Catalog'!$G:$G,"&lt;="&amp;$A111,'Park Catalog'!$H:$H,TRUE),$F111)</x:f>
        <x:v>0</x:v>
      </x:c>
      <x:c r="E111" s="57" t="n">
        <x:f>IFERROR($D111/$C111,"")</x:f>
        <x:v>0</x:v>
      </x:c>
      <x:c r="F111" s="58" t="n">
        <x:v>6530744.7</x:v>
      </x:c>
      <x:c r="G111" s="58" t="n">
        <x:f>IFERROR($F111/$C111,"")</x:f>
        <x:v>652.6176376536424</x:v>
      </x:c>
      <x:c r="H111" s="59" t="n">
        <x:f>IFERROR($D111/$F111,"")</x:f>
        <x:v>0</x:v>
      </x:c>
      <x:c r="I111" s="39" t="str">
        <x:v>Historical reconstruction from dated major parks; compare with current SEDEMA total.</x:v>
      </x:c>
    </x:row>
    <x:row r="112">
      <x:c r="A112" s="39" t="n">
        <x:v>1920</x:v>
      </x:c>
      <x:c r="B112" s="39" t="str">
        <x:v>Venustiano Carranza</x:v>
      </x:c>
      <x:c r="C112" s="56" t="n">
        <x:v>172808</x:v>
      </x:c>
      <x:c r="D112" s="56" t="n">
        <x:f>MIN(SUMIFS('Park Catalog'!$E:$E,'Park Catalog'!$A:$A,$B112,'Park Catalog'!$G:$G,"&lt;="&amp;$A112,'Park Catalog'!$H:$H,TRUE),$F112)</x:f>
        <x:v>0</x:v>
      </x:c>
      <x:c r="E112" s="57" t="n">
        <x:f>IFERROR($D112/$C112,"")</x:f>
        <x:v>0</x:v>
      </x:c>
      <x:c r="F112" s="58" t="n">
        <x:v>5805150.1</x:v>
      </x:c>
      <x:c r="G112" s="58" t="n">
        <x:f>IFERROR($F112/$C112,"")</x:f>
        <x:v>33.5930633998426</x:v>
      </x:c>
      <x:c r="H112" s="59" t="n">
        <x:f>IFERROR($D112/$F112,"")</x:f>
        <x:v>0</x:v>
      </x:c>
      <x:c r="I112" s="39" t="str">
        <x:v>Historical reconstruction from dated major parks; compare with current SEDEMA total.</x:v>
      </x:c>
    </x:row>
    <x:row r="113">
      <x:c r="A113" s="39" t="n">
        <x:v>1920</x:v>
      </x:c>
      <x:c r="B113" s="39" t="str">
        <x:v>Xochimilco</x:v>
      </x:c>
      <x:c r="C113" s="56" t="n">
        <x:v>17622</x:v>
      </x:c>
      <x:c r="D113" s="56" t="n">
        <x:f>MIN(SUMIFS('Park Catalog'!$E:$E,'Park Catalog'!$A:$A,$B113,'Park Catalog'!$G:$G,"&lt;="&amp;$A113,'Park Catalog'!$H:$H,TRUE),$F113)</x:f>
        <x:v>0</x:v>
      </x:c>
      <x:c r="E113" s="57" t="n">
        <x:f>IFERROR($D113/$C113,"")</x:f>
        <x:v>0</x:v>
      </x:c>
      <x:c r="F113" s="58" t="n">
        <x:v>2092259.6</x:v>
      </x:c>
      <x:c r="G113" s="58" t="n">
        <x:f>IFERROR($F113/$C113,"")</x:f>
        <x:v>118.72997389626603</x:v>
      </x:c>
      <x:c r="H113" s="59" t="n">
        <x:f>IFERROR($D113/$F113,"")</x:f>
        <x:v>0</x:v>
      </x:c>
      <x:c r="I113" s="39" t="str">
        <x:v>Historical reconstruction from dated major parks; compare with current SEDEMA total.</x:v>
      </x:c>
    </x:row>
    <x:row r="114">
      <x:c r="A114" s="39" t="n">
        <x:v>1930</x:v>
      </x:c>
      <x:c r="B114" s="39" t="str">
        <x:v>Álvaro Obregón</x:v>
      </x:c>
      <x:c r="C114" s="56" t="n">
        <x:v>36753</x:v>
      </x:c>
      <x:c r="D114" s="56" t="n">
        <x:f>MIN(SUMIFS('Park Catalog'!$E:$E,'Park Catalog'!$A:$A,$B114,'Park Catalog'!$G:$G,"&lt;="&amp;$A114,'Park Catalog'!$H:$H,TRUE),$F114)</x:f>
        <x:v>0</x:v>
      </x:c>
      <x:c r="E114" s="57" t="n">
        <x:f>IFERROR($D114/$C114,"")</x:f>
        <x:v>0</x:v>
      </x:c>
      <x:c r="F114" s="58" t="n">
        <x:v>4913463.7</x:v>
      </x:c>
      <x:c r="G114" s="58" t="n">
        <x:f>IFERROR($F114/$C114,"")</x:f>
        <x:v>133.6887791472805</x:v>
      </x:c>
      <x:c r="H114" s="59" t="n">
        <x:f>IFERROR($D114/$F114,"")</x:f>
        <x:v>0</x:v>
      </x:c>
      <x:c r="I114" s="39" t="str">
        <x:v>Historical reconstruction from dated major parks; compare with current SEDEMA total.</x:v>
      </x:c>
    </x:row>
    <x:row r="115">
      <x:c r="A115" s="39" t="n">
        <x:v>1930</x:v>
      </x:c>
      <x:c r="B115" s="39" t="str">
        <x:v>Azcapotzalco</x:v>
      </x:c>
      <x:c r="C115" s="56" t="n">
        <x:v>70615</x:v>
      </x:c>
      <x:c r="D115" s="56" t="n">
        <x:f>MIN(SUMIFS('Park Catalog'!$E:$E,'Park Catalog'!$A:$A,$B115,'Park Catalog'!$G:$G,"&lt;="&amp;$A115,'Park Catalog'!$H:$H,TRUE),$F115)</x:f>
        <x:v>0</x:v>
      </x:c>
      <x:c r="E115" s="57" t="n">
        <x:f>IFERROR($D115/$C115,"")</x:f>
        <x:v>0</x:v>
      </x:c>
      <x:c r="F115" s="58" t="n">
        <x:v>3980866.7</x:v>
      </x:c>
      <x:c r="G115" s="58" t="n">
        <x:f>IFERROR($F115/$C115,"")</x:f>
        <x:v>56.37423635204985</x:v>
      </x:c>
      <x:c r="H115" s="59" t="n">
        <x:f>IFERROR($D115/$F115,"")</x:f>
        <x:v>0</x:v>
      </x:c>
      <x:c r="I115" s="39" t="str">
        <x:v>Historical reconstruction from dated major parks; compare with current SEDEMA total.</x:v>
      </x:c>
    </x:row>
    <x:row r="116">
      <x:c r="A116" s="39" t="n">
        <x:v>1930</x:v>
      </x:c>
      <x:c r="B116" s="39" t="str">
        <x:v>Benito Juárez</x:v>
      </x:c>
      <x:c r="C116" s="56" t="n">
        <x:v>187569</x:v>
      </x:c>
      <x:c r="D116" s="56" t="n">
        <x:f>MIN(SUMIFS('Park Catalog'!$E:$E,'Park Catalog'!$A:$A,$B116,'Park Catalog'!$G:$G,"&lt;="&amp;$A116,'Park Catalog'!$H:$H,TRUE),$F116)</x:f>
        <x:v>0</x:v>
      </x:c>
      <x:c r="E116" s="57" t="n">
        <x:f>IFERROR($D116/$C116,"")</x:f>
        <x:v>0</x:v>
      </x:c>
      <x:c r="F116" s="58" t="n">
        <x:v>929230.8</x:v>
      </x:c>
      <x:c r="G116" s="58" t="n">
        <x:f>IFERROR($F116/$C116,"")</x:f>
        <x:v>4.954074500583785</x:v>
      </x:c>
      <x:c r="H116" s="59" t="n">
        <x:f>IFERROR($D116/$F116,"")</x:f>
        <x:v>0</x:v>
      </x:c>
      <x:c r="I116" s="39" t="str">
        <x:v>Historical reconstruction from dated major parks; compare with current SEDEMA total.</x:v>
      </x:c>
    </x:row>
    <x:row r="117">
      <x:c r="A117" s="39" t="n">
        <x:v>1930</x:v>
      </x:c>
      <x:c r="B117" s="39" t="str">
        <x:v>Coyoacán</x:v>
      </x:c>
      <x:c r="C117" s="56" t="n">
        <x:v>27609</x:v>
      </x:c>
      <x:c r="D117" s="56" t="n">
        <x:f>MIN(SUMIFS('Park Catalog'!$E:$E,'Park Catalog'!$A:$A,$B117,'Park Catalog'!$G:$G,"&lt;="&amp;$A117,'Park Catalog'!$H:$H,TRUE),$F117)</x:f>
        <x:v>0</x:v>
      </x:c>
      <x:c r="E117" s="57" t="n">
        <x:f>IFERROR($D117/$C117,"")</x:f>
        <x:v>0</x:v>
      </x:c>
      <x:c r="F117" s="58" t="n">
        <x:v>9157547.7</x:v>
      </x:c>
      <x:c r="G117" s="58" t="n">
        <x:f>IFERROR($F117/$C117,"")</x:f>
        <x:v>331.6870477018363</x:v>
      </x:c>
      <x:c r="H117" s="59" t="n">
        <x:f>IFERROR($D117/$F117,"")</x:f>
        <x:v>0</x:v>
      </x:c>
      <x:c r="I117" s="39" t="str">
        <x:v>Historical reconstruction from dated major parks; compare with current SEDEMA total.</x:v>
      </x:c>
    </x:row>
    <x:row r="118">
      <x:c r="A118" s="39" t="n">
        <x:v>1930</x:v>
      </x:c>
      <x:c r="B118" s="39" t="str">
        <x:v>Cuajimalpa de Morelos</x:v>
      </x:c>
      <x:c r="C118" s="56" t="n">
        <x:v>4809</x:v>
      </x:c>
      <x:c r="D118" s="56" t="n">
        <x:f>MIN(SUMIFS('Park Catalog'!$E:$E,'Park Catalog'!$A:$A,$B118,'Park Catalog'!$G:$G,"&lt;="&amp;$A118,'Park Catalog'!$H:$H,TRUE),$F118)</x:f>
        <x:v>0</x:v>
      </x:c>
      <x:c r="E118" s="57" t="n">
        <x:f>IFERROR($D118/$C118,"")</x:f>
        <x:v>0</x:v>
      </x:c>
      <x:c r="F118" s="58" t="n">
        <x:v>2048957.7</x:v>
      </x:c>
      <x:c r="G118" s="58" t="n">
        <x:f>IFERROR($F118/$C118,"")</x:f>
        <x:v>426.06731129132874</x:v>
      </x:c>
      <x:c r="H118" s="59" t="n">
        <x:f>IFERROR($D118/$F118,"")</x:f>
        <x:v>0</x:v>
      </x:c>
      <x:c r="I118" s="39" t="str">
        <x:v>Historical reconstruction from dated major parks; compare with current SEDEMA total.</x:v>
      </x:c>
    </x:row>
    <x:row r="119">
      <x:c r="A119" s="39" t="n">
        <x:v>1930</x:v>
      </x:c>
      <x:c r="B119" s="39" t="str">
        <x:v>Cuauhtémoc</x:v>
      </x:c>
      <x:c r="C119" s="56" t="n">
        <x:v>295164</x:v>
      </x:c>
      <x:c r="D119" s="56" t="n">
        <x:f>MIN(SUMIFS('Park Catalog'!$E:$E,'Park Catalog'!$A:$A,$B119,'Park Catalog'!$G:$G,"&lt;="&amp;$A119,'Park Catalog'!$H:$H,TRUE),$F119)</x:f>
        <x:v>0</x:v>
      </x:c>
      <x:c r="E119" s="57" t="n">
        <x:f>IFERROR($D119/$C119,"")</x:f>
        <x:v>0</x:v>
      </x:c>
      <x:c r="F119" s="58" t="n">
        <x:v>1915961</x:v>
      </x:c>
      <x:c r="G119" s="58" t="n">
        <x:f>IFERROR($F119/$C119,"")</x:f>
        <x:v>6.491174397961811</x:v>
      </x:c>
      <x:c r="H119" s="59" t="n">
        <x:f>IFERROR($D119/$F119,"")</x:f>
        <x:v>0</x:v>
      </x:c>
      <x:c r="I119" s="39" t="str">
        <x:v>Historical reconstruction from dated major parks; compare with current SEDEMA total.</x:v>
      </x:c>
    </x:row>
    <x:row r="120">
      <x:c r="A120" s="39" t="n">
        <x:v>1930</x:v>
      </x:c>
      <x:c r="B120" s="39" t="str">
        <x:v>Gustavo A. Madero</x:v>
      </x:c>
      <x:c r="C120" s="56" t="n">
        <x:v>76467</x:v>
      </x:c>
      <x:c r="D120" s="56" t="n">
        <x:f>MIN(SUMIFS('Park Catalog'!$E:$E,'Park Catalog'!$A:$A,$B120,'Park Catalog'!$G:$G,"&lt;="&amp;$A120,'Park Catalog'!$H:$H,TRUE),$F120)</x:f>
        <x:v>0</x:v>
      </x:c>
      <x:c r="E120" s="57" t="n">
        <x:f>IFERROR($D120/$C120,"")</x:f>
        <x:v>0</x:v>
      </x:c>
      <x:c r="F120" s="58" t="n">
        <x:v>7851619.6</x:v>
      </x:c>
      <x:c r="G120" s="58" t="n">
        <x:f>IFERROR($F120/$C120,"")</x:f>
        <x:v>102.67984359266089</x:v>
      </x:c>
      <x:c r="H120" s="59" t="n">
        <x:f>IFERROR($D120/$F120,"")</x:f>
        <x:v>0</x:v>
      </x:c>
      <x:c r="I120" s="39" t="str">
        <x:v>Historical reconstruction from dated major parks; compare with current SEDEMA total.</x:v>
      </x:c>
    </x:row>
    <x:row r="121">
      <x:c r="A121" s="39" t="n">
        <x:v>1930</x:v>
      </x:c>
      <x:c r="B121" s="39" t="str">
        <x:v>Iztacalco</x:v>
      </x:c>
      <x:c r="C121" s="56" t="n">
        <x:v>13423</x:v>
      </x:c>
      <x:c r="D121" s="56" t="n">
        <x:f>MIN(SUMIFS('Park Catalog'!$E:$E,'Park Catalog'!$A:$A,$B121,'Park Catalog'!$G:$G,"&lt;="&amp;$A121,'Park Catalog'!$H:$H,TRUE),$F121)</x:f>
        <x:v>0</x:v>
      </x:c>
      <x:c r="E121" s="57" t="n">
        <x:f>IFERROR($D121/$C121,"")</x:f>
        <x:v>0</x:v>
      </x:c>
      <x:c r="F121" s="58" t="n">
        <x:v>1944289</x:v>
      </x:c>
      <x:c r="G121" s="58" t="n">
        <x:f>IFERROR($F121/$C121,"")</x:f>
        <x:v>144.84757505773672</x:v>
      </x:c>
      <x:c r="H121" s="59" t="n">
        <x:f>IFERROR($D121/$F121,"")</x:f>
        <x:v>0</x:v>
      </x:c>
      <x:c r="I121" s="39" t="str">
        <x:v>Historical reconstruction from dated major parks; compare with current SEDEMA total.</x:v>
      </x:c>
    </x:row>
    <x:row r="122">
      <x:c r="A122" s="39" t="n">
        <x:v>1930</x:v>
      </x:c>
      <x:c r="B122" s="39" t="str">
        <x:v>Iztapalapa</x:v>
      </x:c>
      <x:c r="C122" s="56" t="n">
        <x:v>30787</x:v>
      </x:c>
      <x:c r="D122" s="56" t="n">
        <x:f>MIN(SUMIFS('Park Catalog'!$E:$E,'Park Catalog'!$A:$A,$B122,'Park Catalog'!$G:$G,"&lt;="&amp;$A122,'Park Catalog'!$H:$H,TRUE),$F122)</x:f>
        <x:v>0</x:v>
      </x:c>
      <x:c r="E122" s="57" t="n">
        <x:f>IFERROR($D122/$C122,"")</x:f>
        <x:v>0</x:v>
      </x:c>
      <x:c r="F122" s="58" t="n">
        <x:v>9834858.6</x:v>
      </x:c>
      <x:c r="G122" s="58" t="n">
        <x:f>IFERROR($F122/$C122,"")</x:f>
        <x:v>319.44842303569686</x:v>
      </x:c>
      <x:c r="H122" s="59" t="n">
        <x:f>IFERROR($D122/$F122,"")</x:f>
        <x:v>0</x:v>
      </x:c>
      <x:c r="I122" s="39" t="str">
        <x:v>Historical reconstruction from dated major parks; compare with current SEDEMA total.</x:v>
      </x:c>
    </x:row>
    <x:row r="123">
      <x:c r="A123" s="39" t="n">
        <x:v>1930</x:v>
      </x:c>
      <x:c r="B123" s="39" t="str">
        <x:v>La Magdalena Contreras</x:v>
      </x:c>
      <x:c r="C123" s="56" t="n">
        <x:v>8838</x:v>
      </x:c>
      <x:c r="D123" s="56" t="n">
        <x:f>MIN(SUMIFS('Park Catalog'!$E:$E,'Park Catalog'!$A:$A,$B123,'Park Catalog'!$G:$G,"&lt;="&amp;$A123,'Park Catalog'!$H:$H,TRUE),$F123)</x:f>
        <x:v>0</x:v>
      </x:c>
      <x:c r="E123" s="57" t="n">
        <x:f>IFERROR($D123/$C123,"")</x:f>
        <x:v>0</x:v>
      </x:c>
      <x:c r="F123" s="58" t="n">
        <x:v>1335114.4</x:v>
      </x:c>
      <x:c r="G123" s="58" t="n">
        <x:f>IFERROR($F123/$C123,"")</x:f>
        <x:v>151.065218375198</x:v>
      </x:c>
      <x:c r="H123" s="59" t="n">
        <x:f>IFERROR($D123/$F123,"")</x:f>
        <x:v>0</x:v>
      </x:c>
      <x:c r="I123" s="39" t="str">
        <x:v>Historical reconstruction from dated major parks; compare with current SEDEMA total.</x:v>
      </x:c>
    </x:row>
    <x:row r="124">
      <x:c r="A124" s="39" t="n">
        <x:v>1930</x:v>
      </x:c>
      <x:c r="B124" s="39" t="str">
        <x:v>Miguel Hidalgo</x:v>
      </x:c>
      <x:c r="C124" s="56" t="n">
        <x:v>188326</x:v>
      </x:c>
      <x:c r="D124" s="56" t="n">
        <x:f>MIN(SUMIFS('Park Catalog'!$E:$E,'Park Catalog'!$A:$A,$B124,'Park Catalog'!$G:$G,"&lt;="&amp;$A124,'Park Catalog'!$H:$H,TRUE),$F124)</x:f>
        <x:v>0</x:v>
      </x:c>
      <x:c r="E124" s="57" t="n">
        <x:f>IFERROR($D124/$C124,"")</x:f>
        <x:v>0</x:v>
      </x:c>
      <x:c r="F124" s="58" t="n">
        <x:v>5607701.5</x:v>
      </x:c>
      <x:c r="G124" s="58" t="n">
        <x:f>IFERROR($F124/$C124,"")</x:f>
        <x:v>29.776565636184063</x:v>
      </x:c>
      <x:c r="H124" s="59" t="n">
        <x:f>IFERROR($D124/$F124,"")</x:f>
        <x:v>0</x:v>
      </x:c>
      <x:c r="I124" s="39" t="str">
        <x:v>Historical reconstruction from dated major parks; compare with current SEDEMA total.</x:v>
      </x:c>
    </x:row>
    <x:row r="125">
      <x:c r="A125" s="39" t="n">
        <x:v>1930</x:v>
      </x:c>
      <x:c r="B125" s="39" t="str">
        <x:v>Milpa Alta</x:v>
      </x:c>
      <x:c r="C125" s="56" t="n">
        <x:v>8942</x:v>
      </x:c>
      <x:c r="D125" s="56" t="n">
        <x:f>MIN(SUMIFS('Park Catalog'!$E:$E,'Park Catalog'!$A:$A,$B125,'Park Catalog'!$G:$G,"&lt;="&amp;$A125,'Park Catalog'!$H:$H,TRUE),$F125)</x:f>
        <x:v>0</x:v>
      </x:c>
      <x:c r="E125" s="57" t="n">
        <x:f>IFERROR($D125/$C125,"")</x:f>
        <x:v>0</x:v>
      </x:c>
      <x:c r="F125" s="58" t="n">
        <x:v>309724</x:v>
      </x:c>
      <x:c r="G125" s="58" t="n">
        <x:f>IFERROR($F125/$C125,"")</x:f>
        <x:v>34.63699396108253</x:v>
      </x:c>
      <x:c r="H125" s="59" t="n">
        <x:f>IFERROR($D125/$F125,"")</x:f>
        <x:v>0</x:v>
      </x:c>
      <x:c r="I125" s="39" t="str">
        <x:v>Historical reconstruction from dated major parks; compare with current SEDEMA total.</x:v>
      </x:c>
    </x:row>
    <x:row r="126">
      <x:c r="A126" s="39" t="n">
        <x:v>1930</x:v>
      </x:c>
      <x:c r="B126" s="39" t="str">
        <x:v>Tláhuac</x:v>
      </x:c>
      <x:c r="C126" s="56" t="n">
        <x:v>7957</x:v>
      </x:c>
      <x:c r="D126" s="56" t="n">
        <x:f>MIN(SUMIFS('Park Catalog'!$E:$E,'Park Catalog'!$A:$A,$B126,'Park Catalog'!$G:$G,"&lt;="&amp;$A126,'Park Catalog'!$H:$H,TRUE),$F126)</x:f>
        <x:v>0</x:v>
      </x:c>
      <x:c r="E126" s="57" t="n">
        <x:f>IFERROR($D126/$C126,"")</x:f>
        <x:v>0</x:v>
      </x:c>
      <x:c r="F126" s="58" t="n">
        <x:v>3054084.7</x:v>
      </x:c>
      <x:c r="G126" s="58" t="n">
        <x:f>IFERROR($F126/$C126,"")</x:f>
        <x:v>383.82363956264925</x:v>
      </x:c>
      <x:c r="H126" s="59" t="n">
        <x:f>IFERROR($D126/$F126,"")</x:f>
        <x:v>0</x:v>
      </x:c>
      <x:c r="I126" s="39" t="str">
        <x:v>Historical reconstruction from dated major parks; compare with current SEDEMA total.</x:v>
      </x:c>
    </x:row>
    <x:row r="127">
      <x:c r="A127" s="39" t="n">
        <x:v>1930</x:v>
      </x:c>
      <x:c r="B127" s="39" t="str">
        <x:v>Tlalpan</x:v>
      </x:c>
      <x:c r="C127" s="56" t="n">
        <x:v>13395</x:v>
      </x:c>
      <x:c r="D127" s="56" t="n">
        <x:f>MIN(SUMIFS('Park Catalog'!$E:$E,'Park Catalog'!$A:$A,$B127,'Park Catalog'!$G:$G,"&lt;="&amp;$A127,'Park Catalog'!$H:$H,TRUE),$F127)</x:f>
        <x:v>0</x:v>
      </x:c>
      <x:c r="E127" s="57" t="n">
        <x:f>IFERROR($D127/$C127,"")</x:f>
        <x:v>0</x:v>
      </x:c>
      <x:c r="F127" s="58" t="n">
        <x:v>6530744.7</x:v>
      </x:c>
      <x:c r="G127" s="58" t="n">
        <x:f>IFERROR($F127/$C127,"")</x:f>
        <x:v>487.5509294512878</x:v>
      </x:c>
      <x:c r="H127" s="59" t="n">
        <x:f>IFERROR($D127/$F127,"")</x:f>
        <x:v>0</x:v>
      </x:c>
      <x:c r="I127" s="39" t="str">
        <x:v>Historical reconstruction from dated major parks; compare with current SEDEMA total.</x:v>
      </x:c>
    </x:row>
    <x:row r="128">
      <x:c r="A128" s="39" t="n">
        <x:v>1930</x:v>
      </x:c>
      <x:c r="B128" s="39" t="str">
        <x:v>Venustiano Carranza</x:v>
      </x:c>
      <x:c r="C128" s="56" t="n">
        <x:v>237460</x:v>
      </x:c>
      <x:c r="D128" s="56" t="n">
        <x:f>MIN(SUMIFS('Park Catalog'!$E:$E,'Park Catalog'!$A:$A,$B128,'Park Catalog'!$G:$G,"&lt;="&amp;$A128,'Park Catalog'!$H:$H,TRUE),$F128)</x:f>
        <x:v>0</x:v>
      </x:c>
      <x:c r="E128" s="57" t="n">
        <x:f>IFERROR($D128/$C128,"")</x:f>
        <x:v>0</x:v>
      </x:c>
      <x:c r="F128" s="58" t="n">
        <x:v>5805150.1</x:v>
      </x:c>
      <x:c r="G128" s="58" t="n">
        <x:f>IFERROR($F128/$C128,"")</x:f>
        <x:v>24.446854628147896</x:v>
      </x:c>
      <x:c r="H128" s="59" t="n">
        <x:f>IFERROR($D128/$F128,"")</x:f>
        <x:v>0</x:v>
      </x:c>
      <x:c r="I128" s="39" t="str">
        <x:v>Historical reconstruction from dated major parks; compare with current SEDEMA total.</x:v>
      </x:c>
    </x:row>
    <x:row r="129">
      <x:c r="A129" s="39" t="n">
        <x:v>1930</x:v>
      </x:c>
      <x:c r="B129" s="39" t="str">
        <x:v>Xochimilco</x:v>
      </x:c>
      <x:c r="C129" s="56" t="n">
        <x:v>21462</x:v>
      </x:c>
      <x:c r="D129" s="56" t="n">
        <x:f>MIN(SUMIFS('Park Catalog'!$E:$E,'Park Catalog'!$A:$A,$B129,'Park Catalog'!$G:$G,"&lt;="&amp;$A129,'Park Catalog'!$H:$H,TRUE),$F129)</x:f>
        <x:v>0</x:v>
      </x:c>
      <x:c r="E129" s="57" t="n">
        <x:f>IFERROR($D129/$C129,"")</x:f>
        <x:v>0</x:v>
      </x:c>
      <x:c r="F129" s="58" t="n">
        <x:v>2092259.6</x:v>
      </x:c>
      <x:c r="G129" s="58" t="n">
        <x:f>IFERROR($F129/$C129,"")</x:f>
        <x:v>97.48670207809151</x:v>
      </x:c>
      <x:c r="H129" s="59" t="n">
        <x:f>IFERROR($D129/$F129,"")</x:f>
        <x:v>0</x:v>
      </x:c>
      <x:c r="I129" s="39" t="str">
        <x:v>Historical reconstruction from dated major parks; compare with current SEDEMA total.</x:v>
      </x:c>
    </x:row>
    <x:row r="130">
      <x:c r="A130" s="39" t="n">
        <x:v>1940</x:v>
      </x:c>
      <x:c r="B130" s="39" t="str">
        <x:v>Álvaro Obregón</x:v>
      </x:c>
      <x:c r="C130" s="56" t="n">
        <x:v>53222</x:v>
      </x:c>
      <x:c r="D130" s="56" t="n">
        <x:f>MIN(SUMIFS('Park Catalog'!$E:$E,'Park Catalog'!$A:$A,$B130,'Park Catalog'!$G:$G,"&lt;="&amp;$A130,'Park Catalog'!$H:$H,TRUE),$F130)</x:f>
        <x:v>0</x:v>
      </x:c>
      <x:c r="E130" s="57" t="n">
        <x:f>IFERROR($D130/$C130,"")</x:f>
        <x:v>0</x:v>
      </x:c>
      <x:c r="F130" s="58" t="n">
        <x:v>4913463.7</x:v>
      </x:c>
      <x:c r="G130" s="58" t="n">
        <x:f>IFERROR($F130/$C130,"")</x:f>
        <x:v>92.32016271466686</x:v>
      </x:c>
      <x:c r="H130" s="59" t="n">
        <x:f>IFERROR($D130/$F130,"")</x:f>
        <x:v>0</x:v>
      </x:c>
      <x:c r="I130" s="39" t="str">
        <x:v>Historical reconstruction from dated major parks; compare with current SEDEMA total.</x:v>
      </x:c>
    </x:row>
    <x:row r="131">
      <x:c r="A131" s="39" t="n">
        <x:v>1940</x:v>
      </x:c>
      <x:c r="B131" s="39" t="str">
        <x:v>Azcapotzalco</x:v>
      </x:c>
      <x:c r="C131" s="56" t="n">
        <x:v>105306</x:v>
      </x:c>
      <x:c r="D131" s="56" t="n">
        <x:f>MIN(SUMIFS('Park Catalog'!$E:$E,'Park Catalog'!$A:$A,$B131,'Park Catalog'!$G:$G,"&lt;="&amp;$A131,'Park Catalog'!$H:$H,TRUE),$F131)</x:f>
        <x:v>0</x:v>
      </x:c>
      <x:c r="E131" s="57" t="n">
        <x:f>IFERROR($D131/$C131,"")</x:f>
        <x:v>0</x:v>
      </x:c>
      <x:c r="F131" s="58" t="n">
        <x:v>3980866.7</x:v>
      </x:c>
      <x:c r="G131" s="58" t="n">
        <x:f>IFERROR($F131/$C131,"")</x:f>
        <x:v>37.8028478909084</x:v>
      </x:c>
      <x:c r="H131" s="59" t="n">
        <x:f>IFERROR($D131/$F131,"")</x:f>
        <x:v>0</x:v>
      </x:c>
      <x:c r="I131" s="39" t="str">
        <x:v>Historical reconstruction from dated major parks; compare with current SEDEMA total.</x:v>
      </x:c>
    </x:row>
    <x:row r="132">
      <x:c r="A132" s="39" t="n">
        <x:v>1940</x:v>
      </x:c>
      <x:c r="B132" s="39" t="str">
        <x:v>Benito Juárez</x:v>
      </x:c>
      <x:c r="C132" s="56" t="n">
        <x:v>269404</x:v>
      </x:c>
      <x:c r="D132" s="56" t="n">
        <x:f>MIN(SUMIFS('Park Catalog'!$E:$E,'Park Catalog'!$A:$A,$B132,'Park Catalog'!$G:$G,"&lt;="&amp;$A132,'Park Catalog'!$H:$H,TRUE),$F132)</x:f>
        <x:v>0</x:v>
      </x:c>
      <x:c r="E132" s="57" t="n">
        <x:f>IFERROR($D132/$C132,"")</x:f>
        <x:v>0</x:v>
      </x:c>
      <x:c r="F132" s="58" t="n">
        <x:v>929230.8</x:v>
      </x:c>
      <x:c r="G132" s="58" t="n">
        <x:f>IFERROR($F132/$C132,"")</x:f>
        <x:v>3.4492093658594527</x:v>
      </x:c>
      <x:c r="H132" s="59" t="n">
        <x:f>IFERROR($D132/$F132,"")</x:f>
        <x:v>0</x:v>
      </x:c>
      <x:c r="I132" s="39" t="str">
        <x:v>Historical reconstruction from dated major parks; compare with current SEDEMA total.</x:v>
      </x:c>
    </x:row>
    <x:row r="133">
      <x:c r="A133" s="39" t="n">
        <x:v>1940</x:v>
      </x:c>
      <x:c r="B133" s="39" t="str">
        <x:v>Coyoacán</x:v>
      </x:c>
      <x:c r="C133" s="56" t="n">
        <x:v>39984</x:v>
      </x:c>
      <x:c r="D133" s="56" t="n">
        <x:f>MIN(SUMIFS('Park Catalog'!$E:$E,'Park Catalog'!$A:$A,$B133,'Park Catalog'!$G:$G,"&lt;="&amp;$A133,'Park Catalog'!$H:$H,TRUE),$F133)</x:f>
        <x:v>0</x:v>
      </x:c>
      <x:c r="E133" s="57" t="n">
        <x:f>IFERROR($D133/$C133,"")</x:f>
        <x:v>0</x:v>
      </x:c>
      <x:c r="F133" s="58" t="n">
        <x:v>9157547.7</x:v>
      </x:c>
      <x:c r="G133" s="58" t="n">
        <x:f>IFERROR($F133/$C133,"")</x:f>
        <x:v>229.03030462184873</x:v>
      </x:c>
      <x:c r="H133" s="59" t="n">
        <x:f>IFERROR($D133/$F133,"")</x:f>
        <x:v>0</x:v>
      </x:c>
      <x:c r="I133" s="39" t="str">
        <x:v>Historical reconstruction from dated major parks; compare with current SEDEMA total.</x:v>
      </x:c>
    </x:row>
    <x:row r="134">
      <x:c r="A134" s="39" t="n">
        <x:v>1940</x:v>
      </x:c>
      <x:c r="B134" s="39" t="str">
        <x:v>Cuajimalpa de Morelos</x:v>
      </x:c>
      <x:c r="C134" s="56" t="n">
        <x:v>6096</x:v>
      </x:c>
      <x:c r="D134" s="56" t="n">
        <x:f>MIN(SUMIFS('Park Catalog'!$E:$E,'Park Catalog'!$A:$A,$B134,'Park Catalog'!$G:$G,"&lt;="&amp;$A134,'Park Catalog'!$H:$H,TRUE),$F134)</x:f>
        <x:v>0</x:v>
      </x:c>
      <x:c r="E134" s="57" t="n">
        <x:f>IFERROR($D134/$C134,"")</x:f>
        <x:v>0</x:v>
      </x:c>
      <x:c r="F134" s="58" t="n">
        <x:v>2048957.7</x:v>
      </x:c>
      <x:c r="G134" s="58" t="n">
        <x:f>IFERROR($F134/$C134,"")</x:f>
        <x:v>336.11510826771655</x:v>
      </x:c>
      <x:c r="H134" s="59" t="n">
        <x:f>IFERROR($D134/$F134,"")</x:f>
        <x:v>0</x:v>
      </x:c>
      <x:c r="I134" s="39" t="str">
        <x:v>Historical reconstruction from dated major parks; compare with current SEDEMA total.</x:v>
      </x:c>
    </x:row>
    <x:row r="135">
      <x:c r="A135" s="39" t="n">
        <x:v>1940</x:v>
      </x:c>
      <x:c r="B135" s="39" t="str">
        <x:v>Cuauhtémoc</x:v>
      </x:c>
      <x:c r="C135" s="56" t="n">
        <x:v>411339</x:v>
      </x:c>
      <x:c r="D135" s="56" t="n">
        <x:f>MIN(SUMIFS('Park Catalog'!$E:$E,'Park Catalog'!$A:$A,$B135,'Park Catalog'!$G:$G,"&lt;="&amp;$A135,'Park Catalog'!$H:$H,TRUE),$F135)</x:f>
        <x:v>0</x:v>
      </x:c>
      <x:c r="E135" s="57" t="n">
        <x:f>IFERROR($D135/$C135,"")</x:f>
        <x:v>0</x:v>
      </x:c>
      <x:c r="F135" s="58" t="n">
        <x:v>1915961</x:v>
      </x:c>
      <x:c r="G135" s="58" t="n">
        <x:f>IFERROR($F135/$C135,"")</x:f>
        <x:v>4.657863708522654</x:v>
      </x:c>
      <x:c r="H135" s="59" t="n">
        <x:f>IFERROR($D135/$F135,"")</x:f>
        <x:v>0</x:v>
      </x:c>
      <x:c r="I135" s="39" t="str">
        <x:v>Historical reconstruction from dated major parks; compare with current SEDEMA total.</x:v>
      </x:c>
    </x:row>
    <x:row r="136">
      <x:c r="A136" s="39" t="n">
        <x:v>1940</x:v>
      </x:c>
      <x:c r="B136" s="39" t="str">
        <x:v>Gustavo A. Madero</x:v>
      </x:c>
      <x:c r="C136" s="56" t="n">
        <x:v>114516</x:v>
      </x:c>
      <x:c r="D136" s="56" t="n">
        <x:f>MIN(SUMIFS('Park Catalog'!$E:$E,'Park Catalog'!$A:$A,$B136,'Park Catalog'!$G:$G,"&lt;="&amp;$A136,'Park Catalog'!$H:$H,TRUE),$F136)</x:f>
        <x:v>0</x:v>
      </x:c>
      <x:c r="E136" s="57" t="n">
        <x:f>IFERROR($D136/$C136,"")</x:f>
        <x:v>0</x:v>
      </x:c>
      <x:c r="F136" s="58" t="n">
        <x:v>7851619.6</x:v>
      </x:c>
      <x:c r="G136" s="58" t="n">
        <x:f>IFERROR($F136/$C136,"")</x:f>
        <x:v>68.56351601522931</x:v>
      </x:c>
      <x:c r="H136" s="59" t="n">
        <x:f>IFERROR($D136/$F136,"")</x:f>
        <x:v>0</x:v>
      </x:c>
      <x:c r="I136" s="39" t="str">
        <x:v>Historical reconstruction from dated major parks; compare with current SEDEMA total.</x:v>
      </x:c>
    </x:row>
    <x:row r="137">
      <x:c r="A137" s="39" t="n">
        <x:v>1940</x:v>
      </x:c>
      <x:c r="B137" s="39" t="str">
        <x:v>Iztacalco</x:v>
      </x:c>
      <x:c r="C137" s="56" t="n">
        <x:v>19409</x:v>
      </x:c>
      <x:c r="D137" s="56" t="n">
        <x:f>MIN(SUMIFS('Park Catalog'!$E:$E,'Park Catalog'!$A:$A,$B137,'Park Catalog'!$G:$G,"&lt;="&amp;$A137,'Park Catalog'!$H:$H,TRUE),$F137)</x:f>
        <x:v>0</x:v>
      </x:c>
      <x:c r="E137" s="57" t="n">
        <x:f>IFERROR($D137/$C137,"")</x:f>
        <x:v>0</x:v>
      </x:c>
      <x:c r="F137" s="58" t="n">
        <x:v>1944289</x:v>
      </x:c>
      <x:c r="G137" s="58" t="n">
        <x:f>IFERROR($F137/$C137,"")</x:f>
        <x:v>100.17460971714154</x:v>
      </x:c>
      <x:c r="H137" s="59" t="n">
        <x:f>IFERROR($D137/$F137,"")</x:f>
        <x:v>0</x:v>
      </x:c>
      <x:c r="I137" s="39" t="str">
        <x:v>Historical reconstruction from dated major parks; compare with current SEDEMA total.</x:v>
      </x:c>
    </x:row>
    <x:row r="138">
      <x:c r="A138" s="39" t="n">
        <x:v>1940</x:v>
      </x:c>
      <x:c r="B138" s="39" t="str">
        <x:v>Iztapalapa</x:v>
      </x:c>
      <x:c r="C138" s="56" t="n">
        <x:v>44089</x:v>
      </x:c>
      <x:c r="D138" s="56" t="n">
        <x:f>MIN(SUMIFS('Park Catalog'!$E:$E,'Park Catalog'!$A:$A,$B138,'Park Catalog'!$G:$G,"&lt;="&amp;$A138,'Park Catalog'!$H:$H,TRUE),$F138)</x:f>
        <x:v>0</x:v>
      </x:c>
      <x:c r="E138" s="57" t="n">
        <x:f>IFERROR($D138/$C138,"")</x:f>
        <x:v>0</x:v>
      </x:c>
      <x:c r="F138" s="58" t="n">
        <x:v>9834858.6</x:v>
      </x:c>
      <x:c r="G138" s="58" t="n">
        <x:f>IFERROR($F138/$C138,"")</x:f>
        <x:v>223.06830728753204</x:v>
      </x:c>
      <x:c r="H138" s="59" t="n">
        <x:f>IFERROR($D138/$F138,"")</x:f>
        <x:v>0</x:v>
      </x:c>
      <x:c r="I138" s="39" t="str">
        <x:v>Historical reconstruction from dated major parks; compare with current SEDEMA total.</x:v>
      </x:c>
    </x:row>
    <x:row r="139">
      <x:c r="A139" s="39" t="n">
        <x:v>1940</x:v>
      </x:c>
      <x:c r="B139" s="39" t="str">
        <x:v>La Magdalena Contreras</x:v>
      </x:c>
      <x:c r="C139" s="56" t="n">
        <x:v>12643</x:v>
      </x:c>
      <x:c r="D139" s="56" t="n">
        <x:f>MIN(SUMIFS('Park Catalog'!$E:$E,'Park Catalog'!$A:$A,$B139,'Park Catalog'!$G:$G,"&lt;="&amp;$A139,'Park Catalog'!$H:$H,TRUE),$F139)</x:f>
        <x:v>0</x:v>
      </x:c>
      <x:c r="E139" s="57" t="n">
        <x:f>IFERROR($D139/$C139,"")</x:f>
        <x:v>0</x:v>
      </x:c>
      <x:c r="F139" s="58" t="n">
        <x:v>1335114.4</x:v>
      </x:c>
      <x:c r="G139" s="58" t="n">
        <x:f>IFERROR($F139/$C139,"")</x:f>
        <x:v>105.60107569405994</x:v>
      </x:c>
      <x:c r="H139" s="59" t="n">
        <x:f>IFERROR($D139/$F139,"")</x:f>
        <x:v>0</x:v>
      </x:c>
      <x:c r="I139" s="39" t="str">
        <x:v>Historical reconstruction from dated major parks; compare with current SEDEMA total.</x:v>
      </x:c>
    </x:row>
    <x:row r="140">
      <x:c r="A140" s="39" t="n">
        <x:v>1940</x:v>
      </x:c>
      <x:c r="B140" s="39" t="str">
        <x:v>Miguel Hidalgo</x:v>
      </x:c>
      <x:c r="C140" s="56" t="n">
        <x:v>269298</x:v>
      </x:c>
      <x:c r="D140" s="56" t="n">
        <x:f>MIN(SUMIFS('Park Catalog'!$E:$E,'Park Catalog'!$A:$A,$B140,'Park Catalog'!$G:$G,"&lt;="&amp;$A140,'Park Catalog'!$H:$H,TRUE),$F140)</x:f>
        <x:v>0</x:v>
      </x:c>
      <x:c r="E140" s="57" t="n">
        <x:f>IFERROR($D140/$C140,"")</x:f>
        <x:v>0</x:v>
      </x:c>
      <x:c r="F140" s="58" t="n">
        <x:v>5607701.5</x:v>
      </x:c>
      <x:c r="G140" s="58" t="n">
        <x:f>IFERROR($F140/$C140,"")</x:f>
        <x:v>20.823405669555658</x:v>
      </x:c>
      <x:c r="H140" s="59" t="n">
        <x:f>IFERROR($D140/$F140,"")</x:f>
        <x:v>0</x:v>
      </x:c>
      <x:c r="I140" s="39" t="str">
        <x:v>Historical reconstruction from dated major parks; compare with current SEDEMA total.</x:v>
      </x:c>
    </x:row>
    <x:row r="141">
      <x:c r="A141" s="39" t="n">
        <x:v>1940</x:v>
      </x:c>
      <x:c r="B141" s="39" t="str">
        <x:v>Milpa Alta</x:v>
      </x:c>
      <x:c r="C141" s="56" t="n">
        <x:v>11412</x:v>
      </x:c>
      <x:c r="D141" s="56" t="n">
        <x:f>MIN(SUMIFS('Park Catalog'!$E:$E,'Park Catalog'!$A:$A,$B141,'Park Catalog'!$G:$G,"&lt;="&amp;$A141,'Park Catalog'!$H:$H,TRUE),$F141)</x:f>
        <x:v>0</x:v>
      </x:c>
      <x:c r="E141" s="57" t="n">
        <x:f>IFERROR($D141/$C141,"")</x:f>
        <x:v>0</x:v>
      </x:c>
      <x:c r="F141" s="58" t="n">
        <x:v>309724</x:v>
      </x:c>
      <x:c r="G141" s="58" t="n">
        <x:f>IFERROR($F141/$C141,"")</x:f>
        <x:v>27.14020329477743</x:v>
      </x:c>
      <x:c r="H141" s="59" t="n">
        <x:f>IFERROR($D141/$F141,"")</x:f>
        <x:v>0</x:v>
      </x:c>
      <x:c r="I141" s="39" t="str">
        <x:v>Historical reconstruction from dated major parks; compare with current SEDEMA total.</x:v>
      </x:c>
    </x:row>
    <x:row r="142">
      <x:c r="A142" s="39" t="n">
        <x:v>1940</x:v>
      </x:c>
      <x:c r="B142" s="39" t="str">
        <x:v>Tláhuac</x:v>
      </x:c>
      <x:c r="C142" s="56" t="n">
        <x:v>11294</x:v>
      </x:c>
      <x:c r="D142" s="56" t="n">
        <x:f>MIN(SUMIFS('Park Catalog'!$E:$E,'Park Catalog'!$A:$A,$B142,'Park Catalog'!$G:$G,"&lt;="&amp;$A142,'Park Catalog'!$H:$H,TRUE),$F142)</x:f>
        <x:v>0</x:v>
      </x:c>
      <x:c r="E142" s="57" t="n">
        <x:f>IFERROR($D142/$C142,"")</x:f>
        <x:v>0</x:v>
      </x:c>
      <x:c r="F142" s="58" t="n">
        <x:v>3054084.7</x:v>
      </x:c>
      <x:c r="G142" s="58" t="n">
        <x:f>IFERROR($F142/$C142,"")</x:f>
        <x:v>270.4165663183992</x:v>
      </x:c>
      <x:c r="H142" s="59" t="n">
        <x:f>IFERROR($D142/$F142,"")</x:f>
        <x:v>0</x:v>
      </x:c>
      <x:c r="I142" s="39" t="str">
        <x:v>Historical reconstruction from dated major parks; compare with current SEDEMA total.</x:v>
      </x:c>
    </x:row>
    <x:row r="143">
      <x:c r="A143" s="39" t="n">
        <x:v>1940</x:v>
      </x:c>
      <x:c r="B143" s="39" t="str">
        <x:v>Tlalpan</x:v>
      </x:c>
      <x:c r="C143" s="56" t="n">
        <x:v>18987</x:v>
      </x:c>
      <x:c r="D143" s="56" t="n">
        <x:f>MIN(SUMIFS('Park Catalog'!$E:$E,'Park Catalog'!$A:$A,$B143,'Park Catalog'!$G:$G,"&lt;="&amp;$A143,'Park Catalog'!$H:$H,TRUE),$F143)</x:f>
        <x:v>0</x:v>
      </x:c>
      <x:c r="E143" s="57" t="n">
        <x:f>IFERROR($D143/$C143,"")</x:f>
        <x:v>0</x:v>
      </x:c>
      <x:c r="F143" s="58" t="n">
        <x:v>6530744.7</x:v>
      </x:c>
      <x:c r="G143" s="58" t="n">
        <x:f>IFERROR($F143/$C143,"")</x:f>
        <x:v>343.9587454574182</x:v>
      </x:c>
      <x:c r="H143" s="59" t="n">
        <x:f>IFERROR($D143/$F143,"")</x:f>
        <x:v>0</x:v>
      </x:c>
      <x:c r="I143" s="39" t="str">
        <x:v>Historical reconstruction from dated major parks; compare with current SEDEMA total.</x:v>
      </x:c>
    </x:row>
    <x:row r="144">
      <x:c r="A144" s="39" t="n">
        <x:v>1940</x:v>
      </x:c>
      <x:c r="B144" s="39" t="str">
        <x:v>Venustiano Carranza</x:v>
      </x:c>
      <x:c r="C144" s="56" t="n">
        <x:v>341977</x:v>
      </x:c>
      <x:c r="D144" s="56" t="n">
        <x:f>MIN(SUMIFS('Park Catalog'!$E:$E,'Park Catalog'!$A:$A,$B144,'Park Catalog'!$G:$G,"&lt;="&amp;$A144,'Park Catalog'!$H:$H,TRUE),$F144)</x:f>
        <x:v>0</x:v>
      </x:c>
      <x:c r="E144" s="57" t="n">
        <x:f>IFERROR($D144/$C144,"")</x:f>
        <x:v>0</x:v>
      </x:c>
      <x:c r="F144" s="58" t="n">
        <x:v>5805150.1</x:v>
      </x:c>
      <x:c r="G144" s="58" t="n">
        <x:f>IFERROR($F144/$C144,"")</x:f>
        <x:v>16.975264710784643</x:v>
      </x:c>
      <x:c r="H144" s="59" t="n">
        <x:f>IFERROR($D144/$F144,"")</x:f>
        <x:v>0</x:v>
      </x:c>
      <x:c r="I144" s="39" t="str">
        <x:v>Historical reconstruction from dated major parks; compare with current SEDEMA total.</x:v>
      </x:c>
    </x:row>
    <x:row r="145">
      <x:c r="A145" s="39" t="n">
        <x:v>1940</x:v>
      </x:c>
      <x:c r="B145" s="39" t="str">
        <x:v>Xochimilco</x:v>
      </x:c>
      <x:c r="C145" s="56" t="n">
        <x:v>28552</x:v>
      </x:c>
      <x:c r="D145" s="56" t="n">
        <x:f>MIN(SUMIFS('Park Catalog'!$E:$E,'Park Catalog'!$A:$A,$B145,'Park Catalog'!$G:$G,"&lt;="&amp;$A145,'Park Catalog'!$H:$H,TRUE),$F145)</x:f>
        <x:v>0</x:v>
      </x:c>
      <x:c r="E145" s="57" t="n">
        <x:f>IFERROR($D145/$C145,"")</x:f>
        <x:v>0</x:v>
      </x:c>
      <x:c r="F145" s="58" t="n">
        <x:v>2092259.6</x:v>
      </x:c>
      <x:c r="G145" s="58" t="n">
        <x:f>IFERROR($F145/$C145,"")</x:f>
        <x:v>73.2789156626506</x:v>
      </x:c>
      <x:c r="H145" s="59" t="n">
        <x:f>IFERROR($D145/$F145,"")</x:f>
        <x:v>0</x:v>
      </x:c>
      <x:c r="I145" s="39" t="str">
        <x:v>Historical reconstruction from dated major parks; compare with current SEDEMA total.</x:v>
      </x:c>
    </x:row>
    <x:row r="146">
      <x:c r="A146" s="39" t="n">
        <x:v>1950</x:v>
      </x:c>
      <x:c r="B146" s="39" t="str">
        <x:v>Álvaro Obregón</x:v>
      </x:c>
      <x:c r="C146" s="56" t="n">
        <x:v>93176</x:v>
      </x:c>
      <x:c r="D146" s="56" t="n">
        <x:f>MIN(SUMIFS('Park Catalog'!$E:$E,'Park Catalog'!$A:$A,$B146,'Park Catalog'!$G:$G,"&lt;="&amp;$A146,'Park Catalog'!$H:$H,TRUE),$F146)</x:f>
        <x:v>0</x:v>
      </x:c>
      <x:c r="E146" s="57" t="n">
        <x:f>IFERROR($D146/$C146,"")</x:f>
        <x:v>0</x:v>
      </x:c>
      <x:c r="F146" s="58" t="n">
        <x:v>4913463.7</x:v>
      </x:c>
      <x:c r="G146" s="58" t="n">
        <x:f>IFERROR($F146/$C146,"")</x:f>
        <x:v>52.73314694771186</x:v>
      </x:c>
      <x:c r="H146" s="59" t="n">
        <x:f>IFERROR($D146/$F146,"")</x:f>
        <x:v>0</x:v>
      </x:c>
      <x:c r="I146" s="39" t="str">
        <x:v>Historical reconstruction from dated major parks; compare with current SEDEMA total.</x:v>
      </x:c>
    </x:row>
    <x:row r="147">
      <x:c r="A147" s="39" t="n">
        <x:v>1950</x:v>
      </x:c>
      <x:c r="B147" s="39" t="str">
        <x:v>Azcapotzalco</x:v>
      </x:c>
      <x:c r="C147" s="56" t="n">
        <x:v>187864</x:v>
      </x:c>
      <x:c r="D147" s="56" t="n">
        <x:f>MIN(SUMIFS('Park Catalog'!$E:$E,'Park Catalog'!$A:$A,$B147,'Park Catalog'!$G:$G,"&lt;="&amp;$A147,'Park Catalog'!$H:$H,TRUE),$F147)</x:f>
        <x:v>0</x:v>
      </x:c>
      <x:c r="E147" s="57" t="n">
        <x:f>IFERROR($D147/$C147,"")</x:f>
        <x:v>0</x:v>
      </x:c>
      <x:c r="F147" s="58" t="n">
        <x:v>3980866.7</x:v>
      </x:c>
      <x:c r="G147" s="58" t="n">
        <x:f>IFERROR($F147/$C147,"")</x:f>
        <x:v>21.190151918409065</x:v>
      </x:c>
      <x:c r="H147" s="59" t="n">
        <x:f>IFERROR($D147/$F147,"")</x:f>
        <x:v>0</x:v>
      </x:c>
      <x:c r="I147" s="39" t="str">
        <x:v>Historical reconstruction from dated major parks; compare with current SEDEMA total.</x:v>
      </x:c>
    </x:row>
    <x:row r="148">
      <x:c r="A148" s="39" t="n">
        <x:v>1950</x:v>
      </x:c>
      <x:c r="B148" s="39" t="str">
        <x:v>Benito Juárez</x:v>
      </x:c>
      <x:c r="C148" s="56" t="n">
        <x:v>469100</x:v>
      </x:c>
      <x:c r="D148" s="56" t="n">
        <x:f>MIN(SUMIFS('Park Catalog'!$E:$E,'Park Catalog'!$A:$A,$B148,'Park Catalog'!$G:$G,"&lt;="&amp;$A148,'Park Catalog'!$H:$H,TRUE),$F148)</x:f>
        <x:v>0</x:v>
      </x:c>
      <x:c r="E148" s="57" t="n">
        <x:f>IFERROR($D148/$C148,"")</x:f>
        <x:v>0</x:v>
      </x:c>
      <x:c r="F148" s="58" t="n">
        <x:v>929230.8</x:v>
      </x:c>
      <x:c r="G148" s="58" t="n">
        <x:f>IFERROR($F148/$C148,"")</x:f>
        <x:v>1.980879982946067</x:v>
      </x:c>
      <x:c r="H148" s="59" t="n">
        <x:f>IFERROR($D148/$F148,"")</x:f>
        <x:v>0</x:v>
      </x:c>
      <x:c r="I148" s="39" t="str">
        <x:v>Historical reconstruction from dated major parks; compare with current SEDEMA total.</x:v>
      </x:c>
    </x:row>
    <x:row r="149">
      <x:c r="A149" s="39" t="n">
        <x:v>1950</x:v>
      </x:c>
      <x:c r="B149" s="39" t="str">
        <x:v>Coyoacán</x:v>
      </x:c>
      <x:c r="C149" s="56" t="n">
        <x:v>70005</x:v>
      </x:c>
      <x:c r="D149" s="56" t="n">
        <x:f>MIN(SUMIFS('Park Catalog'!$E:$E,'Park Catalog'!$A:$A,$B149,'Park Catalog'!$G:$G,"&lt;="&amp;$A149,'Park Catalog'!$H:$H,TRUE),$F149)</x:f>
        <x:v>0</x:v>
      </x:c>
      <x:c r="E149" s="57" t="n">
        <x:f>IFERROR($D149/$C149,"")</x:f>
        <x:v>0</x:v>
      </x:c>
      <x:c r="F149" s="58" t="n">
        <x:v>9157547.7</x:v>
      </x:c>
      <x:c r="G149" s="58" t="n">
        <x:f>IFERROR($F149/$C149,"")</x:f>
        <x:v>130.8127662309835</x:v>
      </x:c>
      <x:c r="H149" s="59" t="n">
        <x:f>IFERROR($D149/$F149,"")</x:f>
        <x:v>0</x:v>
      </x:c>
      <x:c r="I149" s="39" t="str">
        <x:v>Historical reconstruction from dated major parks; compare with current SEDEMA total.</x:v>
      </x:c>
    </x:row>
    <x:row r="150">
      <x:c r="A150" s="39" t="n">
        <x:v>1950</x:v>
      </x:c>
      <x:c r="B150" s="39" t="str">
        <x:v>Cuajimalpa de Morelos</x:v>
      </x:c>
      <x:c r="C150" s="56" t="n">
        <x:v>9676</x:v>
      </x:c>
      <x:c r="D150" s="56" t="n">
        <x:f>MIN(SUMIFS('Park Catalog'!$E:$E,'Park Catalog'!$A:$A,$B150,'Park Catalog'!$G:$G,"&lt;="&amp;$A150,'Park Catalog'!$H:$H,TRUE),$F150)</x:f>
        <x:v>0</x:v>
      </x:c>
      <x:c r="E150" s="57" t="n">
        <x:f>IFERROR($D150/$C150,"")</x:f>
        <x:v>0</x:v>
      </x:c>
      <x:c r="F150" s="58" t="n">
        <x:v>2048957.7</x:v>
      </x:c>
      <x:c r="G150" s="58" t="n">
        <x:f>IFERROR($F150/$C150,"")</x:f>
        <x:v>211.75668664737495</x:v>
      </x:c>
      <x:c r="H150" s="59" t="n">
        <x:f>IFERROR($D150/$F150,"")</x:f>
        <x:v>0</x:v>
      </x:c>
      <x:c r="I150" s="39" t="str">
        <x:v>Historical reconstruction from dated major parks; compare with current SEDEMA total.</x:v>
      </x:c>
    </x:row>
    <x:row r="151">
      <x:c r="A151" s="39" t="n">
        <x:v>1950</x:v>
      </x:c>
      <x:c r="B151" s="39" t="str">
        <x:v>Cuauhtémoc</x:v>
      </x:c>
      <x:c r="C151" s="56" t="n">
        <x:v>701635</x:v>
      </x:c>
      <x:c r="D151" s="56" t="n">
        <x:f>MIN(SUMIFS('Park Catalog'!$E:$E,'Park Catalog'!$A:$A,$B151,'Park Catalog'!$G:$G,"&lt;="&amp;$A151,'Park Catalog'!$H:$H,TRUE),$F151)</x:f>
        <x:v>0</x:v>
      </x:c>
      <x:c r="E151" s="57" t="n">
        <x:f>IFERROR($D151/$C151,"")</x:f>
        <x:v>0</x:v>
      </x:c>
      <x:c r="F151" s="58" t="n">
        <x:v>1915961</x:v>
      </x:c>
      <x:c r="G151" s="58" t="n">
        <x:f>IFERROR($F151/$C151,"")</x:f>
        <x:v>2.7307089868663907</x:v>
      </x:c>
      <x:c r="H151" s="59" t="n">
        <x:f>IFERROR($D151/$F151,"")</x:f>
        <x:v>0</x:v>
      </x:c>
      <x:c r="I151" s="39" t="str">
        <x:v>Historical reconstruction from dated major parks; compare with current SEDEMA total.</x:v>
      </x:c>
    </x:row>
    <x:row r="152">
      <x:c r="A152" s="39" t="n">
        <x:v>1950</x:v>
      </x:c>
      <x:c r="B152" s="39" t="str">
        <x:v>Gustavo A. Madero</x:v>
      </x:c>
      <x:c r="C152" s="56" t="n">
        <x:v>204833</x:v>
      </x:c>
      <x:c r="D152" s="56" t="n">
        <x:f>MIN(SUMIFS('Park Catalog'!$E:$E,'Park Catalog'!$A:$A,$B152,'Park Catalog'!$G:$G,"&lt;="&amp;$A152,'Park Catalog'!$H:$H,TRUE),$F152)</x:f>
        <x:v>0</x:v>
      </x:c>
      <x:c r="E152" s="57" t="n">
        <x:f>IFERROR($D152/$C152,"")</x:f>
        <x:v>0</x:v>
      </x:c>
      <x:c r="F152" s="58" t="n">
        <x:v>7851619.6</x:v>
      </x:c>
      <x:c r="G152" s="58" t="n">
        <x:f>IFERROR($F152/$C152,"")</x:f>
        <x:v>38.331809815801165</x:v>
      </x:c>
      <x:c r="H152" s="59" t="n">
        <x:f>IFERROR($D152/$F152,"")</x:f>
        <x:v>0</x:v>
      </x:c>
      <x:c r="I152" s="39" t="str">
        <x:v>Historical reconstruction from dated major parks; compare with current SEDEMA total.</x:v>
      </x:c>
    </x:row>
    <x:row r="153">
      <x:c r="A153" s="39" t="n">
        <x:v>1950</x:v>
      </x:c>
      <x:c r="B153" s="39" t="str">
        <x:v>Iztacalco</x:v>
      </x:c>
      <x:c r="C153" s="56" t="n">
        <x:v>33945</x:v>
      </x:c>
      <x:c r="D153" s="56" t="n">
        <x:f>MIN(SUMIFS('Park Catalog'!$E:$E,'Park Catalog'!$A:$A,$B153,'Park Catalog'!$G:$G,"&lt;="&amp;$A153,'Park Catalog'!$H:$H,TRUE),$F153)</x:f>
        <x:v>0</x:v>
      </x:c>
      <x:c r="E153" s="57" t="n">
        <x:f>IFERROR($D153/$C153,"")</x:f>
        <x:v>0</x:v>
      </x:c>
      <x:c r="F153" s="58" t="n">
        <x:v>1944289</x:v>
      </x:c>
      <x:c r="G153" s="58" t="n">
        <x:f>IFERROR($F153/$C153,"")</x:f>
        <x:v>57.27762557077626</x:v>
      </x:c>
      <x:c r="H153" s="59" t="n">
        <x:f>IFERROR($D153/$F153,"")</x:f>
        <x:v>0</x:v>
      </x:c>
      <x:c r="I153" s="39" t="str">
        <x:v>Historical reconstruction from dated major parks; compare with current SEDEMA total.</x:v>
      </x:c>
    </x:row>
    <x:row r="154">
      <x:c r="A154" s="39" t="n">
        <x:v>1950</x:v>
      </x:c>
      <x:c r="B154" s="39" t="str">
        <x:v>Iztapalapa</x:v>
      </x:c>
      <x:c r="C154" s="56" t="n">
        <x:v>76621</x:v>
      </x:c>
      <x:c r="D154" s="56" t="n">
        <x:f>MIN(SUMIFS('Park Catalog'!$E:$E,'Park Catalog'!$A:$A,$B154,'Park Catalog'!$G:$G,"&lt;="&amp;$A154,'Park Catalog'!$H:$H,TRUE),$F154)</x:f>
        <x:v>0</x:v>
      </x:c>
      <x:c r="E154" s="57" t="n">
        <x:f>IFERROR($D154/$C154,"")</x:f>
        <x:v>0</x:v>
      </x:c>
      <x:c r="F154" s="58" t="n">
        <x:v>9834858.6</x:v>
      </x:c>
      <x:c r="G154" s="58" t="n">
        <x:f>IFERROR($F154/$C154,"")</x:f>
        <x:v>128.35722060531708</x:v>
      </x:c>
      <x:c r="H154" s="59" t="n">
        <x:f>IFERROR($D154/$F154,"")</x:f>
        <x:v>0</x:v>
      </x:c>
      <x:c r="I154" s="39" t="str">
        <x:v>Historical reconstruction from dated major parks; compare with current SEDEMA total.</x:v>
      </x:c>
    </x:row>
    <x:row r="155">
      <x:c r="A155" s="39" t="n">
        <x:v>1950</x:v>
      </x:c>
      <x:c r="B155" s="39" t="str">
        <x:v>La Magdalena Contreras</x:v>
      </x:c>
      <x:c r="C155" s="56" t="n">
        <x:v>21955</x:v>
      </x:c>
      <x:c r="D155" s="56" t="n">
        <x:f>MIN(SUMIFS('Park Catalog'!$E:$E,'Park Catalog'!$A:$A,$B155,'Park Catalog'!$G:$G,"&lt;="&amp;$A155,'Park Catalog'!$H:$H,TRUE),$F155)</x:f>
        <x:v>0</x:v>
      </x:c>
      <x:c r="E155" s="57" t="n">
        <x:f>IFERROR($D155/$C155,"")</x:f>
        <x:v>0</x:v>
      </x:c>
      <x:c r="F155" s="58" t="n">
        <x:v>1335114.4</x:v>
      </x:c>
      <x:c r="G155" s="58" t="n">
        <x:f>IFERROR($F155/$C155,"")</x:f>
        <x:v>60.81140514689137</x:v>
      </x:c>
      <x:c r="H155" s="59" t="n">
        <x:f>IFERROR($D155/$F155,"")</x:f>
        <x:v>0</x:v>
      </x:c>
      <x:c r="I155" s="39" t="str">
        <x:v>Historical reconstruction from dated major parks; compare with current SEDEMA total.</x:v>
      </x:c>
    </x:row>
    <x:row r="156">
      <x:c r="A156" s="39" t="n">
        <x:v>1950</x:v>
      </x:c>
      <x:c r="B156" s="39" t="str">
        <x:v>Miguel Hidalgo</x:v>
      </x:c>
      <x:c r="C156" s="56" t="n">
        <x:v>467533</x:v>
      </x:c>
      <x:c r="D156" s="56" t="n">
        <x:f>MIN(SUMIFS('Park Catalog'!$E:$E,'Park Catalog'!$A:$A,$B156,'Park Catalog'!$G:$G,"&lt;="&amp;$A156,'Park Catalog'!$H:$H,TRUE),$F156)</x:f>
        <x:v>0</x:v>
      </x:c>
      <x:c r="E156" s="57" t="n">
        <x:f>IFERROR($D156/$C156,"")</x:f>
        <x:v>0</x:v>
      </x:c>
      <x:c r="F156" s="58" t="n">
        <x:v>5607701.5</x:v>
      </x:c>
      <x:c r="G156" s="58" t="n">
        <x:f>IFERROR($F156/$C156,"")</x:f>
        <x:v>11.994236770452567</x:v>
      </x:c>
      <x:c r="H156" s="59" t="n">
        <x:f>IFERROR($D156/$F156,"")</x:f>
        <x:v>0</x:v>
      </x:c>
      <x:c r="I156" s="39" t="str">
        <x:v>Historical reconstruction from dated major parks; compare with current SEDEMA total.</x:v>
      </x:c>
    </x:row>
    <x:row r="157">
      <x:c r="A157" s="39" t="n">
        <x:v>1950</x:v>
      </x:c>
      <x:c r="B157" s="39" t="str">
        <x:v>Milpa Alta</x:v>
      </x:c>
      <x:c r="C157" s="56" t="n">
        <x:v>18212</x:v>
      </x:c>
      <x:c r="D157" s="56" t="n">
        <x:f>MIN(SUMIFS('Park Catalog'!$E:$E,'Park Catalog'!$A:$A,$B157,'Park Catalog'!$G:$G,"&lt;="&amp;$A157,'Park Catalog'!$H:$H,TRUE),$F157)</x:f>
        <x:v>0</x:v>
      </x:c>
      <x:c r="E157" s="57" t="n">
        <x:f>IFERROR($D157/$C157,"")</x:f>
        <x:v>0</x:v>
      </x:c>
      <x:c r="F157" s="58" t="n">
        <x:v>309724</x:v>
      </x:c>
      <x:c r="G157" s="58" t="n">
        <x:f>IFERROR($F157/$C157,"")</x:f>
        <x:v>17.00658906215682</x:v>
      </x:c>
      <x:c r="H157" s="59" t="n">
        <x:f>IFERROR($D157/$F157,"")</x:f>
        <x:v>0</x:v>
      </x:c>
      <x:c r="I157" s="39" t="str">
        <x:v>Historical reconstruction from dated major parks; compare with current SEDEMA total.</x:v>
      </x:c>
    </x:row>
    <x:row r="158">
      <x:c r="A158" s="39" t="n">
        <x:v>1950</x:v>
      </x:c>
      <x:c r="B158" s="39" t="str">
        <x:v>Tláhuac</x:v>
      </x:c>
      <x:c r="C158" s="56" t="n">
        <x:v>19511</x:v>
      </x:c>
      <x:c r="D158" s="56" t="n">
        <x:f>MIN(SUMIFS('Park Catalog'!$E:$E,'Park Catalog'!$A:$A,$B158,'Park Catalog'!$G:$G,"&lt;="&amp;$A158,'Park Catalog'!$H:$H,TRUE),$F158)</x:f>
        <x:v>0</x:v>
      </x:c>
      <x:c r="E158" s="57" t="n">
        <x:f>IFERROR($D158/$C158,"")</x:f>
        <x:v>0</x:v>
      </x:c>
      <x:c r="F158" s="58" t="n">
        <x:v>3054084.7</x:v>
      </x:c>
      <x:c r="G158" s="58" t="n">
        <x:f>IFERROR($F158/$C158,"")</x:f>
        <x:v>156.53142842499105</x:v>
      </x:c>
      <x:c r="H158" s="59" t="n">
        <x:f>IFERROR($D158/$F158,"")</x:f>
        <x:v>0</x:v>
      </x:c>
      <x:c r="I158" s="39" t="str">
        <x:v>Historical reconstruction from dated major parks; compare with current SEDEMA total.</x:v>
      </x:c>
    </x:row>
    <x:row r="159">
      <x:c r="A159" s="39" t="n">
        <x:v>1950</x:v>
      </x:c>
      <x:c r="B159" s="39" t="str">
        <x:v>Tlalpan</x:v>
      </x:c>
      <x:c r="C159" s="56" t="n">
        <x:v>32767</x:v>
      </x:c>
      <x:c r="D159" s="56" t="n">
        <x:f>MIN(SUMIFS('Park Catalog'!$E:$E,'Park Catalog'!$A:$A,$B159,'Park Catalog'!$G:$G,"&lt;="&amp;$A159,'Park Catalog'!$H:$H,TRUE),$F159)</x:f>
        <x:v>0</x:v>
      </x:c>
      <x:c r="E159" s="57" t="n">
        <x:f>IFERROR($D159/$C159,"")</x:f>
        <x:v>0</x:v>
      </x:c>
      <x:c r="F159" s="58" t="n">
        <x:v>6530744.7</x:v>
      </x:c>
      <x:c r="G159" s="58" t="n">
        <x:f>IFERROR($F159/$C159,"")</x:f>
        <x:v>199.30859401226846</x:v>
      </x:c>
      <x:c r="H159" s="59" t="n">
        <x:f>IFERROR($D159/$F159,"")</x:f>
        <x:v>0</x:v>
      </x:c>
      <x:c r="I159" s="39" t="str">
        <x:v>Historical reconstruction from dated major parks; compare with current SEDEMA total.</x:v>
      </x:c>
    </x:row>
    <x:row r="160">
      <x:c r="A160" s="39" t="n">
        <x:v>1950</x:v>
      </x:c>
      <x:c r="B160" s="39" t="str">
        <x:v>Venustiano Carranza</x:v>
      </x:c>
      <x:c r="C160" s="56" t="n">
        <x:v>596528</x:v>
      </x:c>
      <x:c r="D160" s="56" t="n">
        <x:f>MIN(SUMIFS('Park Catalog'!$E:$E,'Park Catalog'!$A:$A,$B160,'Park Catalog'!$G:$G,"&lt;="&amp;$A160,'Park Catalog'!$H:$H,TRUE),$F160)</x:f>
        <x:v>0</x:v>
      </x:c>
      <x:c r="E160" s="57" t="n">
        <x:f>IFERROR($D160/$C160,"")</x:f>
        <x:v>0</x:v>
      </x:c>
      <x:c r="F160" s="58" t="n">
        <x:v>5805150.1</x:v>
      </x:c>
      <x:c r="G160" s="58" t="n">
        <x:f>IFERROR($F160/$C160,"")</x:f>
        <x:v>9.731563480674838</x:v>
      </x:c>
      <x:c r="H160" s="59" t="n">
        <x:f>IFERROR($D160/$F160,"")</x:f>
        <x:v>0</x:v>
      </x:c>
      <x:c r="I160" s="39" t="str">
        <x:v>Historical reconstruction from dated major parks; compare with current SEDEMA total.</x:v>
      </x:c>
    </x:row>
    <x:row r="161">
      <x:c r="A161" s="39" t="n">
        <x:v>1950</x:v>
      </x:c>
      <x:c r="B161" s="39" t="str">
        <x:v>Xochimilco</x:v>
      </x:c>
      <x:c r="C161" s="56" t="n">
        <x:v>47082</x:v>
      </x:c>
      <x:c r="D161" s="56" t="n">
        <x:f>MIN(SUMIFS('Park Catalog'!$E:$E,'Park Catalog'!$A:$A,$B161,'Park Catalog'!$G:$G,"&lt;="&amp;$A161,'Park Catalog'!$H:$H,TRUE),$F161)</x:f>
        <x:v>0</x:v>
      </x:c>
      <x:c r="E161" s="57" t="n">
        <x:f>IFERROR($D161/$C161,"")</x:f>
        <x:v>0</x:v>
      </x:c>
      <x:c r="F161" s="58" t="n">
        <x:v>2092259.6</x:v>
      </x:c>
      <x:c r="G161" s="58" t="n">
        <x:f>IFERROR($F161/$C161,"")</x:f>
        <x:v>44.43863047449131</x:v>
      </x:c>
      <x:c r="H161" s="59" t="n">
        <x:f>IFERROR($D161/$F161,"")</x:f>
        <x:v>0</x:v>
      </x:c>
      <x:c r="I161" s="39" t="str">
        <x:v>Historical reconstruction from dated major parks; compare with current SEDEMA total.</x:v>
      </x:c>
    </x:row>
    <x:row r="162">
      <x:c r="A162" s="39" t="n">
        <x:v>1960</x:v>
      </x:c>
      <x:c r="B162" s="39" t="str">
        <x:v>Álvaro Obregón</x:v>
      </x:c>
      <x:c r="C162" s="56" t="n">
        <x:v>220011</x:v>
      </x:c>
      <x:c r="D162" s="56" t="n">
        <x:f>MIN(SUMIFS('Park Catalog'!$E:$E,'Park Catalog'!$A:$A,$B162,'Park Catalog'!$G:$G,"&lt;="&amp;$A162,'Park Catalog'!$H:$H,TRUE),$F162)</x:f>
        <x:v>0</x:v>
      </x:c>
      <x:c r="E162" s="57" t="n">
        <x:f>IFERROR($D162/$C162,"")</x:f>
        <x:v>0</x:v>
      </x:c>
      <x:c r="F162" s="58" t="n">
        <x:v>4913463.7</x:v>
      </x:c>
      <x:c r="G162" s="58" t="n">
        <x:f>IFERROR($F162/$C162,"")</x:f>
        <x:v>22.33280926862748</x:v>
      </x:c>
      <x:c r="H162" s="59" t="n">
        <x:f>IFERROR($D162/$F162,"")</x:f>
        <x:v>0</x:v>
      </x:c>
      <x:c r="I162" s="39" t="str">
        <x:v>Historical reconstruction from dated major parks; compare with current SEDEMA total.</x:v>
      </x:c>
    </x:row>
    <x:row r="163">
      <x:c r="A163" s="39" t="n">
        <x:v>1960</x:v>
      </x:c>
      <x:c r="B163" s="39" t="str">
        <x:v>Azcapotzalco</x:v>
      </x:c>
      <x:c r="C163" s="56" t="n">
        <x:v>370724</x:v>
      </x:c>
      <x:c r="D163" s="56" t="n">
        <x:f>MIN(SUMIFS('Park Catalog'!$E:$E,'Park Catalog'!$A:$A,$B163,'Park Catalog'!$G:$G,"&lt;="&amp;$A163,'Park Catalog'!$H:$H,TRUE),$F163)</x:f>
        <x:v>0</x:v>
      </x:c>
      <x:c r="E163" s="57" t="n">
        <x:f>IFERROR($D163/$C163,"")</x:f>
        <x:v>0</x:v>
      </x:c>
      <x:c r="F163" s="58" t="n">
        <x:v>3980866.7</x:v>
      </x:c>
      <x:c r="G163" s="58" t="n">
        <x:f>IFERROR($F163/$C163,"")</x:f>
        <x:v>10.738087364184677</x:v>
      </x:c>
      <x:c r="H163" s="59" t="n">
        <x:f>IFERROR($D163/$F163,"")</x:f>
        <x:v>0</x:v>
      </x:c>
      <x:c r="I163" s="39" t="str">
        <x:v>Historical reconstruction from dated major parks; compare with current SEDEMA total.</x:v>
      </x:c>
    </x:row>
    <x:row r="164">
      <x:c r="A164" s="39" t="n">
        <x:v>1960</x:v>
      </x:c>
      <x:c r="B164" s="39" t="str">
        <x:v>Benito Juárez</x:v>
      </x:c>
      <x:c r="C164" s="56" t="n">
        <x:v>594485</x:v>
      </x:c>
      <x:c r="D164" s="56" t="n">
        <x:f>MIN(SUMIFS('Park Catalog'!$E:$E,'Park Catalog'!$A:$A,$B164,'Park Catalog'!$G:$G,"&lt;="&amp;$A164,'Park Catalog'!$H:$H,TRUE),$F164)</x:f>
        <x:v>0</x:v>
      </x:c>
      <x:c r="E164" s="57" t="n">
        <x:f>IFERROR($D164/$C164,"")</x:f>
        <x:v>0</x:v>
      </x:c>
      <x:c r="F164" s="58" t="n">
        <x:v>929230.8</x:v>
      </x:c>
      <x:c r="G164" s="58" t="n">
        <x:f>IFERROR($F164/$C164,"")</x:f>
        <x:v>1.5630853595969623</x:v>
      </x:c>
      <x:c r="H164" s="59" t="n">
        <x:f>IFERROR($D164/$F164,"")</x:f>
        <x:v>0</x:v>
      </x:c>
      <x:c r="I164" s="39" t="str">
        <x:v>Historical reconstruction from dated major parks; compare with current SEDEMA total.</x:v>
      </x:c>
    </x:row>
    <x:row r="165">
      <x:c r="A165" s="39" t="n">
        <x:v>1960</x:v>
      </x:c>
      <x:c r="B165" s="39" t="str">
        <x:v>Coyoacán</x:v>
      </x:c>
      <x:c r="C165" s="56" t="n">
        <x:v>169811</x:v>
      </x:c>
      <x:c r="D165" s="56" t="n">
        <x:f>MIN(SUMIFS('Park Catalog'!$E:$E,'Park Catalog'!$A:$A,$B165,'Park Catalog'!$G:$G,"&lt;="&amp;$A165,'Park Catalog'!$H:$H,TRUE),$F165)</x:f>
        <x:v>0</x:v>
      </x:c>
      <x:c r="E165" s="57" t="n">
        <x:f>IFERROR($D165/$C165,"")</x:f>
        <x:v>0</x:v>
      </x:c>
      <x:c r="F165" s="58" t="n">
        <x:v>9157547.7</x:v>
      </x:c>
      <x:c r="G165" s="58" t="n">
        <x:f>IFERROR($F165/$C165,"")</x:f>
        <x:v>53.92788276377855</x:v>
      </x:c>
      <x:c r="H165" s="59" t="n">
        <x:f>IFERROR($D165/$F165,"")</x:f>
        <x:v>0</x:v>
      </x:c>
      <x:c r="I165" s="39" t="str">
        <x:v>Historical reconstruction from dated major parks; compare with current SEDEMA total.</x:v>
      </x:c>
    </x:row>
    <x:row r="166">
      <x:c r="A166" s="39" t="n">
        <x:v>1960</x:v>
      </x:c>
      <x:c r="B166" s="39" t="str">
        <x:v>Cuajimalpa de Morelos</x:v>
      </x:c>
      <x:c r="C166" s="56" t="n">
        <x:v>19199</x:v>
      </x:c>
      <x:c r="D166" s="56" t="n">
        <x:f>MIN(SUMIFS('Park Catalog'!$E:$E,'Park Catalog'!$A:$A,$B166,'Park Catalog'!$G:$G,"&lt;="&amp;$A166,'Park Catalog'!$H:$H,TRUE),$F166)</x:f>
        <x:v>0</x:v>
      </x:c>
      <x:c r="E166" s="57" t="n">
        <x:f>IFERROR($D166/$C166,"")</x:f>
        <x:v>0</x:v>
      </x:c>
      <x:c r="F166" s="58" t="n">
        <x:v>2048957.7</x:v>
      </x:c>
      <x:c r="G166" s="58" t="n">
        <x:f>IFERROR($F166/$C166,"")</x:f>
        <x:v>106.72210531798531</x:v>
      </x:c>
      <x:c r="H166" s="59" t="n">
        <x:f>IFERROR($D166/$F166,"")</x:f>
        <x:v>0</x:v>
      </x:c>
      <x:c r="I166" s="39" t="str">
        <x:v>Historical reconstruction from dated major parks; compare with current SEDEMA total.</x:v>
      </x:c>
    </x:row>
    <x:row r="167">
      <x:c r="A167" s="39" t="n">
        <x:v>1960</x:v>
      </x:c>
      <x:c r="B167" s="39" t="str">
        <x:v>Cuauhtémoc</x:v>
      </x:c>
      <x:c r="C167" s="56" t="n">
        <x:v>889175</x:v>
      </x:c>
      <x:c r="D167" s="56" t="n">
        <x:f>MIN(SUMIFS('Park Catalog'!$E:$E,'Park Catalog'!$A:$A,$B167,'Park Catalog'!$G:$G,"&lt;="&amp;$A167,'Park Catalog'!$H:$H,TRUE),$F167)</x:f>
        <x:v>0</x:v>
      </x:c>
      <x:c r="E167" s="57" t="n">
        <x:f>IFERROR($D167/$C167,"")</x:f>
        <x:v>0</x:v>
      </x:c>
      <x:c r="F167" s="58" t="n">
        <x:v>1915961</x:v>
      </x:c>
      <x:c r="G167" s="58" t="n">
        <x:f>IFERROR($F167/$C167,"")</x:f>
        <x:v>2.154762560800742</x:v>
      </x:c>
      <x:c r="H167" s="59" t="n">
        <x:f>IFERROR($D167/$F167,"")</x:f>
        <x:v>0</x:v>
      </x:c>
      <x:c r="I167" s="39" t="str">
        <x:v>Historical reconstruction from dated major parks; compare with current SEDEMA total.</x:v>
      </x:c>
    </x:row>
    <x:row r="168">
      <x:c r="A168" s="39" t="n">
        <x:v>1960</x:v>
      </x:c>
      <x:c r="B168" s="39" t="str">
        <x:v>Gustavo A. Madero</x:v>
      </x:c>
      <x:c r="C168" s="56" t="n">
        <x:v>579180</x:v>
      </x:c>
      <x:c r="D168" s="56" t="n">
        <x:f>MIN(SUMIFS('Park Catalog'!$E:$E,'Park Catalog'!$A:$A,$B168,'Park Catalog'!$G:$G,"&lt;="&amp;$A168,'Park Catalog'!$H:$H,TRUE),$F168)</x:f>
        <x:v>0</x:v>
      </x:c>
      <x:c r="E168" s="57" t="n">
        <x:f>IFERROR($D168/$C168,"")</x:f>
        <x:v>0</x:v>
      </x:c>
      <x:c r="F168" s="58" t="n">
        <x:v>7851619.6</x:v>
      </x:c>
      <x:c r="G168" s="58" t="n">
        <x:f>IFERROR($F168/$C168,"")</x:f>
        <x:v>13.556441175454953</x:v>
      </x:c>
      <x:c r="H168" s="59" t="n">
        <x:f>IFERROR($D168/$F168,"")</x:f>
        <x:v>0</x:v>
      </x:c>
      <x:c r="I168" s="39" t="str">
        <x:v>Historical reconstruction from dated major parks; compare with current SEDEMA total.</x:v>
      </x:c>
    </x:row>
    <x:row r="169">
      <x:c r="A169" s="39" t="n">
        <x:v>1960</x:v>
      </x:c>
      <x:c r="B169" s="39" t="str">
        <x:v>Iztacalco</x:v>
      </x:c>
      <x:c r="C169" s="56" t="n">
        <x:v>198904</x:v>
      </x:c>
      <x:c r="D169" s="56" t="n">
        <x:f>MIN(SUMIFS('Park Catalog'!$E:$E,'Park Catalog'!$A:$A,$B169,'Park Catalog'!$G:$G,"&lt;="&amp;$A169,'Park Catalog'!$H:$H,TRUE),$F169)</x:f>
        <x:v>0</x:v>
      </x:c>
      <x:c r="E169" s="57" t="n">
        <x:f>IFERROR($D169/$C169,"")</x:f>
        <x:v>0</x:v>
      </x:c>
      <x:c r="F169" s="58" t="n">
        <x:v>1944289</x:v>
      </x:c>
      <x:c r="G169" s="58" t="n">
        <x:f>IFERROR($F169/$C169,"")</x:f>
        <x:v>9.77501206612235</x:v>
      </x:c>
      <x:c r="H169" s="59" t="n">
        <x:f>IFERROR($D169/$F169,"")</x:f>
        <x:v>0</x:v>
      </x:c>
      <x:c r="I169" s="39" t="str">
        <x:v>Historical reconstruction from dated major parks; compare with current SEDEMA total.</x:v>
      </x:c>
    </x:row>
    <x:row r="170">
      <x:c r="A170" s="39" t="n">
        <x:v>1960</x:v>
      </x:c>
      <x:c r="B170" s="39" t="str">
        <x:v>Iztapalapa</x:v>
      </x:c>
      <x:c r="C170" s="56" t="n">
        <x:v>254355</x:v>
      </x:c>
      <x:c r="D170" s="56" t="n">
        <x:f>MIN(SUMIFS('Park Catalog'!$E:$E,'Park Catalog'!$A:$A,$B170,'Park Catalog'!$G:$G,"&lt;="&amp;$A170,'Park Catalog'!$H:$H,TRUE),$F170)</x:f>
        <x:v>0</x:v>
      </x:c>
      <x:c r="E170" s="57" t="n">
        <x:f>IFERROR($D170/$C170,"")</x:f>
        <x:v>0</x:v>
      </x:c>
      <x:c r="F170" s="58" t="n">
        <x:v>9834858.6</x:v>
      </x:c>
      <x:c r="G170" s="58" t="n">
        <x:f>IFERROR($F170/$C170,"")</x:f>
        <x:v>38.66587485993985</x:v>
      </x:c>
      <x:c r="H170" s="59" t="n">
        <x:f>IFERROR($D170/$F170,"")</x:f>
        <x:v>0</x:v>
      </x:c>
      <x:c r="I170" s="39" t="str">
        <x:v>Historical reconstruction from dated major parks; compare with current SEDEMA total.</x:v>
      </x:c>
    </x:row>
    <x:row r="171">
      <x:c r="A171" s="39" t="n">
        <x:v>1960</x:v>
      </x:c>
      <x:c r="B171" s="39" t="str">
        <x:v>La Magdalena Contreras</x:v>
      </x:c>
      <x:c r="C171" s="56" t="n">
        <x:v>40724</x:v>
      </x:c>
      <x:c r="D171" s="56" t="n">
        <x:f>MIN(SUMIFS('Park Catalog'!$E:$E,'Park Catalog'!$A:$A,$B171,'Park Catalog'!$G:$G,"&lt;="&amp;$A171,'Park Catalog'!$H:$H,TRUE),$F171)</x:f>
        <x:v>0</x:v>
      </x:c>
      <x:c r="E171" s="57" t="n">
        <x:f>IFERROR($D171/$C171,"")</x:f>
        <x:v>0</x:v>
      </x:c>
      <x:c r="F171" s="58" t="n">
        <x:v>1335114.4</x:v>
      </x:c>
      <x:c r="G171" s="58" t="n">
        <x:f>IFERROR($F171/$C171,"")</x:f>
        <x:v>32.78446125135055</x:v>
      </x:c>
      <x:c r="H171" s="59" t="n">
        <x:f>IFERROR($D171/$F171,"")</x:f>
        <x:v>0</x:v>
      </x:c>
      <x:c r="I171" s="39" t="str">
        <x:v>Historical reconstruction from dated major parks; compare with current SEDEMA total.</x:v>
      </x:c>
    </x:row>
    <x:row r="172">
      <x:c r="A172" s="39" t="n">
        <x:v>1960</x:v>
      </x:c>
      <x:c r="B172" s="39" t="str">
        <x:v>Miguel Hidalgo</x:v>
      </x:c>
      <x:c r="C172" s="56" t="n">
        <x:v>592499</x:v>
      </x:c>
      <x:c r="D172" s="56" t="n">
        <x:f>MIN(SUMIFS('Park Catalog'!$E:$E,'Park Catalog'!$A:$A,$B172,'Park Catalog'!$G:$G,"&lt;="&amp;$A172,'Park Catalog'!$H:$H,TRUE),$F172)</x:f>
        <x:v>0</x:v>
      </x:c>
      <x:c r="E172" s="57" t="n">
        <x:f>IFERROR($D172/$C172,"")</x:f>
        <x:v>0</x:v>
      </x:c>
      <x:c r="F172" s="58" t="n">
        <x:v>5607701.5</x:v>
      </x:c>
      <x:c r="G172" s="58" t="n">
        <x:f>IFERROR($F172/$C172,"")</x:f>
        <x:v>9.46449107930984</x:v>
      </x:c>
      <x:c r="H172" s="59" t="n">
        <x:f>IFERROR($D172/$F172,"")</x:f>
        <x:v>0</x:v>
      </x:c>
      <x:c r="I172" s="39" t="str">
        <x:v>Historical reconstruction from dated major parks; compare with current SEDEMA total.</x:v>
      </x:c>
    </x:row>
    <x:row r="173">
      <x:c r="A173" s="39" t="n">
        <x:v>1960</x:v>
      </x:c>
      <x:c r="B173" s="39" t="str">
        <x:v>Milpa Alta</x:v>
      </x:c>
      <x:c r="C173" s="56" t="n">
        <x:v>24379</x:v>
      </x:c>
      <x:c r="D173" s="56" t="n">
        <x:f>MIN(SUMIFS('Park Catalog'!$E:$E,'Park Catalog'!$A:$A,$B173,'Park Catalog'!$G:$G,"&lt;="&amp;$A173,'Park Catalog'!$H:$H,TRUE),$F173)</x:f>
        <x:v>0</x:v>
      </x:c>
      <x:c r="E173" s="57" t="n">
        <x:f>IFERROR($D173/$C173,"")</x:f>
        <x:v>0</x:v>
      </x:c>
      <x:c r="F173" s="58" t="n">
        <x:v>309724</x:v>
      </x:c>
      <x:c r="G173" s="58" t="n">
        <x:f>IFERROR($F173/$C173,"")</x:f>
        <x:v>12.704540793305714</x:v>
      </x:c>
      <x:c r="H173" s="59" t="n">
        <x:f>IFERROR($D173/$F173,"")</x:f>
        <x:v>0</x:v>
      </x:c>
      <x:c r="I173" s="39" t="str">
        <x:v>Historical reconstruction from dated major parks; compare with current SEDEMA total.</x:v>
      </x:c>
    </x:row>
    <x:row r="174">
      <x:c r="A174" s="39" t="n">
        <x:v>1960</x:v>
      </x:c>
      <x:c r="B174" s="39" t="str">
        <x:v>Tláhuac</x:v>
      </x:c>
      <x:c r="C174" s="56" t="n">
        <x:v>29880</x:v>
      </x:c>
      <x:c r="D174" s="56" t="n">
        <x:f>MIN(SUMIFS('Park Catalog'!$E:$E,'Park Catalog'!$A:$A,$B174,'Park Catalog'!$G:$G,"&lt;="&amp;$A174,'Park Catalog'!$H:$H,TRUE),$F174)</x:f>
        <x:v>0</x:v>
      </x:c>
      <x:c r="E174" s="57" t="n">
        <x:f>IFERROR($D174/$C174,"")</x:f>
        <x:v>0</x:v>
      </x:c>
      <x:c r="F174" s="58" t="n">
        <x:v>3054084.7</x:v>
      </x:c>
      <x:c r="G174" s="58" t="n">
        <x:f>IFERROR($F174/$C174,"")</x:f>
        <x:v>102.2116700133869</x:v>
      </x:c>
      <x:c r="H174" s="59" t="n">
        <x:f>IFERROR($D174/$F174,"")</x:f>
        <x:v>0</x:v>
      </x:c>
      <x:c r="I174" s="39" t="str">
        <x:v>Historical reconstruction from dated major parks; compare with current SEDEMA total.</x:v>
      </x:c>
    </x:row>
    <x:row r="175">
      <x:c r="A175" s="39" t="n">
        <x:v>1960</x:v>
      </x:c>
      <x:c r="B175" s="39" t="str">
        <x:v>Tlalpan</x:v>
      </x:c>
      <x:c r="C175" s="56" t="n">
        <x:v>61195</x:v>
      </x:c>
      <x:c r="D175" s="56" t="n">
        <x:f>MIN(SUMIFS('Park Catalog'!$E:$E,'Park Catalog'!$A:$A,$B175,'Park Catalog'!$G:$G,"&lt;="&amp;$A175,'Park Catalog'!$H:$H,TRUE),$F175)</x:f>
        <x:v>0</x:v>
      </x:c>
      <x:c r="E175" s="57" t="n">
        <x:f>IFERROR($D175/$C175,"")</x:f>
        <x:v>0</x:v>
      </x:c>
      <x:c r="F175" s="58" t="n">
        <x:v>6530744.7</x:v>
      </x:c>
      <x:c r="G175" s="58" t="n">
        <x:f>IFERROR($F175/$C175,"")</x:f>
        <x:v>106.72023367922216</x:v>
      </x:c>
      <x:c r="H175" s="59" t="n">
        <x:f>IFERROR($D175/$F175,"")</x:f>
        <x:v>0</x:v>
      </x:c>
      <x:c r="I175" s="39" t="str">
        <x:v>Historical reconstruction from dated major parks; compare with current SEDEMA total.</x:v>
      </x:c>
    </x:row>
    <x:row r="176">
      <x:c r="A176" s="39" t="n">
        <x:v>1960</x:v>
      </x:c>
      <x:c r="B176" s="39" t="str">
        <x:v>Venustiano Carranza</x:v>
      </x:c>
      <x:c r="C176" s="56" t="n">
        <x:v>755974</x:v>
      </x:c>
      <x:c r="D176" s="56" t="n">
        <x:f>MIN(SUMIFS('Park Catalog'!$E:$E,'Park Catalog'!$A:$A,$B176,'Park Catalog'!$G:$G,"&lt;="&amp;$A176,'Park Catalog'!$H:$H,TRUE),$F176)</x:f>
        <x:v>0</x:v>
      </x:c>
      <x:c r="E176" s="57" t="n">
        <x:f>IFERROR($D176/$C176,"")</x:f>
        <x:v>0</x:v>
      </x:c>
      <x:c r="F176" s="58" t="n">
        <x:v>5805150.1</x:v>
      </x:c>
      <x:c r="G176" s="58" t="n">
        <x:f>IFERROR($F176/$C176,"")</x:f>
        <x:v>7.679034067309193</x:v>
      </x:c>
      <x:c r="H176" s="59" t="n">
        <x:f>IFERROR($D176/$F176,"")</x:f>
        <x:v>0</x:v>
      </x:c>
      <x:c r="I176" s="39" t="str">
        <x:v>Historical reconstruction from dated major parks; compare with current SEDEMA total.</x:v>
      </x:c>
    </x:row>
    <x:row r="177">
      <x:c r="A177" s="39" t="n">
        <x:v>1960</x:v>
      </x:c>
      <x:c r="B177" s="39" t="str">
        <x:v>Xochimilco</x:v>
      </x:c>
      <x:c r="C177" s="56" t="n">
        <x:v>70381</x:v>
      </x:c>
      <x:c r="D177" s="56" t="n">
        <x:f>MIN(SUMIFS('Park Catalog'!$E:$E,'Park Catalog'!$A:$A,$B177,'Park Catalog'!$G:$G,"&lt;="&amp;$A177,'Park Catalog'!$H:$H,TRUE),$F177)</x:f>
        <x:v>0</x:v>
      </x:c>
      <x:c r="E177" s="57" t="n">
        <x:f>IFERROR($D177/$C177,"")</x:f>
        <x:v>0</x:v>
      </x:c>
      <x:c r="F177" s="58" t="n">
        <x:v>2092259.6</x:v>
      </x:c>
      <x:c r="G177" s="58" t="n">
        <x:f>IFERROR($F177/$C177,"")</x:f>
        <x:v>29.727619670081417</x:v>
      </x:c>
      <x:c r="H177" s="59" t="n">
        <x:f>IFERROR($D177/$F177,"")</x:f>
        <x:v>0</x:v>
      </x:c>
      <x:c r="I177" s="39" t="str">
        <x:v>Historical reconstruction from dated major parks; compare with current SEDEMA total.</x:v>
      </x:c>
    </x:row>
    <x:row r="178">
      <x:c r="A178" s="39" t="n">
        <x:v>1970</x:v>
      </x:c>
      <x:c r="B178" s="39" t="str">
        <x:v>Álvaro Obregón</x:v>
      </x:c>
      <x:c r="C178" s="56" t="n">
        <x:v>456709</x:v>
      </x:c>
      <x:c r="D178" s="56" t="n">
        <x:f>MIN(SUMIFS('Park Catalog'!$E:$E,'Park Catalog'!$A:$A,$B178,'Park Catalog'!$G:$G,"&lt;="&amp;$A178,'Park Catalog'!$H:$H,TRUE),$F178)</x:f>
        <x:v>0</x:v>
      </x:c>
      <x:c r="E178" s="57" t="n">
        <x:f>IFERROR($D178/$C178,"")</x:f>
        <x:v>0</x:v>
      </x:c>
      <x:c r="F178" s="58" t="n">
        <x:v>4913463.7</x:v>
      </x:c>
      <x:c r="G178" s="58" t="n">
        <x:f>IFERROR($F178/$C178,"")</x:f>
        <x:v>10.758412249375423</x:v>
      </x:c>
      <x:c r="H178" s="59" t="n">
        <x:f>IFERROR($D178/$F178,"")</x:f>
        <x:v>0</x:v>
      </x:c>
      <x:c r="I178" s="39" t="str">
        <x:v>Historical reconstruction from dated major parks; compare with current SEDEMA total.</x:v>
      </x:c>
    </x:row>
    <x:row r="179">
      <x:c r="A179" s="39" t="n">
        <x:v>1970</x:v>
      </x:c>
      <x:c r="B179" s="39" t="str">
        <x:v>Azcapotzalco</x:v>
      </x:c>
      <x:c r="C179" s="56" t="n">
        <x:v>534554</x:v>
      </x:c>
      <x:c r="D179" s="56" t="n">
        <x:f>MIN(SUMIFS('Park Catalog'!$E:$E,'Park Catalog'!$A:$A,$B179,'Park Catalog'!$G:$G,"&lt;="&amp;$A179,'Park Catalog'!$H:$H,TRUE),$F179)</x:f>
        <x:v>0</x:v>
      </x:c>
      <x:c r="E179" s="57" t="n">
        <x:f>IFERROR($D179/$C179,"")</x:f>
        <x:v>0</x:v>
      </x:c>
      <x:c r="F179" s="58" t="n">
        <x:v>3980866.7</x:v>
      </x:c>
      <x:c r="G179" s="58" t="n">
        <x:f>IFERROR($F179/$C179,"")</x:f>
        <x:v>7.447080556875451</x:v>
      </x:c>
      <x:c r="H179" s="59" t="n">
        <x:f>IFERROR($D179/$F179,"")</x:f>
        <x:v>0</x:v>
      </x:c>
      <x:c r="I179" s="39" t="str">
        <x:v>Historical reconstruction from dated major parks; compare with current SEDEMA total.</x:v>
      </x:c>
    </x:row>
    <x:row r="180">
      <x:c r="A180" s="39" t="n">
        <x:v>1970</x:v>
      </x:c>
      <x:c r="B180" s="39" t="str">
        <x:v>Benito Juárez</x:v>
      </x:c>
      <x:c r="C180" s="56" t="n">
        <x:v>609354</x:v>
      </x:c>
      <x:c r="D180" s="56" t="n">
        <x:f>MIN(SUMIFS('Park Catalog'!$E:$E,'Park Catalog'!$A:$A,$B180,'Park Catalog'!$G:$G,"&lt;="&amp;$A180,'Park Catalog'!$H:$H,TRUE),$F180)</x:f>
        <x:v>0</x:v>
      </x:c>
      <x:c r="E180" s="57" t="n">
        <x:f>IFERROR($D180/$C180,"")</x:f>
        <x:v>0</x:v>
      </x:c>
      <x:c r="F180" s="58" t="n">
        <x:v>929230.8</x:v>
      </x:c>
      <x:c r="G180" s="58" t="n">
        <x:f>IFERROR($F180/$C180,"")</x:f>
        <x:v>1.524944121151252</x:v>
      </x:c>
      <x:c r="H180" s="59" t="n">
        <x:f>IFERROR($D180/$F180,"")</x:f>
        <x:v>0</x:v>
      </x:c>
      <x:c r="I180" s="39" t="str">
        <x:v>Historical reconstruction from dated major parks; compare with current SEDEMA total.</x:v>
      </x:c>
    </x:row>
    <x:row r="181">
      <x:c r="A181" s="39" t="n">
        <x:v>1970</x:v>
      </x:c>
      <x:c r="B181" s="39" t="str">
        <x:v>Coyoacán</x:v>
      </x:c>
      <x:c r="C181" s="56" t="n">
        <x:v>339446</x:v>
      </x:c>
      <x:c r="D181" s="56" t="n">
        <x:f>MIN(SUMIFS('Park Catalog'!$E:$E,'Park Catalog'!$A:$A,$B181,'Park Catalog'!$G:$G,"&lt;="&amp;$A181,'Park Catalog'!$H:$H,TRUE),$F181)</x:f>
        <x:v>0</x:v>
      </x:c>
      <x:c r="E181" s="57" t="n">
        <x:f>IFERROR($D181/$C181,"")</x:f>
        <x:v>0</x:v>
      </x:c>
      <x:c r="F181" s="58" t="n">
        <x:v>9157547.7</x:v>
      </x:c>
      <x:c r="G181" s="58" t="n">
        <x:f>IFERROR($F181/$C181,"")</x:f>
        <x:v>26.977921966969706</x:v>
      </x:c>
      <x:c r="H181" s="59" t="n">
        <x:f>IFERROR($D181/$F181,"")</x:f>
        <x:v>0</x:v>
      </x:c>
      <x:c r="I181" s="39" t="str">
        <x:v>Historical reconstruction from dated major parks; compare with current SEDEMA total.</x:v>
      </x:c>
    </x:row>
    <x:row r="182">
      <x:c r="A182" s="39" t="n">
        <x:v>1970</x:v>
      </x:c>
      <x:c r="B182" s="39" t="str">
        <x:v>Cuajimalpa de Morelos</x:v>
      </x:c>
      <x:c r="C182" s="56" t="n">
        <x:v>36200</x:v>
      </x:c>
      <x:c r="D182" s="56" t="n">
        <x:f>MIN(SUMIFS('Park Catalog'!$E:$E,'Park Catalog'!$A:$A,$B182,'Park Catalog'!$G:$G,"&lt;="&amp;$A182,'Park Catalog'!$H:$H,TRUE),$F182)</x:f>
        <x:v>0</x:v>
      </x:c>
      <x:c r="E182" s="57" t="n">
        <x:f>IFERROR($D182/$C182,"")</x:f>
        <x:v>0</x:v>
      </x:c>
      <x:c r="F182" s="58" t="n">
        <x:v>2048957.7</x:v>
      </x:c>
      <x:c r="G182" s="58" t="n">
        <x:f>IFERROR($F182/$C182,"")</x:f>
        <x:v>56.60104143646409</x:v>
      </x:c>
      <x:c r="H182" s="59" t="n">
        <x:f>IFERROR($D182/$F182,"")</x:f>
        <x:v>0</x:v>
      </x:c>
      <x:c r="I182" s="39" t="str">
        <x:v>Historical reconstruction from dated major parks; compare with current SEDEMA total.</x:v>
      </x:c>
    </x:row>
    <x:row r="183">
      <x:c r="A183" s="39" t="n">
        <x:v>1970</x:v>
      </x:c>
      <x:c r="B183" s="39" t="str">
        <x:v>Cuauhtémoc</x:v>
      </x:c>
      <x:c r="C183" s="56" t="n">
        <x:v>911414</x:v>
      </x:c>
      <x:c r="D183" s="56" t="n">
        <x:f>MIN(SUMIFS('Park Catalog'!$E:$E,'Park Catalog'!$A:$A,$B183,'Park Catalog'!$G:$G,"&lt;="&amp;$A183,'Park Catalog'!$H:$H,TRUE),$F183)</x:f>
        <x:v>0</x:v>
      </x:c>
      <x:c r="E183" s="57" t="n">
        <x:f>IFERROR($D183/$C183,"")</x:f>
        <x:v>0</x:v>
      </x:c>
      <x:c r="F183" s="58" t="n">
        <x:v>1915961</x:v>
      </x:c>
      <x:c r="G183" s="58" t="n">
        <x:f>IFERROR($F183/$C183,"")</x:f>
        <x:v>2.1021851760012464</x:v>
      </x:c>
      <x:c r="H183" s="59" t="n">
        <x:f>IFERROR($D183/$F183,"")</x:f>
        <x:v>0</x:v>
      </x:c>
      <x:c r="I183" s="39" t="str">
        <x:v>Historical reconstruction from dated major parks; compare with current SEDEMA total.</x:v>
      </x:c>
    </x:row>
    <x:row r="184">
      <x:c r="A184" s="39" t="n">
        <x:v>1970</x:v>
      </x:c>
      <x:c r="B184" s="39" t="str">
        <x:v>Gustavo A. Madero</x:v>
      </x:c>
      <x:c r="C184" s="56" t="n">
        <x:v>1186107</x:v>
      </x:c>
      <x:c r="D184" s="56" t="n">
        <x:f>MIN(SUMIFS('Park Catalog'!$E:$E,'Park Catalog'!$A:$A,$B184,'Park Catalog'!$G:$G,"&lt;="&amp;$A184,'Park Catalog'!$H:$H,TRUE),$F184)</x:f>
        <x:v>0</x:v>
      </x:c>
      <x:c r="E184" s="57" t="n">
        <x:f>IFERROR($D184/$C184,"")</x:f>
        <x:v>0</x:v>
      </x:c>
      <x:c r="F184" s="58" t="n">
        <x:v>7851619.6</x:v>
      </x:c>
      <x:c r="G184" s="58" t="n">
        <x:f>IFERROR($F184/$C184,"")</x:f>
        <x:v>6.619655393653355</x:v>
      </x:c>
      <x:c r="H184" s="59" t="n">
        <x:f>IFERROR($D184/$F184,"")</x:f>
        <x:v>0</x:v>
      </x:c>
      <x:c r="I184" s="39" t="str">
        <x:v>Historical reconstruction from dated major parks; compare with current SEDEMA total.</x:v>
      </x:c>
    </x:row>
    <x:row r="185">
      <x:c r="A185" s="39" t="n">
        <x:v>1970</x:v>
      </x:c>
      <x:c r="B185" s="39" t="str">
        <x:v>Iztacalco</x:v>
      </x:c>
      <x:c r="C185" s="56" t="n">
        <x:v>477331</x:v>
      </x:c>
      <x:c r="D185" s="56" t="n">
        <x:f>MIN(SUMIFS('Park Catalog'!$E:$E,'Park Catalog'!$A:$A,$B185,'Park Catalog'!$G:$G,"&lt;="&amp;$A185,'Park Catalog'!$H:$H,TRUE),$F185)</x:f>
        <x:v>0</x:v>
      </x:c>
      <x:c r="E185" s="57" t="n">
        <x:f>IFERROR($D185/$C185,"")</x:f>
        <x:v>0</x:v>
      </x:c>
      <x:c r="F185" s="58" t="n">
        <x:v>1944289</x:v>
      </x:c>
      <x:c r="G185" s="58" t="n">
        <x:f>IFERROR($F185/$C185,"")</x:f>
        <x:v>4.073251056394828</x:v>
      </x:c>
      <x:c r="H185" s="59" t="n">
        <x:f>IFERROR($D185/$F185,"")</x:f>
        <x:v>0</x:v>
      </x:c>
      <x:c r="I185" s="39" t="str">
        <x:v>Historical reconstruction from dated major parks; compare with current SEDEMA total.</x:v>
      </x:c>
    </x:row>
    <x:row r="186">
      <x:c r="A186" s="39" t="n">
        <x:v>1970</x:v>
      </x:c>
      <x:c r="B186" s="39" t="str">
        <x:v>Iztapalapa</x:v>
      </x:c>
      <x:c r="C186" s="56" t="n">
        <x:v>522095</x:v>
      </x:c>
      <x:c r="D186" s="56" t="n">
        <x:f>MIN(SUMIFS('Park Catalog'!$E:$E,'Park Catalog'!$A:$A,$B186,'Park Catalog'!$G:$G,"&lt;="&amp;$A186,'Park Catalog'!$H:$H,TRUE),$F186)</x:f>
        <x:v>0</x:v>
      </x:c>
      <x:c r="E186" s="57" t="n">
        <x:f>IFERROR($D186/$C186,"")</x:f>
        <x:v>0</x:v>
      </x:c>
      <x:c r="F186" s="58" t="n">
        <x:v>9834858.6</x:v>
      </x:c>
      <x:c r="G186" s="58" t="n">
        <x:f>IFERROR($F186/$C186,"")</x:f>
        <x:v>18.83729704364148</x:v>
      </x:c>
      <x:c r="H186" s="59" t="n">
        <x:f>IFERROR($D186/$F186,"")</x:f>
        <x:v>0</x:v>
      </x:c>
      <x:c r="I186" s="39" t="str">
        <x:v>Historical reconstruction from dated major parks; compare with current SEDEMA total.</x:v>
      </x:c>
    </x:row>
    <x:row r="187">
      <x:c r="A187" s="39" t="n">
        <x:v>1970</x:v>
      </x:c>
      <x:c r="B187" s="39" t="str">
        <x:v>La Magdalena Contreras</x:v>
      </x:c>
      <x:c r="C187" s="56" t="n">
        <x:v>75429</x:v>
      </x:c>
      <x:c r="D187" s="56" t="n">
        <x:f>MIN(SUMIFS('Park Catalog'!$E:$E,'Park Catalog'!$A:$A,$B187,'Park Catalog'!$G:$G,"&lt;="&amp;$A187,'Park Catalog'!$H:$H,TRUE),$F187)</x:f>
        <x:v>0</x:v>
      </x:c>
      <x:c r="E187" s="57" t="n">
        <x:f>IFERROR($D187/$C187,"")</x:f>
        <x:v>0</x:v>
      </x:c>
      <x:c r="F187" s="58" t="n">
        <x:v>1335114.4</x:v>
      </x:c>
      <x:c r="G187" s="58" t="n">
        <x:f>IFERROR($F187/$C187,"")</x:f>
        <x:v>17.70027973325909</x:v>
      </x:c>
      <x:c r="H187" s="59" t="n">
        <x:f>IFERROR($D187/$F187,"")</x:f>
        <x:v>0</x:v>
      </x:c>
      <x:c r="I187" s="39" t="str">
        <x:v>Historical reconstruction from dated major parks; compare with current SEDEMA total.</x:v>
      </x:c>
    </x:row>
    <x:row r="188">
      <x:c r="A188" s="39" t="n">
        <x:v>1970</x:v>
      </x:c>
      <x:c r="B188" s="39" t="str">
        <x:v>Miguel Hidalgo</x:v>
      </x:c>
      <x:c r="C188" s="56" t="n">
        <x:v>607319</x:v>
      </x:c>
      <x:c r="D188" s="56" t="n">
        <x:f>MIN(SUMIFS('Park Catalog'!$E:$E,'Park Catalog'!$A:$A,$B188,'Park Catalog'!$G:$G,"&lt;="&amp;$A188,'Park Catalog'!$H:$H,TRUE),$F188)</x:f>
        <x:v>0</x:v>
      </x:c>
      <x:c r="E188" s="57" t="n">
        <x:f>IFERROR($D188/$C188,"")</x:f>
        <x:v>0</x:v>
      </x:c>
      <x:c r="F188" s="58" t="n">
        <x:v>5607701.5</x:v>
      </x:c>
      <x:c r="G188" s="58" t="n">
        <x:f>IFERROR($F188/$C188,"")</x:f>
        <x:v>9.233535423722953</x:v>
      </x:c>
      <x:c r="H188" s="59" t="n">
        <x:f>IFERROR($D188/$F188,"")</x:f>
        <x:v>0</x:v>
      </x:c>
      <x:c r="I188" s="39" t="str">
        <x:v>Historical reconstruction from dated major parks; compare with current SEDEMA total.</x:v>
      </x:c>
    </x:row>
    <x:row r="189">
      <x:c r="A189" s="39" t="n">
        <x:v>1970</x:v>
      </x:c>
      <x:c r="B189" s="39" t="str">
        <x:v>Milpa Alta</x:v>
      </x:c>
      <x:c r="C189" s="56" t="n">
        <x:v>33694</x:v>
      </x:c>
      <x:c r="D189" s="56" t="n">
        <x:f>MIN(SUMIFS('Park Catalog'!$E:$E,'Park Catalog'!$A:$A,$B189,'Park Catalog'!$G:$G,"&lt;="&amp;$A189,'Park Catalog'!$H:$H,TRUE),$F189)</x:f>
        <x:v>0</x:v>
      </x:c>
      <x:c r="E189" s="57" t="n">
        <x:f>IFERROR($D189/$C189,"")</x:f>
        <x:v>0</x:v>
      </x:c>
      <x:c r="F189" s="58" t="n">
        <x:v>309724</x:v>
      </x:c>
      <x:c r="G189" s="58" t="n">
        <x:f>IFERROR($F189/$C189,"")</x:f>
        <x:v>9.1922597495103</x:v>
      </x:c>
      <x:c r="H189" s="59" t="n">
        <x:f>IFERROR($D189/$F189,"")</x:f>
        <x:v>0</x:v>
      </x:c>
      <x:c r="I189" s="39" t="str">
        <x:v>Historical reconstruction from dated major parks; compare with current SEDEMA total.</x:v>
      </x:c>
    </x:row>
    <x:row r="190">
      <x:c r="A190" s="39" t="n">
        <x:v>1970</x:v>
      </x:c>
      <x:c r="B190" s="39" t="str">
        <x:v>Tláhuac</x:v>
      </x:c>
      <x:c r="C190" s="56" t="n">
        <x:v>62419</x:v>
      </x:c>
      <x:c r="D190" s="56" t="n">
        <x:f>MIN(SUMIFS('Park Catalog'!$E:$E,'Park Catalog'!$A:$A,$B190,'Park Catalog'!$G:$G,"&lt;="&amp;$A190,'Park Catalog'!$H:$H,TRUE),$F190)</x:f>
        <x:v>0</x:v>
      </x:c>
      <x:c r="E190" s="57" t="n">
        <x:f>IFERROR($D190/$C190,"")</x:f>
        <x:v>0</x:v>
      </x:c>
      <x:c r="F190" s="58" t="n">
        <x:v>3054084.7</x:v>
      </x:c>
      <x:c r="G190" s="58" t="n">
        <x:f>IFERROR($F190/$C190,"")</x:f>
        <x:v>48.92876688187892</x:v>
      </x:c>
      <x:c r="H190" s="59" t="n">
        <x:f>IFERROR($D190/$F190,"")</x:f>
        <x:v>0</x:v>
      </x:c>
      <x:c r="I190" s="39" t="str">
        <x:v>Historical reconstruction from dated major parks; compare with current SEDEMA total.</x:v>
      </x:c>
    </x:row>
    <x:row r="191">
      <x:c r="A191" s="39" t="n">
        <x:v>1970</x:v>
      </x:c>
      <x:c r="B191" s="39" t="str">
        <x:v>Tlalpan</x:v>
      </x:c>
      <x:c r="C191" s="56" t="n">
        <x:v>130719</x:v>
      </x:c>
      <x:c r="D191" s="56" t="n">
        <x:f>MIN(SUMIFS('Park Catalog'!$E:$E,'Park Catalog'!$A:$A,$B191,'Park Catalog'!$G:$G,"&lt;="&amp;$A191,'Park Catalog'!$H:$H,TRUE),$F191)</x:f>
        <x:v>0</x:v>
      </x:c>
      <x:c r="E191" s="57" t="n">
        <x:f>IFERROR($D191/$C191,"")</x:f>
        <x:v>0</x:v>
      </x:c>
      <x:c r="F191" s="58" t="n">
        <x:v>6530744.7</x:v>
      </x:c>
      <x:c r="G191" s="58" t="n">
        <x:f>IFERROR($F191/$C191,"")</x:f>
        <x:v>49.960179468937184</x:v>
      </x:c>
      <x:c r="H191" s="59" t="n">
        <x:f>IFERROR($D191/$F191,"")</x:f>
        <x:v>0</x:v>
      </x:c>
      <x:c r="I191" s="39" t="str">
        <x:v>Historical reconstruction from dated major parks; compare with current SEDEMA total.</x:v>
      </x:c>
    </x:row>
    <x:row r="192">
      <x:c r="A192" s="39" t="n">
        <x:v>1970</x:v>
      </x:c>
      <x:c r="B192" s="39" t="str">
        <x:v>Venustiano Carranza</x:v>
      </x:c>
      <x:c r="C192" s="56" t="n">
        <x:v>774882</x:v>
      </x:c>
      <x:c r="D192" s="56" t="n">
        <x:f>MIN(SUMIFS('Park Catalog'!$E:$E,'Park Catalog'!$A:$A,$B192,'Park Catalog'!$G:$G,"&lt;="&amp;$A192,'Park Catalog'!$H:$H,TRUE),$F192)</x:f>
        <x:v>0</x:v>
      </x:c>
      <x:c r="E192" s="57" t="n">
        <x:f>IFERROR($D192/$C192,"")</x:f>
        <x:v>0</x:v>
      </x:c>
      <x:c r="F192" s="58" t="n">
        <x:v>5805150.1</x:v>
      </x:c>
      <x:c r="G192" s="58" t="n">
        <x:f>IFERROR($F192/$C192,"")</x:f>
        <x:v>7.491656923247668</x:v>
      </x:c>
      <x:c r="H192" s="59" t="n">
        <x:f>IFERROR($D192/$F192,"")</x:f>
        <x:v>0</x:v>
      </x:c>
      <x:c r="I192" s="39" t="str">
        <x:v>Historical reconstruction from dated major parks; compare with current SEDEMA total.</x:v>
      </x:c>
    </x:row>
    <x:row r="193">
      <x:c r="A193" s="39" t="n">
        <x:v>1970</x:v>
      </x:c>
      <x:c r="B193" s="39" t="str">
        <x:v>Xochimilco</x:v>
      </x:c>
      <x:c r="C193" s="56" t="n">
        <x:v>116493</x:v>
      </x:c>
      <x:c r="D193" s="56" t="n">
        <x:f>MIN(SUMIFS('Park Catalog'!$E:$E,'Park Catalog'!$A:$A,$B193,'Park Catalog'!$G:$G,"&lt;="&amp;$A193,'Park Catalog'!$H:$H,TRUE),$F193)</x:f>
        <x:v>0</x:v>
      </x:c>
      <x:c r="E193" s="57" t="n">
        <x:f>IFERROR($D193/$C193,"")</x:f>
        <x:v>0</x:v>
      </x:c>
      <x:c r="F193" s="58" t="n">
        <x:v>2092259.6</x:v>
      </x:c>
      <x:c r="G193" s="58" t="n">
        <x:f>IFERROR($F193/$C193,"")</x:f>
        <x:v>17.960389036251104</x:v>
      </x:c>
      <x:c r="H193" s="59" t="n">
        <x:f>IFERROR($D193/$F193,"")</x:f>
        <x:v>0</x:v>
      </x:c>
      <x:c r="I193" s="39" t="str">
        <x:v>Historical reconstruction from dated major parks; compare with current SEDEMA total.</x:v>
      </x:c>
    </x:row>
    <x:row r="194">
      <x:c r="A194" s="39" t="n">
        <x:v>1980</x:v>
      </x:c>
      <x:c r="B194" s="39" t="str">
        <x:v>Álvaro Obregón</x:v>
      </x:c>
      <x:c r="C194" s="56" t="n">
        <x:v>639213</x:v>
      </x:c>
      <x:c r="D194" s="56" t="n">
        <x:f>MIN(SUMIFS('Park Catalog'!$E:$E,'Park Catalog'!$A:$A,$B194,'Park Catalog'!$G:$G,"&lt;="&amp;$A194,'Park Catalog'!$H:$H,TRUE),$F194)</x:f>
        <x:v>0</x:v>
      </x:c>
      <x:c r="E194" s="57" t="n">
        <x:f>IFERROR($D194/$C194,"")</x:f>
        <x:v>0</x:v>
      </x:c>
      <x:c r="F194" s="58" t="n">
        <x:v>4913463.7</x:v>
      </x:c>
      <x:c r="G194" s="58" t="n">
        <x:f>IFERROR($F194/$C194,"")</x:f>
        <x:v>7.686739318505725</x:v>
      </x:c>
      <x:c r="H194" s="59" t="n">
        <x:f>IFERROR($D194/$F194,"")</x:f>
        <x:v>0</x:v>
      </x:c>
      <x:c r="I194" s="39" t="str">
        <x:v>Historical reconstruction from dated major parks; compare with current SEDEMA total.</x:v>
      </x:c>
    </x:row>
    <x:row r="195">
      <x:c r="A195" s="39" t="n">
        <x:v>1980</x:v>
      </x:c>
      <x:c r="B195" s="39" t="str">
        <x:v>Azcapotzalco</x:v>
      </x:c>
      <x:c r="C195" s="56" t="n">
        <x:v>601524</x:v>
      </x:c>
      <x:c r="D195" s="56" t="n">
        <x:f>MIN(SUMIFS('Park Catalog'!$E:$E,'Park Catalog'!$A:$A,$B195,'Park Catalog'!$G:$G,"&lt;="&amp;$A195,'Park Catalog'!$H:$H,TRUE),$F195)</x:f>
        <x:v>0</x:v>
      </x:c>
      <x:c r="E195" s="57" t="n">
        <x:f>IFERROR($D195/$C195,"")</x:f>
        <x:v>0</x:v>
      </x:c>
      <x:c r="F195" s="58" t="n">
        <x:v>3980866.7</x:v>
      </x:c>
      <x:c r="G195" s="58" t="n">
        <x:f>IFERROR($F195/$C195,"")</x:f>
        <x:v>6.617968194120269</x:v>
      </x:c>
      <x:c r="H195" s="59" t="n">
        <x:f>IFERROR($D195/$F195,"")</x:f>
        <x:v>0</x:v>
      </x:c>
      <x:c r="I195" s="39" t="str">
        <x:v>Historical reconstruction from dated major parks; compare with current SEDEMA total.</x:v>
      </x:c>
    </x:row>
    <x:row r="196">
      <x:c r="A196" s="39" t="n">
        <x:v>1980</x:v>
      </x:c>
      <x:c r="B196" s="39" t="str">
        <x:v>Benito Juárez</x:v>
      </x:c>
      <x:c r="C196" s="56" t="n">
        <x:v>544882</x:v>
      </x:c>
      <x:c r="D196" s="56" t="n">
        <x:f>MIN(SUMIFS('Park Catalog'!$E:$E,'Park Catalog'!$A:$A,$B196,'Park Catalog'!$G:$G,"&lt;="&amp;$A196,'Park Catalog'!$H:$H,TRUE),$F196)</x:f>
        <x:v>0</x:v>
      </x:c>
      <x:c r="E196" s="57" t="n">
        <x:f>IFERROR($D196/$C196,"")</x:f>
        <x:v>0</x:v>
      </x:c>
      <x:c r="F196" s="58" t="n">
        <x:v>929230.8</x:v>
      </x:c>
      <x:c r="G196" s="58" t="n">
        <x:f>IFERROR($F196/$C196,"")</x:f>
        <x:v>1.705379880414475</x:v>
      </x:c>
      <x:c r="H196" s="59" t="n">
        <x:f>IFERROR($D196/$F196,"")</x:f>
        <x:v>0</x:v>
      </x:c>
      <x:c r="I196" s="39" t="str">
        <x:v>Historical reconstruction from dated major parks; compare with current SEDEMA total.</x:v>
      </x:c>
    </x:row>
    <x:row r="197">
      <x:c r="A197" s="39" t="n">
        <x:v>1980</x:v>
      </x:c>
      <x:c r="B197" s="39" t="str">
        <x:v>Coyoacán</x:v>
      </x:c>
      <x:c r="C197" s="56" t="n">
        <x:v>597129</x:v>
      </x:c>
      <x:c r="D197" s="56" t="n">
        <x:f>MIN(SUMIFS('Park Catalog'!$E:$E,'Park Catalog'!$A:$A,$B197,'Park Catalog'!$G:$G,"&lt;="&amp;$A197,'Park Catalog'!$H:$H,TRUE),$F197)</x:f>
        <x:v>0</x:v>
      </x:c>
      <x:c r="E197" s="57" t="n">
        <x:f>IFERROR($D197/$C197,"")</x:f>
        <x:v>0</x:v>
      </x:c>
      <x:c r="F197" s="58" t="n">
        <x:v>9157547.7</x:v>
      </x:c>
      <x:c r="G197" s="58" t="n">
        <x:f>IFERROR($F197/$C197,"")</x:f>
        <x:v>15.33596207854584</x:v>
      </x:c>
      <x:c r="H197" s="59" t="n">
        <x:f>IFERROR($D197/$F197,"")</x:f>
        <x:v>0</x:v>
      </x:c>
      <x:c r="I197" s="39" t="str">
        <x:v>Historical reconstruction from dated major parks; compare with current SEDEMA total.</x:v>
      </x:c>
    </x:row>
    <x:row r="198">
      <x:c r="A198" s="39" t="n">
        <x:v>1980</x:v>
      </x:c>
      <x:c r="B198" s="39" t="str">
        <x:v>Cuajimalpa de Morelos</x:v>
      </x:c>
      <x:c r="C198" s="56" t="n">
        <x:v>91200</x:v>
      </x:c>
      <x:c r="D198" s="56" t="n">
        <x:f>MIN(SUMIFS('Park Catalog'!$E:$E,'Park Catalog'!$A:$A,$B198,'Park Catalog'!$G:$G,"&lt;="&amp;$A198,'Park Catalog'!$H:$H,TRUE),$F198)</x:f>
        <x:v>0</x:v>
      </x:c>
      <x:c r="E198" s="57" t="n">
        <x:f>IFERROR($D198/$C198,"")</x:f>
        <x:v>0</x:v>
      </x:c>
      <x:c r="F198" s="58" t="n">
        <x:v>2048957.7</x:v>
      </x:c>
      <x:c r="G198" s="58" t="n">
        <x:f>IFERROR($F198/$C198,"")</x:f>
        <x:v>22.46664144736842</x:v>
      </x:c>
      <x:c r="H198" s="59" t="n">
        <x:f>IFERROR($D198/$F198,"")</x:f>
        <x:v>0</x:v>
      </x:c>
      <x:c r="I198" s="39" t="str">
        <x:v>Historical reconstruction from dated major parks; compare with current SEDEMA total.</x:v>
      </x:c>
    </x:row>
    <x:row r="199">
      <x:c r="A199" s="39" t="n">
        <x:v>1980</x:v>
      </x:c>
      <x:c r="B199" s="39" t="str">
        <x:v>Cuauhtémoc</x:v>
      </x:c>
      <x:c r="C199" s="56" t="n">
        <x:v>814983</x:v>
      </x:c>
      <x:c r="D199" s="56" t="n">
        <x:f>MIN(SUMIFS('Park Catalog'!$E:$E,'Park Catalog'!$A:$A,$B199,'Park Catalog'!$G:$G,"&lt;="&amp;$A199,'Park Catalog'!$H:$H,TRUE),$F199)</x:f>
        <x:v>0</x:v>
      </x:c>
      <x:c r="E199" s="57" t="n">
        <x:f>IFERROR($D199/$C199,"")</x:f>
        <x:v>0</x:v>
      </x:c>
      <x:c r="F199" s="58" t="n">
        <x:v>1915961</x:v>
      </x:c>
      <x:c r="G199" s="58" t="n">
        <x:f>IFERROR($F199/$C199,"")</x:f>
        <x:v>2.3509214302629626</x:v>
      </x:c>
      <x:c r="H199" s="59" t="n">
        <x:f>IFERROR($D199/$F199,"")</x:f>
        <x:v>0</x:v>
      </x:c>
      <x:c r="I199" s="39" t="str">
        <x:v>Historical reconstruction from dated major parks; compare with current SEDEMA total.</x:v>
      </x:c>
    </x:row>
    <x:row r="200">
      <x:c r="A200" s="39" t="n">
        <x:v>1980</x:v>
      </x:c>
      <x:c r="B200" s="39" t="str">
        <x:v>Gustavo A. Madero</x:v>
      </x:c>
      <x:c r="C200" s="56" t="n">
        <x:v>1513360</x:v>
      </x:c>
      <x:c r="D200" s="56" t="n">
        <x:f>MIN(SUMIFS('Park Catalog'!$E:$E,'Park Catalog'!$A:$A,$B200,'Park Catalog'!$G:$G,"&lt;="&amp;$A200,'Park Catalog'!$H:$H,TRUE),$F200)</x:f>
        <x:v>0</x:v>
      </x:c>
      <x:c r="E200" s="57" t="n">
        <x:f>IFERROR($D200/$C200,"")</x:f>
        <x:v>0</x:v>
      </x:c>
      <x:c r="F200" s="58" t="n">
        <x:v>7851619.6</x:v>
      </x:c>
      <x:c r="G200" s="58" t="n">
        <x:f>IFERROR($F200/$C200,"")</x:f>
        <x:v>5.188203467780303</x:v>
      </x:c>
      <x:c r="H200" s="59" t="n">
        <x:f>IFERROR($D200/$F200,"")</x:f>
        <x:v>0</x:v>
      </x:c>
      <x:c r="I200" s="39" t="str">
        <x:v>Historical reconstruction from dated major parks; compare with current SEDEMA total.</x:v>
      </x:c>
    </x:row>
    <x:row r="201">
      <x:c r="A201" s="39" t="n">
        <x:v>1980</x:v>
      </x:c>
      <x:c r="B201" s="39" t="str">
        <x:v>Iztacalco</x:v>
      </x:c>
      <x:c r="C201" s="56" t="n">
        <x:v>570377</x:v>
      </x:c>
      <x:c r="D201" s="56" t="n">
        <x:f>MIN(SUMIFS('Park Catalog'!$E:$E,'Park Catalog'!$A:$A,$B201,'Park Catalog'!$G:$G,"&lt;="&amp;$A201,'Park Catalog'!$H:$H,TRUE),$F201)</x:f>
        <x:v>0</x:v>
      </x:c>
      <x:c r="E201" s="57" t="n">
        <x:f>IFERROR($D201/$C201,"")</x:f>
        <x:v>0</x:v>
      </x:c>
      <x:c r="F201" s="58" t="n">
        <x:v>1944289</x:v>
      </x:c>
      <x:c r="G201" s="58" t="n">
        <x:f>IFERROR($F201/$C201,"")</x:f>
        <x:v>3.4087787551040805</x:v>
      </x:c>
      <x:c r="H201" s="59" t="n">
        <x:f>IFERROR($D201/$F201,"")</x:f>
        <x:v>0</x:v>
      </x:c>
      <x:c r="I201" s="39" t="str">
        <x:v>Historical reconstruction from dated major parks; compare with current SEDEMA total.</x:v>
      </x:c>
    </x:row>
    <x:row r="202">
      <x:c r="A202" s="39" t="n">
        <x:v>1980</x:v>
      </x:c>
      <x:c r="B202" s="39" t="str">
        <x:v>Iztapalapa</x:v>
      </x:c>
      <x:c r="C202" s="56" t="n">
        <x:v>1262354</x:v>
      </x:c>
      <x:c r="D202" s="56" t="n">
        <x:f>MIN(SUMIFS('Park Catalog'!$E:$E,'Park Catalog'!$A:$A,$B202,'Park Catalog'!$G:$G,"&lt;="&amp;$A202,'Park Catalog'!$H:$H,TRUE),$F202)</x:f>
        <x:v>0</x:v>
      </x:c>
      <x:c r="E202" s="57" t="n">
        <x:f>IFERROR($D202/$C202,"")</x:f>
        <x:v>0</x:v>
      </x:c>
      <x:c r="F202" s="58" t="n">
        <x:v>9834858.6</x:v>
      </x:c>
      <x:c r="G202" s="58" t="n">
        <x:f>IFERROR($F202/$C202,"")</x:f>
        <x:v>7.790887975956031</x:v>
      </x:c>
      <x:c r="H202" s="59" t="n">
        <x:f>IFERROR($D202/$F202,"")</x:f>
        <x:v>0</x:v>
      </x:c>
      <x:c r="I202" s="39" t="str">
        <x:v>Historical reconstruction from dated major parks; compare with current SEDEMA total.</x:v>
      </x:c>
    </x:row>
    <x:row r="203">
      <x:c r="A203" s="39" t="n">
        <x:v>1980</x:v>
      </x:c>
      <x:c r="B203" s="39" t="str">
        <x:v>La Magdalena Contreras</x:v>
      </x:c>
      <x:c r="C203" s="56" t="n">
        <x:v>173105</x:v>
      </x:c>
      <x:c r="D203" s="56" t="n">
        <x:f>MIN(SUMIFS('Park Catalog'!$E:$E,'Park Catalog'!$A:$A,$B203,'Park Catalog'!$G:$G,"&lt;="&amp;$A203,'Park Catalog'!$H:$H,TRUE),$F203)</x:f>
        <x:v>0</x:v>
      </x:c>
      <x:c r="E203" s="57" t="n">
        <x:f>IFERROR($D203/$C203,"")</x:f>
        <x:v>0</x:v>
      </x:c>
      <x:c r="F203" s="58" t="n">
        <x:v>1335114.4</x:v>
      </x:c>
      <x:c r="G203" s="58" t="n">
        <x:f>IFERROR($F203/$C203,"")</x:f>
        <x:v>7.712743132780682</x:v>
      </x:c>
      <x:c r="H203" s="59" t="n">
        <x:f>IFERROR($D203/$F203,"")</x:f>
        <x:v>0</x:v>
      </x:c>
      <x:c r="I203" s="39" t="str">
        <x:v>Historical reconstruction from dated major parks; compare with current SEDEMA total.</x:v>
      </x:c>
    </x:row>
    <x:row r="204">
      <x:c r="A204" s="39" t="n">
        <x:v>1980</x:v>
      </x:c>
      <x:c r="B204" s="39" t="str">
        <x:v>Miguel Hidalgo</x:v>
      </x:c>
      <x:c r="C204" s="56" t="n">
        <x:v>543062</x:v>
      </x:c>
      <x:c r="D204" s="56" t="n">
        <x:f>MIN(SUMIFS('Park Catalog'!$E:$E,'Park Catalog'!$A:$A,$B204,'Park Catalog'!$G:$G,"&lt;="&amp;$A204,'Park Catalog'!$H:$H,TRUE),$F204)</x:f>
        <x:v>0</x:v>
      </x:c>
      <x:c r="E204" s="57" t="n">
        <x:f>IFERROR($D204/$C204,"")</x:f>
        <x:v>0</x:v>
      </x:c>
      <x:c r="F204" s="58" t="n">
        <x:v>5607701.5</x:v>
      </x:c>
      <x:c r="G204" s="58" t="n">
        <x:f>IFERROR($F204/$C204,"")</x:f>
        <x:v>10.326079710972229</x:v>
      </x:c>
      <x:c r="H204" s="59" t="n">
        <x:f>IFERROR($D204/$F204,"")</x:f>
        <x:v>0</x:v>
      </x:c>
      <x:c r="I204" s="39" t="str">
        <x:v>Historical reconstruction from dated major parks; compare with current SEDEMA total.</x:v>
      </x:c>
    </x:row>
    <x:row r="205">
      <x:c r="A205" s="39" t="n">
        <x:v>1980</x:v>
      </x:c>
      <x:c r="B205" s="39" t="str">
        <x:v>Milpa Alta</x:v>
      </x:c>
      <x:c r="C205" s="56" t="n">
        <x:v>53616</x:v>
      </x:c>
      <x:c r="D205" s="56" t="n">
        <x:f>MIN(SUMIFS('Park Catalog'!$E:$E,'Park Catalog'!$A:$A,$B205,'Park Catalog'!$G:$G,"&lt;="&amp;$A205,'Park Catalog'!$H:$H,TRUE),$F205)</x:f>
        <x:v>0</x:v>
      </x:c>
      <x:c r="E205" s="57" t="n">
        <x:f>IFERROR($D205/$C205,"")</x:f>
        <x:v>0</x:v>
      </x:c>
      <x:c r="F205" s="58" t="n">
        <x:v>309724</x:v>
      </x:c>
      <x:c r="G205" s="58" t="n">
        <x:f>IFERROR($F205/$C205,"")</x:f>
        <x:v>5.776708445240227</x:v>
      </x:c>
      <x:c r="H205" s="59" t="n">
        <x:f>IFERROR($D205/$F205,"")</x:f>
        <x:v>0</x:v>
      </x:c>
      <x:c r="I205" s="39" t="str">
        <x:v>Historical reconstruction from dated major parks; compare with current SEDEMA total.</x:v>
      </x:c>
    </x:row>
    <x:row r="206">
      <x:c r="A206" s="39" t="n">
        <x:v>1980</x:v>
      </x:c>
      <x:c r="B206" s="39" t="str">
        <x:v>Tláhuac</x:v>
      </x:c>
      <x:c r="C206" s="56" t="n">
        <x:v>146923</x:v>
      </x:c>
      <x:c r="D206" s="56" t="n">
        <x:f>MIN(SUMIFS('Park Catalog'!$E:$E,'Park Catalog'!$A:$A,$B206,'Park Catalog'!$G:$G,"&lt;="&amp;$A206,'Park Catalog'!$H:$H,TRUE),$F206)</x:f>
        <x:v>0</x:v>
      </x:c>
      <x:c r="E206" s="57" t="n">
        <x:f>IFERROR($D206/$C206,"")</x:f>
        <x:v>0</x:v>
      </x:c>
      <x:c r="F206" s="58" t="n">
        <x:v>3054084.7</x:v>
      </x:c>
      <x:c r="G206" s="58" t="n">
        <x:f>IFERROR($F206/$C206,"")</x:f>
        <x:v>20.786974809934456</x:v>
      </x:c>
      <x:c r="H206" s="59" t="n">
        <x:f>IFERROR($D206/$F206,"")</x:f>
        <x:v>0</x:v>
      </x:c>
      <x:c r="I206" s="39" t="str">
        <x:v>Historical reconstruction from dated major parks; compare with current SEDEMA total.</x:v>
      </x:c>
    </x:row>
    <x:row r="207">
      <x:c r="A207" s="39" t="n">
        <x:v>1980</x:v>
      </x:c>
      <x:c r="B207" s="39" t="str">
        <x:v>Tlalpan</x:v>
      </x:c>
      <x:c r="C207" s="56" t="n">
        <x:v>368974</x:v>
      </x:c>
      <x:c r="D207" s="56" t="n">
        <x:f>MIN(SUMIFS('Park Catalog'!$E:$E,'Park Catalog'!$A:$A,$B207,'Park Catalog'!$G:$G,"&lt;="&amp;$A207,'Park Catalog'!$H:$H,TRUE),$F207)</x:f>
        <x:v>0</x:v>
      </x:c>
      <x:c r="E207" s="57" t="n">
        <x:f>IFERROR($D207/$C207,"")</x:f>
        <x:v>0</x:v>
      </x:c>
      <x:c r="F207" s="58" t="n">
        <x:v>6530744.7</x:v>
      </x:c>
      <x:c r="G207" s="58" t="n">
        <x:f>IFERROR($F207/$C207,"")</x:f>
        <x:v>17.699742258262102</x:v>
      </x:c>
      <x:c r="H207" s="59" t="n">
        <x:f>IFERROR($D207/$F207,"")</x:f>
        <x:v>0</x:v>
      </x:c>
      <x:c r="I207" s="39" t="str">
        <x:v>Historical reconstruction from dated major parks; compare with current SEDEMA total.</x:v>
      </x:c>
    </x:row>
    <x:row r="208">
      <x:c r="A208" s="39" t="n">
        <x:v>1980</x:v>
      </x:c>
      <x:c r="B208" s="39" t="str">
        <x:v>Venustiano Carranza</x:v>
      </x:c>
      <x:c r="C208" s="56" t="n">
        <x:v>692896</x:v>
      </x:c>
      <x:c r="D208" s="56" t="n">
        <x:f>MIN(SUMIFS('Park Catalog'!$E:$E,'Park Catalog'!$A:$A,$B208,'Park Catalog'!$G:$G,"&lt;="&amp;$A208,'Park Catalog'!$H:$H,TRUE),$F208)</x:f>
        <x:v>0</x:v>
      </x:c>
      <x:c r="E208" s="57" t="n">
        <x:f>IFERROR($D208/$C208,"")</x:f>
        <x:v>0</x:v>
      </x:c>
      <x:c r="F208" s="58" t="n">
        <x:v>5805150.1</x:v>
      </x:c>
      <x:c r="G208" s="58" t="n">
        <x:f>IFERROR($F208/$C208,"")</x:f>
        <x:v>8.378097290213827</x:v>
      </x:c>
      <x:c r="H208" s="59" t="n">
        <x:f>IFERROR($D208/$F208,"")</x:f>
        <x:v>0</x:v>
      </x:c>
      <x:c r="I208" s="39" t="str">
        <x:v>Historical reconstruction from dated major parks; compare with current SEDEMA total.</x:v>
      </x:c>
    </x:row>
    <x:row r="209">
      <x:c r="A209" s="39" t="n">
        <x:v>1980</x:v>
      </x:c>
      <x:c r="B209" s="39" t="str">
        <x:v>Xochimilco</x:v>
      </x:c>
      <x:c r="C209" s="56" t="n">
        <x:v>217481</x:v>
      </x:c>
      <x:c r="D209" s="56" t="n">
        <x:f>MIN(SUMIFS('Park Catalog'!$E:$E,'Park Catalog'!$A:$A,$B209,'Park Catalog'!$G:$G,"&lt;="&amp;$A209,'Park Catalog'!$H:$H,TRUE),$F209)</x:f>
        <x:v>0</x:v>
      </x:c>
      <x:c r="E209" s="57" t="n">
        <x:f>IFERROR($D209/$C209,"")</x:f>
        <x:v>0</x:v>
      </x:c>
      <x:c r="F209" s="58" t="n">
        <x:v>2092259.6</x:v>
      </x:c>
      <x:c r="G209" s="58" t="n">
        <x:f>IFERROR($F209/$C209,"")</x:f>
        <x:v>9.620424772738769</x:v>
      </x:c>
      <x:c r="H209" s="59" t="n">
        <x:f>IFERROR($D209/$F209,"")</x:f>
        <x:v>0</x:v>
      </x:c>
      <x:c r="I209" s="39" t="str">
        <x:v>Historical reconstruction from dated major parks; compare with current SEDEMA total.</x:v>
      </x:c>
    </x:row>
    <x:row r="210">
      <x:c r="A210" s="39" t="n">
        <x:v>1990</x:v>
      </x:c>
      <x:c r="B210" s="39" t="str">
        <x:v>Álvaro Obregón</x:v>
      </x:c>
      <x:c r="C210" s="56" t="n">
        <x:v>642753</x:v>
      </x:c>
      <x:c r="D210" s="56" t="n">
        <x:f>MIN(SUMIFS('Park Catalog'!$E:$E,'Park Catalog'!$A:$A,$B210,'Park Catalog'!$G:$G,"&lt;="&amp;$A210,'Park Catalog'!$H:$H,TRUE),$F210)</x:f>
        <x:v>0</x:v>
      </x:c>
      <x:c r="E210" s="57" t="n">
        <x:f>IFERROR($D210/$C210,"")</x:f>
        <x:v>0</x:v>
      </x:c>
      <x:c r="F210" s="58" t="n">
        <x:v>4913463.7</x:v>
      </x:c>
      <x:c r="G210" s="58" t="n">
        <x:f>IFERROR($F210/$C210,"")</x:f>
        <x:v>7.644404149027698</x:v>
      </x:c>
      <x:c r="H210" s="59" t="n">
        <x:f>IFERROR($D210/$F210,"")</x:f>
        <x:v>0</x:v>
      </x:c>
      <x:c r="I210" s="39" t="str">
        <x:v>Historical reconstruction from dated major parks; compare with current SEDEMA total.</x:v>
      </x:c>
    </x:row>
    <x:row r="211">
      <x:c r="A211" s="39" t="n">
        <x:v>1990</x:v>
      </x:c>
      <x:c r="B211" s="39" t="str">
        <x:v>Azcapotzalco</x:v>
      </x:c>
      <x:c r="C211" s="56" t="n">
        <x:v>474688</x:v>
      </x:c>
      <x:c r="D211" s="56" t="n">
        <x:f>MIN(SUMIFS('Park Catalog'!$E:$E,'Park Catalog'!$A:$A,$B211,'Park Catalog'!$G:$G,"&lt;="&amp;$A211,'Park Catalog'!$H:$H,TRUE),$F211)</x:f>
        <x:v>0</x:v>
      </x:c>
      <x:c r="E211" s="57" t="n">
        <x:f>IFERROR($D211/$C211,"")</x:f>
        <x:v>0</x:v>
      </x:c>
      <x:c r="F211" s="58" t="n">
        <x:v>3980866.7</x:v>
      </x:c>
      <x:c r="G211" s="58" t="n">
        <x:f>IFERROR($F211/$C211,"")</x:f>
        <x:v>8.386280462114062</x:v>
      </x:c>
      <x:c r="H211" s="59" t="n">
        <x:f>IFERROR($D211/$F211,"")</x:f>
        <x:v>0</x:v>
      </x:c>
      <x:c r="I211" s="39" t="str">
        <x:v>Historical reconstruction from dated major parks; compare with current SEDEMA total.</x:v>
      </x:c>
    </x:row>
    <x:row r="212">
      <x:c r="A212" s="39" t="n">
        <x:v>1990</x:v>
      </x:c>
      <x:c r="B212" s="39" t="str">
        <x:v>Benito Juárez</x:v>
      </x:c>
      <x:c r="C212" s="56" t="n">
        <x:v>407811</x:v>
      </x:c>
      <x:c r="D212" s="56" t="n">
        <x:f>MIN(SUMIFS('Park Catalog'!$E:$E,'Park Catalog'!$A:$A,$B212,'Park Catalog'!$G:$G,"&lt;="&amp;$A212,'Park Catalog'!$H:$H,TRUE),$F212)</x:f>
        <x:v>0</x:v>
      </x:c>
      <x:c r="E212" s="57" t="n">
        <x:f>IFERROR($D212/$C212,"")</x:f>
        <x:v>0</x:v>
      </x:c>
      <x:c r="F212" s="58" t="n">
        <x:v>929230.8</x:v>
      </x:c>
      <x:c r="G212" s="58" t="n">
        <x:f>IFERROR($F212/$C212,"")</x:f>
        <x:v>2.278581990186631</x:v>
      </x:c>
      <x:c r="H212" s="59" t="n">
        <x:f>IFERROR($D212/$F212,"")</x:f>
        <x:v>0</x:v>
      </x:c>
      <x:c r="I212" s="39" t="str">
        <x:v>Historical reconstruction from dated major parks; compare with current SEDEMA total.</x:v>
      </x:c>
    </x:row>
    <x:row r="213">
      <x:c r="A213" s="39" t="n">
        <x:v>1990</x:v>
      </x:c>
      <x:c r="B213" s="39" t="str">
        <x:v>Coyoacán</x:v>
      </x:c>
      <x:c r="C213" s="56" t="n">
        <x:v>640066</x:v>
      </x:c>
      <x:c r="D213" s="56" t="n">
        <x:f>MIN(SUMIFS('Park Catalog'!$E:$E,'Park Catalog'!$A:$A,$B213,'Park Catalog'!$G:$G,"&lt;="&amp;$A213,'Park Catalog'!$H:$H,TRUE),$F213)</x:f>
        <x:v>0</x:v>
      </x:c>
      <x:c r="E213" s="57" t="n">
        <x:f>IFERROR($D213/$C213,"")</x:f>
        <x:v>0</x:v>
      </x:c>
      <x:c r="F213" s="58" t="n">
        <x:v>9157547.7</x:v>
      </x:c>
      <x:c r="G213" s="58" t="n">
        <x:f>IFERROR($F213/$C213,"")</x:f>
        <x:v>14.307192851987137</x:v>
      </x:c>
      <x:c r="H213" s="59" t="n">
        <x:f>IFERROR($D213/$F213,"")</x:f>
        <x:v>0</x:v>
      </x:c>
      <x:c r="I213" s="39" t="str">
        <x:v>Historical reconstruction from dated major parks; compare with current SEDEMA total.</x:v>
      </x:c>
    </x:row>
    <x:row r="214">
      <x:c r="A214" s="39" t="n">
        <x:v>1990</x:v>
      </x:c>
      <x:c r="B214" s="39" t="str">
        <x:v>Cuajimalpa de Morelos</x:v>
      </x:c>
      <x:c r="C214" s="56" t="n">
        <x:v>119669</x:v>
      </x:c>
      <x:c r="D214" s="56" t="n">
        <x:f>MIN(SUMIFS('Park Catalog'!$E:$E,'Park Catalog'!$A:$A,$B214,'Park Catalog'!$G:$G,"&lt;="&amp;$A214,'Park Catalog'!$H:$H,TRUE),$F214)</x:f>
        <x:v>0</x:v>
      </x:c>
      <x:c r="E214" s="57" t="n">
        <x:f>IFERROR($D214/$C214,"")</x:f>
        <x:v>0</x:v>
      </x:c>
      <x:c r="F214" s="58" t="n">
        <x:v>2048957.7</x:v>
      </x:c>
      <x:c r="G214" s="58" t="n">
        <x:f>IFERROR($F214/$C214,"")</x:f>
        <x:v>17.12187533947806</x:v>
      </x:c>
      <x:c r="H214" s="59" t="n">
        <x:f>IFERROR($D214/$F214,"")</x:f>
        <x:v>0</x:v>
      </x:c>
      <x:c r="I214" s="39" t="str">
        <x:v>Historical reconstruction from dated major parks; compare with current SEDEMA total.</x:v>
      </x:c>
    </x:row>
    <x:row r="215">
      <x:c r="A215" s="39" t="n">
        <x:v>1990</x:v>
      </x:c>
      <x:c r="B215" s="39" t="str">
        <x:v>Cuauhtémoc</x:v>
      </x:c>
      <x:c r="C215" s="56" t="n">
        <x:v>595960</x:v>
      </x:c>
      <x:c r="D215" s="56" t="n">
        <x:f>MIN(SUMIFS('Park Catalog'!$E:$E,'Park Catalog'!$A:$A,$B215,'Park Catalog'!$G:$G,"&lt;="&amp;$A215,'Park Catalog'!$H:$H,TRUE),$F215)</x:f>
        <x:v>0</x:v>
      </x:c>
      <x:c r="E215" s="57" t="n">
        <x:f>IFERROR($D215/$C215,"")</x:f>
        <x:v>0</x:v>
      </x:c>
      <x:c r="F215" s="58" t="n">
        <x:v>1915961</x:v>
      </x:c>
      <x:c r="G215" s="58" t="n">
        <x:f>IFERROR($F215/$C215,"")</x:f>
        <x:v>3.2149154305658096</x:v>
      </x:c>
      <x:c r="H215" s="59" t="n">
        <x:f>IFERROR($D215/$F215,"")</x:f>
        <x:v>0</x:v>
      </x:c>
      <x:c r="I215" s="39" t="str">
        <x:v>Historical reconstruction from dated major parks; compare with current SEDEMA total.</x:v>
      </x:c>
    </x:row>
    <x:row r="216">
      <x:c r="A216" s="39" t="n">
        <x:v>1990</x:v>
      </x:c>
      <x:c r="B216" s="39" t="str">
        <x:v>Gustavo A. Madero</x:v>
      </x:c>
      <x:c r="C216" s="56" t="n">
        <x:v>1268068</x:v>
      </x:c>
      <x:c r="D216" s="56" t="n">
        <x:f>MIN(SUMIFS('Park Catalog'!$E:$E,'Park Catalog'!$A:$A,$B216,'Park Catalog'!$G:$G,"&lt;="&amp;$A216,'Park Catalog'!$H:$H,TRUE),$F216)</x:f>
        <x:v>0</x:v>
      </x:c>
      <x:c r="E216" s="57" t="n">
        <x:f>IFERROR($D216/$C216,"")</x:f>
        <x:v>0</x:v>
      </x:c>
      <x:c r="F216" s="58" t="n">
        <x:v>7851619.6</x:v>
      </x:c>
      <x:c r="G216" s="58" t="n">
        <x:f>IFERROR($F216/$C216,"")</x:f>
        <x:v>6.191796969878586</x:v>
      </x:c>
      <x:c r="H216" s="59" t="n">
        <x:f>IFERROR($D216/$F216,"")</x:f>
        <x:v>0</x:v>
      </x:c>
      <x:c r="I216" s="39" t="str">
        <x:v>Historical reconstruction from dated major parks; compare with current SEDEMA total.</x:v>
      </x:c>
    </x:row>
    <x:row r="217">
      <x:c r="A217" s="39" t="n">
        <x:v>1990</x:v>
      </x:c>
      <x:c r="B217" s="39" t="str">
        <x:v>Iztacalco</x:v>
      </x:c>
      <x:c r="C217" s="56" t="n">
        <x:v>448322</x:v>
      </x:c>
      <x:c r="D217" s="56" t="n">
        <x:f>MIN(SUMIFS('Park Catalog'!$E:$E,'Park Catalog'!$A:$A,$B217,'Park Catalog'!$G:$G,"&lt;="&amp;$A217,'Park Catalog'!$H:$H,TRUE),$F217)</x:f>
        <x:v>0</x:v>
      </x:c>
      <x:c r="E217" s="57" t="n">
        <x:f>IFERROR($D217/$C217,"")</x:f>
        <x:v>0</x:v>
      </x:c>
      <x:c r="F217" s="58" t="n">
        <x:v>1944289</x:v>
      </x:c>
      <x:c r="G217" s="58" t="n">
        <x:f>IFERROR($F217/$C217,"")</x:f>
        <x:v>4.336813718711105</x:v>
      </x:c>
      <x:c r="H217" s="59" t="n">
        <x:f>IFERROR($D217/$F217,"")</x:f>
        <x:v>0</x:v>
      </x:c>
      <x:c r="I217" s="39" t="str">
        <x:v>Historical reconstruction from dated major parks; compare with current SEDEMA total.</x:v>
      </x:c>
    </x:row>
    <x:row r="218">
      <x:c r="A218" s="39" t="n">
        <x:v>1990</x:v>
      </x:c>
      <x:c r="B218" s="39" t="str">
        <x:v>Iztapalapa</x:v>
      </x:c>
      <x:c r="C218" s="56" t="n">
        <x:v>1490499</x:v>
      </x:c>
      <x:c r="D218" s="56" t="n">
        <x:f>MIN(SUMIFS('Park Catalog'!$E:$E,'Park Catalog'!$A:$A,$B218,'Park Catalog'!$G:$G,"&lt;="&amp;$A218,'Park Catalog'!$H:$H,TRUE),$F218)</x:f>
        <x:v>0</x:v>
      </x:c>
      <x:c r="E218" s="57" t="n">
        <x:f>IFERROR($D218/$C218,"")</x:f>
        <x:v>0</x:v>
      </x:c>
      <x:c r="F218" s="58" t="n">
        <x:v>9834858.6</x:v>
      </x:c>
      <x:c r="G218" s="58" t="n">
        <x:f>IFERROR($F218/$C218,"")</x:f>
        <x:v>6.598366453114024</x:v>
      </x:c>
      <x:c r="H218" s="59" t="n">
        <x:f>IFERROR($D218/$F218,"")</x:f>
        <x:v>0</x:v>
      </x:c>
      <x:c r="I218" s="39" t="str">
        <x:v>Historical reconstruction from dated major parks; compare with current SEDEMA total.</x:v>
      </x:c>
    </x:row>
    <x:row r="219">
      <x:c r="A219" s="39" t="n">
        <x:v>1990</x:v>
      </x:c>
      <x:c r="B219" s="39" t="str">
        <x:v>La Magdalena Contreras</x:v>
      </x:c>
      <x:c r="C219" s="56" t="n">
        <x:v>195041</x:v>
      </x:c>
      <x:c r="D219" s="56" t="n">
        <x:f>MIN(SUMIFS('Park Catalog'!$E:$E,'Park Catalog'!$A:$A,$B219,'Park Catalog'!$G:$G,"&lt;="&amp;$A219,'Park Catalog'!$H:$H,TRUE),$F219)</x:f>
        <x:v>0</x:v>
      </x:c>
      <x:c r="E219" s="57" t="n">
        <x:f>IFERROR($D219/$C219,"")</x:f>
        <x:v>0</x:v>
      </x:c>
      <x:c r="F219" s="58" t="n">
        <x:v>1335114.4</x:v>
      </x:c>
      <x:c r="G219" s="58" t="n">
        <x:f>IFERROR($F219/$C219,"")</x:f>
        <x:v>6.845301244353751</x:v>
      </x:c>
      <x:c r="H219" s="59" t="n">
        <x:f>IFERROR($D219/$F219,"")</x:f>
        <x:v>0</x:v>
      </x:c>
      <x:c r="I219" s="39" t="str">
        <x:v>Historical reconstruction from dated major parks; compare with current SEDEMA total.</x:v>
      </x:c>
    </x:row>
    <x:row r="220">
      <x:c r="A220" s="39" t="n">
        <x:v>1990</x:v>
      </x:c>
      <x:c r="B220" s="39" t="str">
        <x:v>Miguel Hidalgo</x:v>
      </x:c>
      <x:c r="C220" s="56" t="n">
        <x:v>406868</x:v>
      </x:c>
      <x:c r="D220" s="56" t="n">
        <x:f>MIN(SUMIFS('Park Catalog'!$E:$E,'Park Catalog'!$A:$A,$B220,'Park Catalog'!$G:$G,"&lt;="&amp;$A220,'Park Catalog'!$H:$H,TRUE),$F220)</x:f>
        <x:v>0</x:v>
      </x:c>
      <x:c r="E220" s="57" t="n">
        <x:f>IFERROR($D220/$C220,"")</x:f>
        <x:v>0</x:v>
      </x:c>
      <x:c r="F220" s="58" t="n">
        <x:v>5607701.5</x:v>
      </x:c>
      <x:c r="G220" s="58" t="n">
        <x:f>IFERROR($F220/$C220,"")</x:f>
        <x:v>13.78260639814387</x:v>
      </x:c>
      <x:c r="H220" s="59" t="n">
        <x:f>IFERROR($D220/$F220,"")</x:f>
        <x:v>0</x:v>
      </x:c>
      <x:c r="I220" s="39" t="str">
        <x:v>Historical reconstruction from dated major parks; compare with current SEDEMA total.</x:v>
      </x:c>
    </x:row>
    <x:row r="221">
      <x:c r="A221" s="39" t="n">
        <x:v>1990</x:v>
      </x:c>
      <x:c r="B221" s="39" t="str">
        <x:v>Milpa Alta</x:v>
      </x:c>
      <x:c r="C221" s="56" t="n">
        <x:v>63654</x:v>
      </x:c>
      <x:c r="D221" s="56" t="n">
        <x:f>MIN(SUMIFS('Park Catalog'!$E:$E,'Park Catalog'!$A:$A,$B221,'Park Catalog'!$G:$G,"&lt;="&amp;$A221,'Park Catalog'!$H:$H,TRUE),$F221)</x:f>
        <x:v>0</x:v>
      </x:c>
      <x:c r="E221" s="57" t="n">
        <x:f>IFERROR($D221/$C221,"")</x:f>
        <x:v>0</x:v>
      </x:c>
      <x:c r="F221" s="58" t="n">
        <x:v>309724</x:v>
      </x:c>
      <x:c r="G221" s="58" t="n">
        <x:f>IFERROR($F221/$C221,"")</x:f>
        <x:v>4.865742922675715</x:v>
      </x:c>
      <x:c r="H221" s="59" t="n">
        <x:f>IFERROR($D221/$F221,"")</x:f>
        <x:v>0</x:v>
      </x:c>
      <x:c r="I221" s="39" t="str">
        <x:v>Historical reconstruction from dated major parks; compare with current SEDEMA total.</x:v>
      </x:c>
    </x:row>
    <x:row r="222">
      <x:c r="A222" s="39" t="n">
        <x:v>1990</x:v>
      </x:c>
      <x:c r="B222" s="39" t="str">
        <x:v>Tláhuac</x:v>
      </x:c>
      <x:c r="C222" s="56" t="n">
        <x:v>206700</x:v>
      </x:c>
      <x:c r="D222" s="56" t="n">
        <x:f>MIN(SUMIFS('Park Catalog'!$E:$E,'Park Catalog'!$A:$A,$B222,'Park Catalog'!$G:$G,"&lt;="&amp;$A222,'Park Catalog'!$H:$H,TRUE),$F222)</x:f>
        <x:v>0</x:v>
      </x:c>
      <x:c r="E222" s="57" t="n">
        <x:f>IFERROR($D222/$C222,"")</x:f>
        <x:v>0</x:v>
      </x:c>
      <x:c r="F222" s="58" t="n">
        <x:v>3054084.7</x:v>
      </x:c>
      <x:c r="G222" s="58" t="n">
        <x:f>IFERROR($F222/$C222,"")</x:f>
        <x:v>14.775446057087567</x:v>
      </x:c>
      <x:c r="H222" s="59" t="n">
        <x:f>IFERROR($D222/$F222,"")</x:f>
        <x:v>0</x:v>
      </x:c>
      <x:c r="I222" s="39" t="str">
        <x:v>Historical reconstruction from dated major parks; compare with current SEDEMA total.</x:v>
      </x:c>
    </x:row>
    <x:row r="223">
      <x:c r="A223" s="39" t="n">
        <x:v>1990</x:v>
      </x:c>
      <x:c r="B223" s="39" t="str">
        <x:v>Tlalpan</x:v>
      </x:c>
      <x:c r="C223" s="56" t="n">
        <x:v>484866</x:v>
      </x:c>
      <x:c r="D223" s="56" t="n">
        <x:f>MIN(SUMIFS('Park Catalog'!$E:$E,'Park Catalog'!$A:$A,$B223,'Park Catalog'!$G:$G,"&lt;="&amp;$A223,'Park Catalog'!$H:$H,TRUE),$F223)</x:f>
        <x:v>0</x:v>
      </x:c>
      <x:c r="E223" s="57" t="n">
        <x:f>IFERROR($D223/$C223,"")</x:f>
        <x:v>0</x:v>
      </x:c>
      <x:c r="F223" s="58" t="n">
        <x:v>6530744.7</x:v>
      </x:c>
      <x:c r="G223" s="58" t="n">
        <x:f>IFERROR($F223/$C223,"")</x:f>
        <x:v>13.46917436982589</x:v>
      </x:c>
      <x:c r="H223" s="59" t="n">
        <x:f>IFERROR($D223/$F223,"")</x:f>
        <x:v>0</x:v>
      </x:c>
      <x:c r="I223" s="39" t="str">
        <x:v>Historical reconstruction from dated major parks; compare with current SEDEMA total.</x:v>
      </x:c>
    </x:row>
    <x:row r="224">
      <x:c r="A224" s="39" t="n">
        <x:v>1990</x:v>
      </x:c>
      <x:c r="B224" s="39" t="str">
        <x:v>Venustiano Carranza</x:v>
      </x:c>
      <x:c r="C224" s="56" t="n">
        <x:v>519628</x:v>
      </x:c>
      <x:c r="D224" s="56" t="n">
        <x:f>MIN(SUMIFS('Park Catalog'!$E:$E,'Park Catalog'!$A:$A,$B224,'Park Catalog'!$G:$G,"&lt;="&amp;$A224,'Park Catalog'!$H:$H,TRUE),$F224)</x:f>
        <x:v>0</x:v>
      </x:c>
      <x:c r="E224" s="57" t="n">
        <x:f>IFERROR($D224/$C224,"")</x:f>
        <x:v>0</x:v>
      </x:c>
      <x:c r="F224" s="58" t="n">
        <x:v>5805150.1</x:v>
      </x:c>
      <x:c r="G224" s="58" t="n">
        <x:f>IFERROR($F224/$C224,"")</x:f>
        <x:v>11.171742284865326</x:v>
      </x:c>
      <x:c r="H224" s="59" t="n">
        <x:f>IFERROR($D224/$F224,"")</x:f>
        <x:v>0</x:v>
      </x:c>
      <x:c r="I224" s="39" t="str">
        <x:v>Historical reconstruction from dated major parks; compare with current SEDEMA total.</x:v>
      </x:c>
    </x:row>
    <x:row r="225">
      <x:c r="A225" s="39" t="n">
        <x:v>1990</x:v>
      </x:c>
      <x:c r="B225" s="39" t="str">
        <x:v>Xochimilco</x:v>
      </x:c>
      <x:c r="C225" s="56" t="n">
        <x:v>271151</x:v>
      </x:c>
      <x:c r="D225" s="56" t="n">
        <x:f>MIN(SUMIFS('Park Catalog'!$E:$E,'Park Catalog'!$A:$A,$B225,'Park Catalog'!$G:$G,"&lt;="&amp;$A225,'Park Catalog'!$H:$H,TRUE),$F225)</x:f>
        <x:v>0</x:v>
      </x:c>
      <x:c r="E225" s="57" t="n">
        <x:f>IFERROR($D225/$C225,"")</x:f>
        <x:v>0</x:v>
      </x:c>
      <x:c r="F225" s="58" t="n">
        <x:v>2092259.6</x:v>
      </x:c>
      <x:c r="G225" s="58" t="n">
        <x:f>IFERROR($F225/$C225,"")</x:f>
        <x:v>7.7162156879377175</x:v>
      </x:c>
      <x:c r="H225" s="59" t="n">
        <x:f>IFERROR($D225/$F225,"")</x:f>
        <x:v>0</x:v>
      </x:c>
      <x:c r="I225" s="39" t="str">
        <x:v>Historical reconstruction from dated major parks; compare with current SEDEMA total.</x:v>
      </x:c>
    </x:row>
    <x:row r="226">
      <x:c r="A226" s="39" t="n">
        <x:v>2000</x:v>
      </x:c>
      <x:c r="B226" s="39" t="str">
        <x:v>Álvaro Obregón</x:v>
      </x:c>
      <x:c r="C226" s="56" t="n">
        <x:v>687020</x:v>
      </x:c>
      <x:c r="D226" s="56" t="n">
        <x:f>MIN(SUMIFS('Park Catalog'!$E:$E,'Park Catalog'!$A:$A,$B226,'Park Catalog'!$G:$G,"&lt;="&amp;$A226,'Park Catalog'!$H:$H,TRUE),$F226)</x:f>
        <x:v>0</x:v>
      </x:c>
      <x:c r="E226" s="57" t="n">
        <x:f>IFERROR($D226/$C226,"")</x:f>
        <x:v>0</x:v>
      </x:c>
      <x:c r="F226" s="58" t="n">
        <x:v>4913463.7</x:v>
      </x:c>
      <x:c r="G226" s="58" t="n">
        <x:f>IFERROR($F226/$C226,"")</x:f>
        <x:v>7.151849582253792</x:v>
      </x:c>
      <x:c r="H226" s="59" t="n">
        <x:f>IFERROR($D226/$F226,"")</x:f>
        <x:v>0</x:v>
      </x:c>
      <x:c r="I226" s="39" t="str">
        <x:v>Historical reconstruction from dated major parks; compare with current SEDEMA total.</x:v>
      </x:c>
    </x:row>
    <x:row r="227">
      <x:c r="A227" s="39" t="n">
        <x:v>2000</x:v>
      </x:c>
      <x:c r="B227" s="39" t="str">
        <x:v>Azcapotzalco</x:v>
      </x:c>
      <x:c r="C227" s="56" t="n">
        <x:v>441008</x:v>
      </x:c>
      <x:c r="D227" s="56" t="n">
        <x:f>MIN(SUMIFS('Park Catalog'!$E:$E,'Park Catalog'!$A:$A,$B227,'Park Catalog'!$G:$G,"&lt;="&amp;$A227,'Park Catalog'!$H:$H,TRUE),$F227)</x:f>
        <x:v>0</x:v>
      </x:c>
      <x:c r="E227" s="57" t="n">
        <x:f>IFERROR($D227/$C227,"")</x:f>
        <x:v>0</x:v>
      </x:c>
      <x:c r="F227" s="58" t="n">
        <x:v>3980866.7</x:v>
      </x:c>
      <x:c r="G227" s="58" t="n">
        <x:f>IFERROR($F227/$C227,"")</x:f>
        <x:v>9.02674486630628</x:v>
      </x:c>
      <x:c r="H227" s="59" t="n">
        <x:f>IFERROR($D227/$F227,"")</x:f>
        <x:v>0</x:v>
      </x:c>
      <x:c r="I227" s="39" t="str">
        <x:v>Historical reconstruction from dated major parks; compare with current SEDEMA total.</x:v>
      </x:c>
    </x:row>
    <x:row r="228">
      <x:c r="A228" s="39" t="n">
        <x:v>2000</x:v>
      </x:c>
      <x:c r="B228" s="39" t="str">
        <x:v>Benito Juárez</x:v>
      </x:c>
      <x:c r="C228" s="56" t="n">
        <x:v>360478</x:v>
      </x:c>
      <x:c r="D228" s="56" t="n">
        <x:f>MIN(SUMIFS('Park Catalog'!$E:$E,'Park Catalog'!$A:$A,$B228,'Park Catalog'!$G:$G,"&lt;="&amp;$A228,'Park Catalog'!$H:$H,TRUE),$F228)</x:f>
        <x:v>0</x:v>
      </x:c>
      <x:c r="E228" s="57" t="n">
        <x:f>IFERROR($D228/$C228,"")</x:f>
        <x:v>0</x:v>
      </x:c>
      <x:c r="F228" s="58" t="n">
        <x:v>929230.8</x:v>
      </x:c>
      <x:c r="G228" s="58" t="n">
        <x:f>IFERROR($F228/$C228,"")</x:f>
        <x:v>2.5777739556921646</x:v>
      </x:c>
      <x:c r="H228" s="59" t="n">
        <x:f>IFERROR($D228/$F228,"")</x:f>
        <x:v>0</x:v>
      </x:c>
      <x:c r="I228" s="39" t="str">
        <x:v>Historical reconstruction from dated major parks; compare with current SEDEMA total.</x:v>
      </x:c>
    </x:row>
    <x:row r="229">
      <x:c r="A229" s="39" t="n">
        <x:v>2000</x:v>
      </x:c>
      <x:c r="B229" s="39" t="str">
        <x:v>Coyoacán</x:v>
      </x:c>
      <x:c r="C229" s="56" t="n">
        <x:v>640423</x:v>
      </x:c>
      <x:c r="D229" s="56" t="n">
        <x:f>MIN(SUMIFS('Park Catalog'!$E:$E,'Park Catalog'!$A:$A,$B229,'Park Catalog'!$G:$G,"&lt;="&amp;$A229,'Park Catalog'!$H:$H,TRUE),$F229)</x:f>
        <x:v>0</x:v>
      </x:c>
      <x:c r="E229" s="57" t="n">
        <x:f>IFERROR($D229/$C229,"")</x:f>
        <x:v>0</x:v>
      </x:c>
      <x:c r="F229" s="58" t="n">
        <x:v>9157547.7</x:v>
      </x:c>
      <x:c r="G229" s="58" t="n">
        <x:f>IFERROR($F229/$C229,"")</x:f>
        <x:v>14.299217392254805</x:v>
      </x:c>
      <x:c r="H229" s="59" t="n">
        <x:f>IFERROR($D229/$F229,"")</x:f>
        <x:v>0</x:v>
      </x:c>
      <x:c r="I229" s="39" t="str">
        <x:v>Historical reconstruction from dated major parks; compare with current SEDEMA total.</x:v>
      </x:c>
    </x:row>
    <x:row r="230">
      <x:c r="A230" s="39" t="n">
        <x:v>2000</x:v>
      </x:c>
      <x:c r="B230" s="39" t="str">
        <x:v>Cuajimalpa de Morelos</x:v>
      </x:c>
      <x:c r="C230" s="56" t="n">
        <x:v>151222</x:v>
      </x:c>
      <x:c r="D230" s="56" t="n">
        <x:f>MIN(SUMIFS('Park Catalog'!$E:$E,'Park Catalog'!$A:$A,$B230,'Park Catalog'!$G:$G,"&lt;="&amp;$A230,'Park Catalog'!$H:$H,TRUE),$F230)</x:f>
        <x:v>0</x:v>
      </x:c>
      <x:c r="E230" s="57" t="n">
        <x:f>IFERROR($D230/$C230,"")</x:f>
        <x:v>0</x:v>
      </x:c>
      <x:c r="F230" s="58" t="n">
        <x:v>2048957.7</x:v>
      </x:c>
      <x:c r="G230" s="58" t="n">
        <x:f>IFERROR($F230/$C230,"")</x:f>
        <x:v>13.549336075438758</x:v>
      </x:c>
      <x:c r="H230" s="59" t="n">
        <x:f>IFERROR($D230/$F230,"")</x:f>
        <x:v>0</x:v>
      </x:c>
      <x:c r="I230" s="39" t="str">
        <x:v>Historical reconstruction from dated major parks; compare with current SEDEMA total.</x:v>
      </x:c>
    </x:row>
    <x:row r="231">
      <x:c r="A231" s="39" t="n">
        <x:v>2000</x:v>
      </x:c>
      <x:c r="B231" s="39" t="str">
        <x:v>Cuauhtémoc</x:v>
      </x:c>
      <x:c r="C231" s="56" t="n">
        <x:v>516255</x:v>
      </x:c>
      <x:c r="D231" s="56" t="n">
        <x:f>MIN(SUMIFS('Park Catalog'!$E:$E,'Park Catalog'!$A:$A,$B231,'Park Catalog'!$G:$G,"&lt;="&amp;$A231,'Park Catalog'!$H:$H,TRUE),$F231)</x:f>
        <x:v>0</x:v>
      </x:c>
      <x:c r="E231" s="57" t="n">
        <x:f>IFERROR($D231/$C231,"")</x:f>
        <x:v>0</x:v>
      </x:c>
      <x:c r="F231" s="58" t="n">
        <x:v>1915961</x:v>
      </x:c>
      <x:c r="G231" s="58" t="n">
        <x:f>IFERROR($F231/$C231,"")</x:f>
        <x:v>3.7112686559936465</x:v>
      </x:c>
      <x:c r="H231" s="59" t="n">
        <x:f>IFERROR($D231/$F231,"")</x:f>
        <x:v>0</x:v>
      </x:c>
      <x:c r="I231" s="39" t="str">
        <x:v>Historical reconstruction from dated major parks; compare with current SEDEMA total.</x:v>
      </x:c>
    </x:row>
    <x:row r="232">
      <x:c r="A232" s="39" t="n">
        <x:v>2000</x:v>
      </x:c>
      <x:c r="B232" s="39" t="str">
        <x:v>Gustavo A. Madero</x:v>
      </x:c>
      <x:c r="C232" s="56" t="n">
        <x:v>1235542</x:v>
      </x:c>
      <x:c r="D232" s="56" t="n">
        <x:f>MIN(SUMIFS('Park Catalog'!$E:$E,'Park Catalog'!$A:$A,$B232,'Park Catalog'!$G:$G,"&lt;="&amp;$A232,'Park Catalog'!$H:$H,TRUE),$F232)</x:f>
        <x:v>0</x:v>
      </x:c>
      <x:c r="E232" s="57" t="n">
        <x:f>IFERROR($D232/$C232,"")</x:f>
        <x:v>0</x:v>
      </x:c>
      <x:c r="F232" s="58" t="n">
        <x:v>7851619.6</x:v>
      </x:c>
      <x:c r="G232" s="58" t="n">
        <x:f>IFERROR($F232/$C232,"")</x:f>
        <x:v>6.354797813429248</x:v>
      </x:c>
      <x:c r="H232" s="59" t="n">
        <x:f>IFERROR($D232/$F232,"")</x:f>
        <x:v>0</x:v>
      </x:c>
      <x:c r="I232" s="39" t="str">
        <x:v>Historical reconstruction from dated major parks; compare with current SEDEMA total.</x:v>
      </x:c>
    </x:row>
    <x:row r="233">
      <x:c r="A233" s="39" t="n">
        <x:v>2000</x:v>
      </x:c>
      <x:c r="B233" s="39" t="str">
        <x:v>Iztacalco</x:v>
      </x:c>
      <x:c r="C233" s="56" t="n">
        <x:v>411321</x:v>
      </x:c>
      <x:c r="D233" s="56" t="n">
        <x:f>MIN(SUMIFS('Park Catalog'!$E:$E,'Park Catalog'!$A:$A,$B233,'Park Catalog'!$G:$G,"&lt;="&amp;$A233,'Park Catalog'!$H:$H,TRUE),$F233)</x:f>
        <x:v>0</x:v>
      </x:c>
      <x:c r="E233" s="57" t="n">
        <x:f>IFERROR($D233/$C233,"")</x:f>
        <x:v>0</x:v>
      </x:c>
      <x:c r="F233" s="58" t="n">
        <x:v>1944289</x:v>
      </x:c>
      <x:c r="G233" s="58" t="n">
        <x:f>IFERROR($F233/$C233,"")</x:f>
        <x:v>4.726938327972556</x:v>
      </x:c>
      <x:c r="H233" s="59" t="n">
        <x:f>IFERROR($D233/$F233,"")</x:f>
        <x:v>0</x:v>
      </x:c>
      <x:c r="I233" s="39" t="str">
        <x:v>Historical reconstruction from dated major parks; compare with current SEDEMA total.</x:v>
      </x:c>
    </x:row>
    <x:row r="234">
      <x:c r="A234" s="39" t="n">
        <x:v>2000</x:v>
      </x:c>
      <x:c r="B234" s="39" t="str">
        <x:v>Iztapalapa</x:v>
      </x:c>
      <x:c r="C234" s="56" t="n">
        <x:v>1773343</x:v>
      </x:c>
      <x:c r="D234" s="56" t="n">
        <x:f>MIN(SUMIFS('Park Catalog'!$E:$E,'Park Catalog'!$A:$A,$B234,'Park Catalog'!$G:$G,"&lt;="&amp;$A234,'Park Catalog'!$H:$H,TRUE),$F234)</x:f>
        <x:v>0</x:v>
      </x:c>
      <x:c r="E234" s="57" t="n">
        <x:f>IFERROR($D234/$C234,"")</x:f>
        <x:v>0</x:v>
      </x:c>
      <x:c r="F234" s="58" t="n">
        <x:v>9834858.6</x:v>
      </x:c>
      <x:c r="G234" s="58" t="n">
        <x:f>IFERROR($F234/$C234,"")</x:f>
        <x:v>5.545942663094506</x:v>
      </x:c>
      <x:c r="H234" s="59" t="n">
        <x:f>IFERROR($D234/$F234,"")</x:f>
        <x:v>0</x:v>
      </x:c>
      <x:c r="I234" s="39" t="str">
        <x:v>Historical reconstruction from dated major parks; compare with current SEDEMA total.</x:v>
      </x:c>
    </x:row>
    <x:row r="235">
      <x:c r="A235" s="39" t="n">
        <x:v>2000</x:v>
      </x:c>
      <x:c r="B235" s="39" t="str">
        <x:v>La Magdalena Contreras</x:v>
      </x:c>
      <x:c r="C235" s="56" t="n">
        <x:v>222050</x:v>
      </x:c>
      <x:c r="D235" s="56" t="n">
        <x:f>MIN(SUMIFS('Park Catalog'!$E:$E,'Park Catalog'!$A:$A,$B235,'Park Catalog'!$G:$G,"&lt;="&amp;$A235,'Park Catalog'!$H:$H,TRUE),$F235)</x:f>
        <x:v>0</x:v>
      </x:c>
      <x:c r="E235" s="57" t="n">
        <x:f>IFERROR($D235/$C235,"")</x:f>
        <x:v>0</x:v>
      </x:c>
      <x:c r="F235" s="58" t="n">
        <x:v>1335114.4</x:v>
      </x:c>
      <x:c r="G235" s="58" t="n">
        <x:f>IFERROR($F235/$C235,"")</x:f>
        <x:v>6.012674622832695</x:v>
      </x:c>
      <x:c r="H235" s="59" t="n">
        <x:f>IFERROR($D235/$F235,"")</x:f>
        <x:v>0</x:v>
      </x:c>
      <x:c r="I235" s="39" t="str">
        <x:v>Historical reconstruction from dated major parks; compare with current SEDEMA total.</x:v>
      </x:c>
    </x:row>
    <x:row r="236">
      <x:c r="A236" s="39" t="n">
        <x:v>2000</x:v>
      </x:c>
      <x:c r="B236" s="39" t="str">
        <x:v>Miguel Hidalgo</x:v>
      </x:c>
      <x:c r="C236" s="56" t="n">
        <x:v>352640</x:v>
      </x:c>
      <x:c r="D236" s="56" t="n">
        <x:f>MIN(SUMIFS('Park Catalog'!$E:$E,'Park Catalog'!$A:$A,$B236,'Park Catalog'!$G:$G,"&lt;="&amp;$A236,'Park Catalog'!$H:$H,TRUE),$F236)</x:f>
        <x:v>0</x:v>
      </x:c>
      <x:c r="E236" s="57" t="n">
        <x:f>IFERROR($D236/$C236,"")</x:f>
        <x:v>0</x:v>
      </x:c>
      <x:c r="F236" s="58" t="n">
        <x:v>5607701.5</x:v>
      </x:c>
      <x:c r="G236" s="58" t="n">
        <x:f>IFERROR($F236/$C236,"")</x:f>
        <x:v>15.90205733892922</x:v>
      </x:c>
      <x:c r="H236" s="59" t="n">
        <x:f>IFERROR($D236/$F236,"")</x:f>
        <x:v>0</x:v>
      </x:c>
      <x:c r="I236" s="39" t="str">
        <x:v>Historical reconstruction from dated major parks; compare with current SEDEMA total.</x:v>
      </x:c>
    </x:row>
    <x:row r="237">
      <x:c r="A237" s="39" t="n">
        <x:v>2000</x:v>
      </x:c>
      <x:c r="B237" s="39" t="str">
        <x:v>Milpa Alta</x:v>
      </x:c>
      <x:c r="C237" s="56" t="n">
        <x:v>96773</x:v>
      </x:c>
      <x:c r="D237" s="56" t="n">
        <x:f>MIN(SUMIFS('Park Catalog'!$E:$E,'Park Catalog'!$A:$A,$B237,'Park Catalog'!$G:$G,"&lt;="&amp;$A237,'Park Catalog'!$H:$H,TRUE),$F237)</x:f>
        <x:v>0</x:v>
      </x:c>
      <x:c r="E237" s="57" t="n">
        <x:f>IFERROR($D237/$C237,"")</x:f>
        <x:v>0</x:v>
      </x:c>
      <x:c r="F237" s="58" t="n">
        <x:v>309724</x:v>
      </x:c>
      <x:c r="G237" s="58" t="n">
        <x:f>IFERROR($F237/$C237,"")</x:f>
        <x:v>3.2005208064232793</x:v>
      </x:c>
      <x:c r="H237" s="59" t="n">
        <x:f>IFERROR($D237/$F237,"")</x:f>
        <x:v>0</x:v>
      </x:c>
      <x:c r="I237" s="39" t="str">
        <x:v>Historical reconstruction from dated major parks; compare with current SEDEMA total.</x:v>
      </x:c>
    </x:row>
    <x:row r="238">
      <x:c r="A238" s="39" t="n">
        <x:v>2000</x:v>
      </x:c>
      <x:c r="B238" s="39" t="str">
        <x:v>Tláhuac</x:v>
      </x:c>
      <x:c r="C238" s="56" t="n">
        <x:v>302790</x:v>
      </x:c>
      <x:c r="D238" s="56" t="n">
        <x:f>MIN(SUMIFS('Park Catalog'!$E:$E,'Park Catalog'!$A:$A,$B238,'Park Catalog'!$G:$G,"&lt;="&amp;$A238,'Park Catalog'!$H:$H,TRUE),$F238)</x:f>
        <x:v>0</x:v>
      </x:c>
      <x:c r="E238" s="57" t="n">
        <x:f>IFERROR($D238/$C238,"")</x:f>
        <x:v>0</x:v>
      </x:c>
      <x:c r="F238" s="58" t="n">
        <x:v>3054084.7</x:v>
      </x:c>
      <x:c r="G238" s="58" t="n">
        <x:f>IFERROR($F238/$C238,"")</x:f>
        <x:v>10.086478087123089</x:v>
      </x:c>
      <x:c r="H238" s="59" t="n">
        <x:f>IFERROR($D238/$F238,"")</x:f>
        <x:v>0</x:v>
      </x:c>
      <x:c r="I238" s="39" t="str">
        <x:v>Historical reconstruction from dated major parks; compare with current SEDEMA total.</x:v>
      </x:c>
    </x:row>
    <x:row r="239">
      <x:c r="A239" s="39" t="n">
        <x:v>2000</x:v>
      </x:c>
      <x:c r="B239" s="39" t="str">
        <x:v>Tlalpan</x:v>
      </x:c>
      <x:c r="C239" s="56" t="n">
        <x:v>581781</x:v>
      </x:c>
      <x:c r="D239" s="56" t="n">
        <x:f>MIN(SUMIFS('Park Catalog'!$E:$E,'Park Catalog'!$A:$A,$B239,'Park Catalog'!$G:$G,"&lt;="&amp;$A239,'Park Catalog'!$H:$H,TRUE),$F239)</x:f>
        <x:v>0</x:v>
      </x:c>
      <x:c r="E239" s="57" t="n">
        <x:f>IFERROR($D239/$C239,"")</x:f>
        <x:v>0</x:v>
      </x:c>
      <x:c r="F239" s="58" t="n">
        <x:v>6530744.7</x:v>
      </x:c>
      <x:c r="G239" s="58" t="n">
        <x:f>IFERROR($F239/$C239,"")</x:f>
        <x:v>11.225434828569513</x:v>
      </x:c>
      <x:c r="H239" s="59" t="n">
        <x:f>IFERROR($D239/$F239,"")</x:f>
        <x:v>0</x:v>
      </x:c>
      <x:c r="I239" s="39" t="str">
        <x:v>Historical reconstruction from dated major parks; compare with current SEDEMA total.</x:v>
      </x:c>
    </x:row>
    <x:row r="240">
      <x:c r="A240" s="39" t="n">
        <x:v>2000</x:v>
      </x:c>
      <x:c r="B240" s="39" t="str">
        <x:v>Venustiano Carranza</x:v>
      </x:c>
      <x:c r="C240" s="56" t="n">
        <x:v>462806</x:v>
      </x:c>
      <x:c r="D240" s="56" t="n">
        <x:f>MIN(SUMIFS('Park Catalog'!$E:$E,'Park Catalog'!$A:$A,$B240,'Park Catalog'!$G:$G,"&lt;="&amp;$A240,'Park Catalog'!$H:$H,TRUE),$F240)</x:f>
        <x:v>0</x:v>
      </x:c>
      <x:c r="E240" s="57" t="n">
        <x:f>IFERROR($D240/$C240,"")</x:f>
        <x:v>0</x:v>
      </x:c>
      <x:c r="F240" s="58" t="n">
        <x:v>5805150.1</x:v>
      </x:c>
      <x:c r="G240" s="58" t="n">
        <x:f>IFERROR($F240/$C240,"")</x:f>
        <x:v>12.543376922511808</x:v>
      </x:c>
      <x:c r="H240" s="59" t="n">
        <x:f>IFERROR($D240/$F240,"")</x:f>
        <x:v>0</x:v>
      </x:c>
      <x:c r="I240" s="39" t="str">
        <x:v>Historical reconstruction from dated major parks; compare with current SEDEMA total.</x:v>
      </x:c>
    </x:row>
    <x:row r="241">
      <x:c r="A241" s="39" t="n">
        <x:v>2000</x:v>
      </x:c>
      <x:c r="B241" s="39" t="str">
        <x:v>Xochimilco</x:v>
      </x:c>
      <x:c r="C241" s="56" t="n">
        <x:v>369787</x:v>
      </x:c>
      <x:c r="D241" s="56" t="n">
        <x:f>MIN(SUMIFS('Park Catalog'!$E:$E,'Park Catalog'!$A:$A,$B241,'Park Catalog'!$G:$G,"&lt;="&amp;$A241,'Park Catalog'!$H:$H,TRUE),$F241)</x:f>
        <x:v>0</x:v>
      </x:c>
      <x:c r="E241" s="57" t="n">
        <x:f>IFERROR($D241/$C241,"")</x:f>
        <x:v>0</x:v>
      </x:c>
      <x:c r="F241" s="58" t="n">
        <x:v>2092259.6</x:v>
      </x:c>
      <x:c r="G241" s="58" t="n">
        <x:f>IFERROR($F241/$C241,"")</x:f>
        <x:v>5.658012856049564</x:v>
      </x:c>
      <x:c r="H241" s="59" t="n">
        <x:f>IFERROR($D241/$F241,"")</x:f>
        <x:v>0</x:v>
      </x:c>
      <x:c r="I241" s="39" t="str">
        <x:v>Historical reconstruction from dated major parks; compare with current SEDEMA total.</x:v>
      </x:c>
    </x:row>
    <x:row r="242">
      <x:c r="A242" s="39" t="n">
        <x:v>2010</x:v>
      </x:c>
      <x:c r="B242" s="39" t="str">
        <x:v>Álvaro Obregón</x:v>
      </x:c>
      <x:c r="C242" s="56" t="n">
        <x:v>727034</x:v>
      </x:c>
      <x:c r="D242" s="56" t="n">
        <x:f>MIN(SUMIFS('Park Catalog'!$E:$E,'Park Catalog'!$A:$A,$B242,'Park Catalog'!$G:$G,"&lt;="&amp;$A242,'Park Catalog'!$H:$H,TRUE),$F242)</x:f>
        <x:v>0</x:v>
      </x:c>
      <x:c r="E242" s="57" t="n">
        <x:f>IFERROR($D242/$C242,"")</x:f>
        <x:v>0</x:v>
      </x:c>
      <x:c r="F242" s="58" t="n">
        <x:v>4913463.7</x:v>
      </x:c>
      <x:c r="G242" s="58" t="n">
        <x:f>IFERROR($F242/$C242,"")</x:f>
        <x:v>6.758230976818141</x:v>
      </x:c>
      <x:c r="H242" s="59" t="n">
        <x:f>IFERROR($D242/$F242,"")</x:f>
        <x:v>0</x:v>
      </x:c>
      <x:c r="I242" s="39" t="str">
        <x:v>Historical reconstruction from dated major parks; compare with current SEDEMA total.</x:v>
      </x:c>
    </x:row>
    <x:row r="243">
      <x:c r="A243" s="39" t="n">
        <x:v>2010</x:v>
      </x:c>
      <x:c r="B243" s="39" t="str">
        <x:v>Azcapotzalco</x:v>
      </x:c>
      <x:c r="C243" s="56" t="n">
        <x:v>414711</x:v>
      </x:c>
      <x:c r="D243" s="56" t="n">
        <x:f>MIN(SUMIFS('Park Catalog'!$E:$E,'Park Catalog'!$A:$A,$B243,'Park Catalog'!$G:$G,"&lt;="&amp;$A243,'Park Catalog'!$H:$H,TRUE),$F243)</x:f>
        <x:v>0</x:v>
      </x:c>
      <x:c r="E243" s="57" t="n">
        <x:f>IFERROR($D243/$C243,"")</x:f>
        <x:v>0</x:v>
      </x:c>
      <x:c r="F243" s="58" t="n">
        <x:v>3980866.7</x:v>
      </x:c>
      <x:c r="G243" s="58" t="n">
        <x:f>IFERROR($F243/$C243,"")</x:f>
        <x:v>9.599134578055562</x:v>
      </x:c>
      <x:c r="H243" s="59" t="n">
        <x:f>IFERROR($D243/$F243,"")</x:f>
        <x:v>0</x:v>
      </x:c>
      <x:c r="I243" s="39" t="str">
        <x:v>Historical reconstruction from dated major parks; compare with current SEDEMA total.</x:v>
      </x:c>
    </x:row>
    <x:row r="244">
      <x:c r="A244" s="39" t="n">
        <x:v>2010</x:v>
      </x:c>
      <x:c r="B244" s="39" t="str">
        <x:v>Benito Juárez</x:v>
      </x:c>
      <x:c r="C244" s="56" t="n">
        <x:v>385439</x:v>
      </x:c>
      <x:c r="D244" s="56" t="n">
        <x:f>MIN(SUMIFS('Park Catalog'!$E:$E,'Park Catalog'!$A:$A,$B244,'Park Catalog'!$G:$G,"&lt;="&amp;$A244,'Park Catalog'!$H:$H,TRUE),$F244)</x:f>
        <x:v>0</x:v>
      </x:c>
      <x:c r="E244" s="57" t="n">
        <x:f>IFERROR($D244/$C244,"")</x:f>
        <x:v>0</x:v>
      </x:c>
      <x:c r="F244" s="58" t="n">
        <x:v>929230.8</x:v>
      </x:c>
      <x:c r="G244" s="58" t="n">
        <x:f>IFERROR($F244/$C244,"")</x:f>
        <x:v>2.410837512550624</x:v>
      </x:c>
      <x:c r="H244" s="59" t="n">
        <x:f>IFERROR($D244/$F244,"")</x:f>
        <x:v>0</x:v>
      </x:c>
      <x:c r="I244" s="39" t="str">
        <x:v>Historical reconstruction from dated major parks; compare with current SEDEMA total.</x:v>
      </x:c>
    </x:row>
    <x:row r="245">
      <x:c r="A245" s="39" t="n">
        <x:v>2010</x:v>
      </x:c>
      <x:c r="B245" s="39" t="str">
        <x:v>Coyoacán</x:v>
      </x:c>
      <x:c r="C245" s="56" t="n">
        <x:v>620416</x:v>
      </x:c>
      <x:c r="D245" s="56" t="n">
        <x:f>MIN(SUMIFS('Park Catalog'!$E:$E,'Park Catalog'!$A:$A,$B245,'Park Catalog'!$G:$G,"&lt;="&amp;$A245,'Park Catalog'!$H:$H,TRUE),$F245)</x:f>
        <x:v>0</x:v>
      </x:c>
      <x:c r="E245" s="57" t="n">
        <x:f>IFERROR($D245/$C245,"")</x:f>
        <x:v>0</x:v>
      </x:c>
      <x:c r="F245" s="58" t="n">
        <x:v>9157547.7</x:v>
      </x:c>
      <x:c r="G245" s="58" t="n">
        <x:f>IFERROR($F245/$C245,"")</x:f>
        <x:v>14.760334517485042</x:v>
      </x:c>
      <x:c r="H245" s="59" t="n">
        <x:f>IFERROR($D245/$F245,"")</x:f>
        <x:v>0</x:v>
      </x:c>
      <x:c r="I245" s="39" t="str">
        <x:v>Historical reconstruction from dated major parks; compare with current SEDEMA total.</x:v>
      </x:c>
    </x:row>
    <x:row r="246">
      <x:c r="A246" s="39" t="n">
        <x:v>2010</x:v>
      </x:c>
      <x:c r="B246" s="39" t="str">
        <x:v>Cuajimalpa de Morelos</x:v>
      </x:c>
      <x:c r="C246" s="56" t="n">
        <x:v>186391</x:v>
      </x:c>
      <x:c r="D246" s="56" t="n">
        <x:f>MIN(SUMIFS('Park Catalog'!$E:$E,'Park Catalog'!$A:$A,$B246,'Park Catalog'!$G:$G,"&lt;="&amp;$A246,'Park Catalog'!$H:$H,TRUE),$F246)</x:f>
        <x:v>0</x:v>
      </x:c>
      <x:c r="E246" s="57" t="n">
        <x:f>IFERROR($D246/$C246,"")</x:f>
        <x:v>0</x:v>
      </x:c>
      <x:c r="F246" s="58" t="n">
        <x:v>2048957.7</x:v>
      </x:c>
      <x:c r="G246" s="58" t="n">
        <x:f>IFERROR($F246/$C246,"")</x:f>
        <x:v>10.992793106963319</x:v>
      </x:c>
      <x:c r="H246" s="59" t="n">
        <x:f>IFERROR($D246/$F246,"")</x:f>
        <x:v>0</x:v>
      </x:c>
      <x:c r="I246" s="39" t="str">
        <x:v>Historical reconstruction from dated major parks; compare with current SEDEMA total.</x:v>
      </x:c>
    </x:row>
    <x:row r="247">
      <x:c r="A247" s="39" t="n">
        <x:v>2010</x:v>
      </x:c>
      <x:c r="B247" s="39" t="str">
        <x:v>Cuauhtémoc</x:v>
      </x:c>
      <x:c r="C247" s="56" t="n">
        <x:v>531831</x:v>
      </x:c>
      <x:c r="D247" s="56" t="n">
        <x:f>MIN(SUMIFS('Park Catalog'!$E:$E,'Park Catalog'!$A:$A,$B247,'Park Catalog'!$G:$G,"&lt;="&amp;$A247,'Park Catalog'!$H:$H,TRUE),$F247)</x:f>
        <x:v>0</x:v>
      </x:c>
      <x:c r="E247" s="57" t="n">
        <x:f>IFERROR($D247/$C247,"")</x:f>
        <x:v>0</x:v>
      </x:c>
      <x:c r="F247" s="58" t="n">
        <x:v>1915961</x:v>
      </x:c>
      <x:c r="G247" s="58" t="n">
        <x:f>IFERROR($F247/$C247,"")</x:f>
        <x:v>3.6025748781097753</x:v>
      </x:c>
      <x:c r="H247" s="59" t="n">
        <x:f>IFERROR($D247/$F247,"")</x:f>
        <x:v>0</x:v>
      </x:c>
      <x:c r="I247" s="39" t="str">
        <x:v>Historical reconstruction from dated major parks; compare with current SEDEMA total.</x:v>
      </x:c>
    </x:row>
    <x:row r="248">
      <x:c r="A248" s="39" t="n">
        <x:v>2010</x:v>
      </x:c>
      <x:c r="B248" s="39" t="str">
        <x:v>Gustavo A. Madero</x:v>
      </x:c>
      <x:c r="C248" s="56" t="n">
        <x:v>1185772</x:v>
      </x:c>
      <x:c r="D248" s="56" t="n">
        <x:f>MIN(SUMIFS('Park Catalog'!$E:$E,'Park Catalog'!$A:$A,$B248,'Park Catalog'!$G:$G,"&lt;="&amp;$A248,'Park Catalog'!$H:$H,TRUE),$F248)</x:f>
        <x:v>0</x:v>
      </x:c>
      <x:c r="E248" s="57" t="n">
        <x:f>IFERROR($D248/$C248,"")</x:f>
        <x:v>0</x:v>
      </x:c>
      <x:c r="F248" s="58" t="n">
        <x:v>7851619.6</x:v>
      </x:c>
      <x:c r="G248" s="58" t="n">
        <x:f>IFERROR($F248/$C248,"")</x:f>
        <x:v>6.6215255546597485</x:v>
      </x:c>
      <x:c r="H248" s="59" t="n">
        <x:f>IFERROR($D248/$F248,"")</x:f>
        <x:v>0</x:v>
      </x:c>
      <x:c r="I248" s="39" t="str">
        <x:v>Historical reconstruction from dated major parks; compare with current SEDEMA total.</x:v>
      </x:c>
    </x:row>
    <x:row r="249">
      <x:c r="A249" s="39" t="n">
        <x:v>2010</x:v>
      </x:c>
      <x:c r="B249" s="39" t="str">
        <x:v>Iztacalco</x:v>
      </x:c>
      <x:c r="C249" s="56" t="n">
        <x:v>384326</x:v>
      </x:c>
      <x:c r="D249" s="56" t="n">
        <x:f>MIN(SUMIFS('Park Catalog'!$E:$E,'Park Catalog'!$A:$A,$B249,'Park Catalog'!$G:$G,"&lt;="&amp;$A249,'Park Catalog'!$H:$H,TRUE),$F249)</x:f>
        <x:v>0</x:v>
      </x:c>
      <x:c r="E249" s="57" t="n">
        <x:f>IFERROR($D249/$C249,"")</x:f>
        <x:v>0</x:v>
      </x:c>
      <x:c r="F249" s="58" t="n">
        <x:v>1944289</x:v>
      </x:c>
      <x:c r="G249" s="58" t="n">
        <x:f>IFERROR($F249/$C249,"")</x:f>
        <x:v>5.058957759818488</x:v>
      </x:c>
      <x:c r="H249" s="59" t="n">
        <x:f>IFERROR($D249/$F249,"")</x:f>
        <x:v>0</x:v>
      </x:c>
      <x:c r="I249" s="39" t="str">
        <x:v>Historical reconstruction from dated major parks; compare with current SEDEMA total.</x:v>
      </x:c>
    </x:row>
    <x:row r="250">
      <x:c r="A250" s="39" t="n">
        <x:v>2010</x:v>
      </x:c>
      <x:c r="B250" s="39" t="str">
        <x:v>Iztapalapa</x:v>
      </x:c>
      <x:c r="C250" s="56" t="n">
        <x:v>1815786</x:v>
      </x:c>
      <x:c r="D250" s="56" t="n">
        <x:f>MIN(SUMIFS('Park Catalog'!$E:$E,'Park Catalog'!$A:$A,$B250,'Park Catalog'!$G:$G,"&lt;="&amp;$A250,'Park Catalog'!$H:$H,TRUE),$F250)</x:f>
        <x:v>0</x:v>
      </x:c>
      <x:c r="E250" s="57" t="n">
        <x:f>IFERROR($D250/$C250,"")</x:f>
        <x:v>0</x:v>
      </x:c>
      <x:c r="F250" s="58" t="n">
        <x:v>9834858.6</x:v>
      </x:c>
      <x:c r="G250" s="58" t="n">
        <x:f>IFERROR($F250/$C250,"")</x:f>
        <x:v>5.416309300765619</x:v>
      </x:c>
      <x:c r="H250" s="59" t="n">
        <x:f>IFERROR($D250/$F250,"")</x:f>
        <x:v>0</x:v>
      </x:c>
      <x:c r="I250" s="39" t="str">
        <x:v>Historical reconstruction from dated major parks; compare with current SEDEMA total.</x:v>
      </x:c>
    </x:row>
    <x:row r="251">
      <x:c r="A251" s="39" t="n">
        <x:v>2010</x:v>
      </x:c>
      <x:c r="B251" s="39" t="str">
        <x:v>La Magdalena Contreras</x:v>
      </x:c>
      <x:c r="C251" s="56" t="n">
        <x:v>239086</x:v>
      </x:c>
      <x:c r="D251" s="56" t="n">
        <x:f>MIN(SUMIFS('Park Catalog'!$E:$E,'Park Catalog'!$A:$A,$B251,'Park Catalog'!$G:$G,"&lt;="&amp;$A251,'Park Catalog'!$H:$H,TRUE),$F251)</x:f>
        <x:v>0</x:v>
      </x:c>
      <x:c r="E251" s="57" t="n">
        <x:f>IFERROR($D251/$C251,"")</x:f>
        <x:v>0</x:v>
      </x:c>
      <x:c r="F251" s="58" t="n">
        <x:v>1335114.4</x:v>
      </x:c>
      <x:c r="G251" s="58" t="n">
        <x:f>IFERROR($F251/$C251,"")</x:f>
        <x:v>5.584243326669064</x:v>
      </x:c>
      <x:c r="H251" s="59" t="n">
        <x:f>IFERROR($D251/$F251,"")</x:f>
        <x:v>0</x:v>
      </x:c>
      <x:c r="I251" s="39" t="str">
        <x:v>Historical reconstruction from dated major parks; compare with current SEDEMA total.</x:v>
      </x:c>
    </x:row>
    <x:row r="252">
      <x:c r="A252" s="39" t="n">
        <x:v>2010</x:v>
      </x:c>
      <x:c r="B252" s="39" t="str">
        <x:v>Miguel Hidalgo</x:v>
      </x:c>
      <x:c r="C252" s="56" t="n">
        <x:v>372889</x:v>
      </x:c>
      <x:c r="D252" s="56" t="n">
        <x:f>MIN(SUMIFS('Park Catalog'!$E:$E,'Park Catalog'!$A:$A,$B252,'Park Catalog'!$G:$G,"&lt;="&amp;$A252,'Park Catalog'!$H:$H,TRUE),$F252)</x:f>
        <x:v>0</x:v>
      </x:c>
      <x:c r="E252" s="57" t="n">
        <x:f>IFERROR($D252/$C252,"")</x:f>
        <x:v>0</x:v>
      </x:c>
      <x:c r="F252" s="58" t="n">
        <x:v>5607701.5</x:v>
      </x:c>
      <x:c r="G252" s="58" t="n">
        <x:f>IFERROR($F252/$C252,"")</x:f>
        <x:v>15.038527551094294</x:v>
      </x:c>
      <x:c r="H252" s="59" t="n">
        <x:f>IFERROR($D252/$F252,"")</x:f>
        <x:v>0</x:v>
      </x:c>
      <x:c r="I252" s="39" t="str">
        <x:v>Historical reconstruction from dated major parks; compare with current SEDEMA total.</x:v>
      </x:c>
    </x:row>
    <x:row r="253">
      <x:c r="A253" s="39" t="n">
        <x:v>2010</x:v>
      </x:c>
      <x:c r="B253" s="39" t="str">
        <x:v>Milpa Alta</x:v>
      </x:c>
      <x:c r="C253" s="56" t="n">
        <x:v>130582</x:v>
      </x:c>
      <x:c r="D253" s="56" t="n">
        <x:f>MIN(SUMIFS('Park Catalog'!$E:$E,'Park Catalog'!$A:$A,$B253,'Park Catalog'!$G:$G,"&lt;="&amp;$A253,'Park Catalog'!$H:$H,TRUE),$F253)</x:f>
        <x:v>0</x:v>
      </x:c>
      <x:c r="E253" s="57" t="n">
        <x:f>IFERROR($D253/$C253,"")</x:f>
        <x:v>0</x:v>
      </x:c>
      <x:c r="F253" s="58" t="n">
        <x:v>309724</x:v>
      </x:c>
      <x:c r="G253" s="58" t="n">
        <x:f>IFERROR($F253/$C253,"")</x:f>
        <x:v>2.371873611983275</x:v>
      </x:c>
      <x:c r="H253" s="59" t="n">
        <x:f>IFERROR($D253/$F253,"")</x:f>
        <x:v>0</x:v>
      </x:c>
      <x:c r="I253" s="39" t="str">
        <x:v>Historical reconstruction from dated major parks; compare with current SEDEMA total.</x:v>
      </x:c>
    </x:row>
    <x:row r="254">
      <x:c r="A254" s="39" t="n">
        <x:v>2010</x:v>
      </x:c>
      <x:c r="B254" s="39" t="str">
        <x:v>Tláhuac</x:v>
      </x:c>
      <x:c r="C254" s="56" t="n">
        <x:v>360265</x:v>
      </x:c>
      <x:c r="D254" s="56" t="n">
        <x:f>MIN(SUMIFS('Park Catalog'!$E:$E,'Park Catalog'!$A:$A,$B254,'Park Catalog'!$G:$G,"&lt;="&amp;$A254,'Park Catalog'!$H:$H,TRUE),$F254)</x:f>
        <x:v>0</x:v>
      </x:c>
      <x:c r="E254" s="57" t="n">
        <x:f>IFERROR($D254/$C254,"")</x:f>
        <x:v>0</x:v>
      </x:c>
      <x:c r="F254" s="58" t="n">
        <x:v>3054084.7</x:v>
      </x:c>
      <x:c r="G254" s="58" t="n">
        <x:f>IFERROR($F254/$C254,"")</x:f>
        <x:v>8.477328355516079</x:v>
      </x:c>
      <x:c r="H254" s="59" t="n">
        <x:f>IFERROR($D254/$F254,"")</x:f>
        <x:v>0</x:v>
      </x:c>
      <x:c r="I254" s="39" t="str">
        <x:v>Historical reconstruction from dated major parks; compare with current SEDEMA total.</x:v>
      </x:c>
    </x:row>
    <x:row r="255">
      <x:c r="A255" s="39" t="n">
        <x:v>2010</x:v>
      </x:c>
      <x:c r="B255" s="39" t="str">
        <x:v>Tlalpan</x:v>
      </x:c>
      <x:c r="C255" s="56" t="n">
        <x:v>650567</x:v>
      </x:c>
      <x:c r="D255" s="56" t="n">
        <x:f>MIN(SUMIFS('Park Catalog'!$E:$E,'Park Catalog'!$A:$A,$B255,'Park Catalog'!$G:$G,"&lt;="&amp;$A255,'Park Catalog'!$H:$H,TRUE),$F255)</x:f>
        <x:v>0</x:v>
      </x:c>
      <x:c r="E255" s="57" t="n">
        <x:f>IFERROR($D255/$C255,"")</x:f>
        <x:v>0</x:v>
      </x:c>
      <x:c r="F255" s="58" t="n">
        <x:v>6530744.7</x:v>
      </x:c>
      <x:c r="G255" s="58" t="n">
        <x:f>IFERROR($F255/$C255,"")</x:f>
        <x:v>10.038542840322366</x:v>
      </x:c>
      <x:c r="H255" s="59" t="n">
        <x:f>IFERROR($D255/$F255,"")</x:f>
        <x:v>0</x:v>
      </x:c>
      <x:c r="I255" s="39" t="str">
        <x:v>Historical reconstruction from dated major parks; compare with current SEDEMA total.</x:v>
      </x:c>
    </x:row>
    <x:row r="256">
      <x:c r="A256" s="39" t="n">
        <x:v>2010</x:v>
      </x:c>
      <x:c r="B256" s="39" t="str">
        <x:v>Venustiano Carranza</x:v>
      </x:c>
      <x:c r="C256" s="56" t="n">
        <x:v>430978</x:v>
      </x:c>
      <x:c r="D256" s="56" t="n">
        <x:f>MIN(SUMIFS('Park Catalog'!$E:$E,'Park Catalog'!$A:$A,$B256,'Park Catalog'!$G:$G,"&lt;="&amp;$A256,'Park Catalog'!$H:$H,TRUE),$F256)</x:f>
        <x:v>0</x:v>
      </x:c>
      <x:c r="E256" s="57" t="n">
        <x:f>IFERROR($D256/$C256,"")</x:f>
        <x:v>0</x:v>
      </x:c>
      <x:c r="F256" s="58" t="n">
        <x:v>5805150.1</x:v>
      </x:c>
      <x:c r="G256" s="58" t="n">
        <x:f>IFERROR($F256/$C256,"")</x:f>
        <x:v>13.469713303231254</x:v>
      </x:c>
      <x:c r="H256" s="59" t="n">
        <x:f>IFERROR($D256/$F256,"")</x:f>
        <x:v>0</x:v>
      </x:c>
      <x:c r="I256" s="39" t="str">
        <x:v>Historical reconstruction from dated major parks; compare with current SEDEMA total.</x:v>
      </x:c>
    </x:row>
    <x:row r="257">
      <x:c r="A257" s="39" t="n">
        <x:v>2010</x:v>
      </x:c>
      <x:c r="B257" s="39" t="str">
        <x:v>Xochimilco</x:v>
      </x:c>
      <x:c r="C257" s="56" t="n">
        <x:v>415007</x:v>
      </x:c>
      <x:c r="D257" s="56" t="n">
        <x:f>MIN(SUMIFS('Park Catalog'!$E:$E,'Park Catalog'!$A:$A,$B257,'Park Catalog'!$G:$G,"&lt;="&amp;$A257,'Park Catalog'!$H:$H,TRUE),$F257)</x:f>
        <x:v>0</x:v>
      </x:c>
      <x:c r="E257" s="57" t="n">
        <x:f>IFERROR($D257/$C257,"")</x:f>
        <x:v>0</x:v>
      </x:c>
      <x:c r="F257" s="58" t="n">
        <x:v>2092259.6</x:v>
      </x:c>
      <x:c r="G257" s="58" t="n">
        <x:f>IFERROR($F257/$C257,"")</x:f>
        <x:v>5.041504360167419</x:v>
      </x:c>
      <x:c r="H257" s="59" t="n">
        <x:f>IFERROR($D257/$F257,"")</x:f>
        <x:v>0</x:v>
      </x:c>
      <x:c r="I257" s="39" t="str">
        <x:v>Historical reconstruction from dated major parks; compare with current SEDEMA total.</x:v>
      </x:c>
    </x:row>
    <x:row r="258">
      <x:c r="A258" s="39" t="n">
        <x:v>2020</x:v>
      </x:c>
      <x:c r="B258" s="39" t="str">
        <x:v>Álvaro Obregón</x:v>
      </x:c>
      <x:c r="C258" s="56" t="n">
        <x:v>759137</x:v>
      </x:c>
      <x:c r="D258" s="56" t="n">
        <x:f>MIN(SUMIFS('Park Catalog'!$E:$E,'Park Catalog'!$A:$A,$B258,'Park Catalog'!$G:$G,"&lt;="&amp;$A258,'Park Catalog'!$H:$H,TRUE),$F258)</x:f>
        <x:v>0</x:v>
      </x:c>
      <x:c r="E258" s="57" t="n">
        <x:f>IFERROR($D258/$C258,"")</x:f>
        <x:v>0</x:v>
      </x:c>
      <x:c r="F258" s="58" t="n">
        <x:v>4913463.7</x:v>
      </x:c>
      <x:c r="G258" s="58" t="n">
        <x:f>IFERROR($F258/$C258,"")</x:f>
        <x:v>6.472433434281296</x:v>
      </x:c>
      <x:c r="H258" s="59" t="n">
        <x:f>IFERROR($D258/$F258,"")</x:f>
        <x:v>0</x:v>
      </x:c>
      <x:c r="I258" s="39" t="str">
        <x:v>Historical reconstruction from dated major parks; compare with current SEDEMA total.</x:v>
      </x:c>
    </x:row>
    <x:row r="259">
      <x:c r="A259" s="39" t="n">
        <x:v>2020</x:v>
      </x:c>
      <x:c r="B259" s="39" t="str">
        <x:v>Azcapotzalco</x:v>
      </x:c>
      <x:c r="C259" s="56" t="n">
        <x:v>432205</x:v>
      </x:c>
      <x:c r="D259" s="56" t="n">
        <x:f>MIN(SUMIFS('Park Catalog'!$E:$E,'Park Catalog'!$A:$A,$B259,'Park Catalog'!$G:$G,"&lt;="&amp;$A259,'Park Catalog'!$H:$H,TRUE),$F259)</x:f>
        <x:v>0</x:v>
      </x:c>
      <x:c r="E259" s="57" t="n">
        <x:f>IFERROR($D259/$C259,"")</x:f>
        <x:v>0</x:v>
      </x:c>
      <x:c r="F259" s="58" t="n">
        <x:v>3980866.7</x:v>
      </x:c>
      <x:c r="G259" s="58" t="n">
        <x:f>IFERROR($F259/$C259,"")</x:f>
        <x:v>9.210598442868546</x:v>
      </x:c>
      <x:c r="H259" s="59" t="n">
        <x:f>IFERROR($D259/$F259,"")</x:f>
        <x:v>0</x:v>
      </x:c>
      <x:c r="I259" s="39" t="str">
        <x:v>Historical reconstruction from dated major parks; compare with current SEDEMA total.</x:v>
      </x:c>
    </x:row>
    <x:row r="260">
      <x:c r="A260" s="39" t="n">
        <x:v>2020</x:v>
      </x:c>
      <x:c r="B260" s="39" t="str">
        <x:v>Benito Juárez</x:v>
      </x:c>
      <x:c r="C260" s="56" t="n">
        <x:v>434153</x:v>
      </x:c>
      <x:c r="D260" s="56" t="n">
        <x:f>MIN(SUMIFS('Park Catalog'!$E:$E,'Park Catalog'!$A:$A,$B260,'Park Catalog'!$G:$G,"&lt;="&amp;$A260,'Park Catalog'!$H:$H,TRUE),$F260)</x:f>
        <x:v>0</x:v>
      </x:c>
      <x:c r="E260" s="57" t="n">
        <x:f>IFERROR($D260/$C260,"")</x:f>
        <x:v>0</x:v>
      </x:c>
      <x:c r="F260" s="58" t="n">
        <x:v>929230.8</x:v>
      </x:c>
      <x:c r="G260" s="58" t="n">
        <x:f>IFERROR($F260/$C260,"")</x:f>
        <x:v>2.1403302522382663</x:v>
      </x:c>
      <x:c r="H260" s="59" t="n">
        <x:f>IFERROR($D260/$F260,"")</x:f>
        <x:v>0</x:v>
      </x:c>
      <x:c r="I260" s="39" t="str">
        <x:v>Historical reconstruction from dated major parks; compare with current SEDEMA total.</x:v>
      </x:c>
    </x:row>
    <x:row r="261">
      <x:c r="A261" s="39" t="n">
        <x:v>2020</x:v>
      </x:c>
      <x:c r="B261" s="39" t="str">
        <x:v>Coyoacán</x:v>
      </x:c>
      <x:c r="C261" s="56" t="n">
        <x:v>614447</x:v>
      </x:c>
      <x:c r="D261" s="56" t="n">
        <x:f>MIN(SUMIFS('Park Catalog'!$E:$E,'Park Catalog'!$A:$A,$B261,'Park Catalog'!$G:$G,"&lt;="&amp;$A261,'Park Catalog'!$H:$H,TRUE),$F261)</x:f>
        <x:v>0</x:v>
      </x:c>
      <x:c r="E261" s="57" t="n">
        <x:f>IFERROR($D261/$C261,"")</x:f>
        <x:v>0</x:v>
      </x:c>
      <x:c r="F261" s="58" t="n">
        <x:v>9157547.7</x:v>
      </x:c>
      <x:c r="G261" s="58" t="n">
        <x:f>IFERROR($F261/$C261,"")</x:f>
        <x:v>14.903722696994206</x:v>
      </x:c>
      <x:c r="H261" s="59" t="n">
        <x:f>IFERROR($D261/$F261,"")</x:f>
        <x:v>0</x:v>
      </x:c>
      <x:c r="I261" s="39" t="str">
        <x:v>Historical reconstruction from dated major parks; compare with current SEDEMA total.</x:v>
      </x:c>
    </x:row>
    <x:row r="262">
      <x:c r="A262" s="39" t="n">
        <x:v>2020</x:v>
      </x:c>
      <x:c r="B262" s="39" t="str">
        <x:v>Cuajimalpa de Morelos</x:v>
      </x:c>
      <x:c r="C262" s="56" t="n">
        <x:v>217686</x:v>
      </x:c>
      <x:c r="D262" s="56" t="n">
        <x:f>MIN(SUMIFS('Park Catalog'!$E:$E,'Park Catalog'!$A:$A,$B262,'Park Catalog'!$G:$G,"&lt;="&amp;$A262,'Park Catalog'!$H:$H,TRUE),$F262)</x:f>
        <x:v>0</x:v>
      </x:c>
      <x:c r="E262" s="57" t="n">
        <x:f>IFERROR($D262/$C262,"")</x:f>
        <x:v>0</x:v>
      </x:c>
      <x:c r="F262" s="58" t="n">
        <x:v>2048957.7</x:v>
      </x:c>
      <x:c r="G262" s="58" t="n">
        <x:f>IFERROR($F262/$C262,"")</x:f>
        <x:v>9.412445908326672</x:v>
      </x:c>
      <x:c r="H262" s="59" t="n">
        <x:f>IFERROR($D262/$F262,"")</x:f>
        <x:v>0</x:v>
      </x:c>
      <x:c r="I262" s="39" t="str">
        <x:v>Historical reconstruction from dated major parks; compare with current SEDEMA total.</x:v>
      </x:c>
    </x:row>
    <x:row r="263">
      <x:c r="A263" s="39" t="n">
        <x:v>2020</x:v>
      </x:c>
      <x:c r="B263" s="39" t="str">
        <x:v>Cuauhtémoc</x:v>
      </x:c>
      <x:c r="C263" s="56" t="n">
        <x:v>545884</x:v>
      </x:c>
      <x:c r="D263" s="56" t="n">
        <x:f>MIN(SUMIFS('Park Catalog'!$E:$E,'Park Catalog'!$A:$A,$B263,'Park Catalog'!$G:$G,"&lt;="&amp;$A263,'Park Catalog'!$H:$H,TRUE),$F263)</x:f>
        <x:v>0</x:v>
      </x:c>
      <x:c r="E263" s="57" t="n">
        <x:f>IFERROR($D263/$C263,"")</x:f>
        <x:v>0</x:v>
      </x:c>
      <x:c r="F263" s="58" t="n">
        <x:v>1915961</x:v>
      </x:c>
      <x:c r="G263" s="58" t="n">
        <x:f>IFERROR($F263/$C263,"")</x:f>
        <x:v>3.509831759128313</x:v>
      </x:c>
      <x:c r="H263" s="59" t="n">
        <x:f>IFERROR($D263/$F263,"")</x:f>
        <x:v>0</x:v>
      </x:c>
      <x:c r="I263" s="39" t="str">
        <x:v>Historical reconstruction from dated major parks; compare with current SEDEMA total.</x:v>
      </x:c>
    </x:row>
    <x:row r="264">
      <x:c r="A264" s="39" t="n">
        <x:v>2020</x:v>
      </x:c>
      <x:c r="B264" s="39" t="str">
        <x:v>Gustavo A. Madero</x:v>
      </x:c>
      <x:c r="C264" s="56" t="n">
        <x:v>1173351</x:v>
      </x:c>
      <x:c r="D264" s="56" t="n">
        <x:f>MIN(SUMIFS('Park Catalog'!$E:$E,'Park Catalog'!$A:$A,$B264,'Park Catalog'!$G:$G,"&lt;="&amp;$A264,'Park Catalog'!$H:$H,TRUE),$F264)</x:f>
        <x:v>0</x:v>
      </x:c>
      <x:c r="E264" s="57" t="n">
        <x:f>IFERROR($D264/$C264,"")</x:f>
        <x:v>0</x:v>
      </x:c>
      <x:c r="F264" s="58" t="n">
        <x:v>7851619.6</x:v>
      </x:c>
      <x:c r="G264" s="58" t="n">
        <x:f>IFERROR($F264/$C264,"")</x:f>
        <x:v>6.691620495486857</x:v>
      </x:c>
      <x:c r="H264" s="59" t="n">
        <x:f>IFERROR($D264/$F264,"")</x:f>
        <x:v>0</x:v>
      </x:c>
      <x:c r="I264" s="39" t="str">
        <x:v>Historical reconstruction from dated major parks; compare with current SEDEMA total.</x:v>
      </x:c>
    </x:row>
    <x:row r="265">
      <x:c r="A265" s="39" t="n">
        <x:v>2020</x:v>
      </x:c>
      <x:c r="B265" s="39" t="str">
        <x:v>Iztacalco</x:v>
      </x:c>
      <x:c r="C265" s="56" t="n">
        <x:v>404695</x:v>
      </x:c>
      <x:c r="D265" s="56" t="n">
        <x:f>MIN(SUMIFS('Park Catalog'!$E:$E,'Park Catalog'!$A:$A,$B265,'Park Catalog'!$G:$G,"&lt;="&amp;$A265,'Park Catalog'!$H:$H,TRUE),$F265)</x:f>
        <x:v>0</x:v>
      </x:c>
      <x:c r="E265" s="57" t="n">
        <x:f>IFERROR($D265/$C265,"")</x:f>
        <x:v>0</x:v>
      </x:c>
      <x:c r="F265" s="58" t="n">
        <x:v>1944289</x:v>
      </x:c>
      <x:c r="G265" s="58" t="n">
        <x:f>IFERROR($F265/$C265,"")</x:f>
        <x:v>4.804331657173921</x:v>
      </x:c>
      <x:c r="H265" s="59" t="n">
        <x:f>IFERROR($D265/$F265,"")</x:f>
        <x:v>0</x:v>
      </x:c>
      <x:c r="I265" s="39" t="str">
        <x:v>Historical reconstruction from dated major parks; compare with current SEDEMA total.</x:v>
      </x:c>
    </x:row>
    <x:row r="266">
      <x:c r="A266" s="39" t="n">
        <x:v>2020</x:v>
      </x:c>
      <x:c r="B266" s="39" t="str">
        <x:v>Iztapalapa</x:v>
      </x:c>
      <x:c r="C266" s="56" t="n">
        <x:v>1835486</x:v>
      </x:c>
      <x:c r="D266" s="56" t="n">
        <x:f>MIN(SUMIFS('Park Catalog'!$E:$E,'Park Catalog'!$A:$A,$B266,'Park Catalog'!$G:$G,"&lt;="&amp;$A266,'Park Catalog'!$H:$H,TRUE),$F266)</x:f>
        <x:v>0</x:v>
      </x:c>
      <x:c r="E266" s="57" t="n">
        <x:f>IFERROR($D266/$C266,"")</x:f>
        <x:v>0</x:v>
      </x:c>
      <x:c r="F266" s="58" t="n">
        <x:v>9834858.6</x:v>
      </x:c>
      <x:c r="G266" s="58" t="n">
        <x:f>IFERROR($F266/$C266,"")</x:f>
        <x:v>5.358176853432823</x:v>
      </x:c>
      <x:c r="H266" s="59" t="n">
        <x:f>IFERROR($D266/$F266,"")</x:f>
        <x:v>0</x:v>
      </x:c>
      <x:c r="I266" s="39" t="str">
        <x:v>Historical reconstruction from dated major parks; compare with current SEDEMA total.</x:v>
      </x:c>
    </x:row>
    <x:row r="267">
      <x:c r="A267" s="39" t="n">
        <x:v>2020</x:v>
      </x:c>
      <x:c r="B267" s="39" t="str">
        <x:v>La Magdalena Contreras</x:v>
      </x:c>
      <x:c r="C267" s="56" t="n">
        <x:v>247622</x:v>
      </x:c>
      <x:c r="D267" s="56" t="n">
        <x:f>MIN(SUMIFS('Park Catalog'!$E:$E,'Park Catalog'!$A:$A,$B267,'Park Catalog'!$G:$G,"&lt;="&amp;$A267,'Park Catalog'!$H:$H,TRUE),$F267)</x:f>
        <x:v>0</x:v>
      </x:c>
      <x:c r="E267" s="57" t="n">
        <x:f>IFERROR($D267/$C267,"")</x:f>
        <x:v>0</x:v>
      </x:c>
      <x:c r="F267" s="58" t="n">
        <x:v>1335114.4</x:v>
      </x:c>
      <x:c r="G267" s="58" t="n">
        <x:f>IFERROR($F267/$C267,"")</x:f>
        <x:v>5.39174386766927</x:v>
      </x:c>
      <x:c r="H267" s="59" t="n">
        <x:f>IFERROR($D267/$F267,"")</x:f>
        <x:v>0</x:v>
      </x:c>
      <x:c r="I267" s="39" t="str">
        <x:v>Historical reconstruction from dated major parks; compare with current SEDEMA total.</x:v>
      </x:c>
    </x:row>
    <x:row r="268">
      <x:c r="A268" s="39" t="n">
        <x:v>2020</x:v>
      </x:c>
      <x:c r="B268" s="39" t="str">
        <x:v>Miguel Hidalgo</x:v>
      </x:c>
      <x:c r="C268" s="56" t="n">
        <x:v>414470</x:v>
      </x:c>
      <x:c r="D268" s="56" t="n">
        <x:f>MIN(SUMIFS('Park Catalog'!$E:$E,'Park Catalog'!$A:$A,$B268,'Park Catalog'!$G:$G,"&lt;="&amp;$A268,'Park Catalog'!$H:$H,TRUE),$F268)</x:f>
        <x:v>0</x:v>
      </x:c>
      <x:c r="E268" s="57" t="n">
        <x:f>IFERROR($D268/$C268,"")</x:f>
        <x:v>0</x:v>
      </x:c>
      <x:c r="F268" s="58" t="n">
        <x:v>5607701.5</x:v>
      </x:c>
      <x:c r="G268" s="58" t="n">
        <x:f>IFERROR($F268/$C268,"")</x:f>
        <x:v>13.529812772938934</x:v>
      </x:c>
      <x:c r="H268" s="59" t="n">
        <x:f>IFERROR($D268/$F268,"")</x:f>
        <x:v>0</x:v>
      </x:c>
      <x:c r="I268" s="39" t="str">
        <x:v>Historical reconstruction from dated major parks; compare with current SEDEMA total.</x:v>
      </x:c>
    </x:row>
    <x:row r="269">
      <x:c r="A269" s="39" t="n">
        <x:v>2020</x:v>
      </x:c>
      <x:c r="B269" s="39" t="str">
        <x:v>Milpa Alta</x:v>
      </x:c>
      <x:c r="C269" s="56" t="n">
        <x:v>152685</x:v>
      </x:c>
      <x:c r="D269" s="56" t="n">
        <x:f>MIN(SUMIFS('Park Catalog'!$E:$E,'Park Catalog'!$A:$A,$B269,'Park Catalog'!$G:$G,"&lt;="&amp;$A269,'Park Catalog'!$H:$H,TRUE),$F269)</x:f>
        <x:v>0</x:v>
      </x:c>
      <x:c r="E269" s="57" t="n">
        <x:f>IFERROR($D269/$C269,"")</x:f>
        <x:v>0</x:v>
      </x:c>
      <x:c r="F269" s="58" t="n">
        <x:v>309724</x:v>
      </x:c>
      <x:c r="G269" s="58" t="n">
        <x:f>IFERROR($F269/$C269,"")</x:f>
        <x:v>2.0285162262173757</x:v>
      </x:c>
      <x:c r="H269" s="59" t="n">
        <x:f>IFERROR($D269/$F269,"")</x:f>
        <x:v>0</x:v>
      </x:c>
      <x:c r="I269" s="39" t="str">
        <x:v>Historical reconstruction from dated major parks; compare with current SEDEMA total.</x:v>
      </x:c>
    </x:row>
    <x:row r="270">
      <x:c r="A270" s="39" t="n">
        <x:v>2020</x:v>
      </x:c>
      <x:c r="B270" s="39" t="str">
        <x:v>Tláhuac</x:v>
      </x:c>
      <x:c r="C270" s="56" t="n">
        <x:v>392313</x:v>
      </x:c>
      <x:c r="D270" s="56" t="n">
        <x:f>MIN(SUMIFS('Park Catalog'!$E:$E,'Park Catalog'!$A:$A,$B270,'Park Catalog'!$G:$G,"&lt;="&amp;$A270,'Park Catalog'!$H:$H,TRUE),$F270)</x:f>
        <x:v>0</x:v>
      </x:c>
      <x:c r="E270" s="57" t="n">
        <x:f>IFERROR($D270/$C270,"")</x:f>
        <x:v>0</x:v>
      </x:c>
      <x:c r="F270" s="58" t="n">
        <x:v>3054084.7</x:v>
      </x:c>
      <x:c r="G270" s="58" t="n">
        <x:f>IFERROR($F270/$C270,"")</x:f>
        <x:v>7.784816460326321</x:v>
      </x:c>
      <x:c r="H270" s="59" t="n">
        <x:f>IFERROR($D270/$F270,"")</x:f>
        <x:v>0</x:v>
      </x:c>
      <x:c r="I270" s="39" t="str">
        <x:v>Historical reconstruction from dated major parks; compare with current SEDEMA total.</x:v>
      </x:c>
    </x:row>
    <x:row r="271">
      <x:c r="A271" s="39" t="n">
        <x:v>2020</x:v>
      </x:c>
      <x:c r="B271" s="39" t="str">
        <x:v>Tlalpan</x:v>
      </x:c>
      <x:c r="C271" s="56" t="n">
        <x:v>699928</x:v>
      </x:c>
      <x:c r="D271" s="56" t="n">
        <x:f>MIN(SUMIFS('Park Catalog'!$E:$E,'Park Catalog'!$A:$A,$B271,'Park Catalog'!$G:$G,"&lt;="&amp;$A271,'Park Catalog'!$H:$H,TRUE),$F271)</x:f>
        <x:v>0</x:v>
      </x:c>
      <x:c r="E271" s="57" t="n">
        <x:f>IFERROR($D271/$C271,"")</x:f>
        <x:v>0</x:v>
      </x:c>
      <x:c r="F271" s="58" t="n">
        <x:v>6530744.7</x:v>
      </x:c>
      <x:c r="G271" s="58" t="n">
        <x:f>IFERROR($F271/$C271,"")</x:f>
        <x:v>9.33059500405756</x:v>
      </x:c>
      <x:c r="H271" s="59" t="n">
        <x:f>IFERROR($D271/$F271,"")</x:f>
        <x:v>0</x:v>
      </x:c>
      <x:c r="I271" s="39" t="str">
        <x:v>Historical reconstruction from dated major parks; compare with current SEDEMA total.</x:v>
      </x:c>
    </x:row>
    <x:row r="272">
      <x:c r="A272" s="39" t="n">
        <x:v>2020</x:v>
      </x:c>
      <x:c r="B272" s="39" t="str">
        <x:v>Venustiano Carranza</x:v>
      </x:c>
      <x:c r="C272" s="56" t="n">
        <x:v>443704</x:v>
      </x:c>
      <x:c r="D272" s="56" t="n">
        <x:f>MIN(SUMIFS('Park Catalog'!$E:$E,'Park Catalog'!$A:$A,$B272,'Park Catalog'!$G:$G,"&lt;="&amp;$A272,'Park Catalog'!$H:$H,TRUE),$F272)</x:f>
        <x:v>0</x:v>
      </x:c>
      <x:c r="E272" s="57" t="n">
        <x:f>IFERROR($D272/$C272,"")</x:f>
        <x:v>0</x:v>
      </x:c>
      <x:c r="F272" s="58" t="n">
        <x:v>5805150.1</x:v>
      </x:c>
      <x:c r="G272" s="58" t="n">
        <x:f>IFERROR($F272/$C272,"")</x:f>
        <x:v>13.083384643816597</x:v>
      </x:c>
      <x:c r="H272" s="59" t="n">
        <x:f>IFERROR($D272/$F272,"")</x:f>
        <x:v>0</x:v>
      </x:c>
      <x:c r="I272" s="39" t="str">
        <x:v>Historical reconstruction from dated major parks; compare with current SEDEMA total.</x:v>
      </x:c>
    </x:row>
    <x:row r="273">
      <x:c r="A273" s="39" t="n">
        <x:v>2020</x:v>
      </x:c>
      <x:c r="B273" s="39" t="str">
        <x:v>Xochimilco</x:v>
      </x:c>
      <x:c r="C273" s="56" t="n">
        <x:v>442178</x:v>
      </x:c>
      <x:c r="D273" s="56" t="n">
        <x:f>MIN(SUMIFS('Park Catalog'!$E:$E,'Park Catalog'!$A:$A,$B273,'Park Catalog'!$G:$G,"&lt;="&amp;$A273,'Park Catalog'!$H:$H,TRUE),$F273)</x:f>
        <x:v>0</x:v>
      </x:c>
      <x:c r="E273" s="57" t="n">
        <x:f>IFERROR($D273/$C273,"")</x:f>
        <x:v>0</x:v>
      </x:c>
      <x:c r="F273" s="58" t="n">
        <x:v>2092259.6</x:v>
      </x:c>
      <x:c r="G273" s="58" t="n">
        <x:f>IFERROR($F273/$C273,"")</x:f>
        <x:v>4.731713472854824</x:v>
      </x:c>
      <x:c r="H273" s="59" t="n">
        <x:f>IFERROR($D273/$F273,"")</x:f>
        <x:v>0</x:v>
      </x:c>
      <x:c r="I273" s="39" t="str">
        <x:v>Historical reconstruction from dated major parks; compare with current SEDEMA total.</x:v>
      </x:c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</x:row>
  </x:sheetData>
  <x:conditionalFormatting sqref="H2:H273">
    <x:cfRule type="dataBar" priority="1">
      <x:dataBar>
        <x:cfvo type="min"/>
        <x:cfvo type="max"/>
        <x:color rgb="14B8A6"/>
      </x:dataBar>
      <x:extLst>
        <x:ext xmlns:x14="http://schemas.microsoft.com/office/spreadsheetml/2009/9/main" uri="{B025F937-C7B1-47D3-B67F-A62EFF666E3E}">
          <x14:id>{F5FDCCFB-852C-F954-F57D-FEC67F4F883C}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ce76dfeebd4438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5FDCCFB-852C-F954-F57D-FEC67F4F883C}">
            <x14:dataBar gradient="1">
              <x14:cfvo type="min"/>
              <x14:cfvo type="max"/>
              <x14:fillColor rgb="14B8A6"/>
            </x14:dataBar>
          </x14:cfRule>
          <xm:sqref>H2:H273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38" t="str">
        <x:v>Decade</x:v>
      </x:c>
      <x:c r="B1" s="38" t="str">
        <x:v>Álvaro Obregón</x:v>
      </x:c>
      <x:c r="C1" s="38" t="str">
        <x:v>Azcapotzalco</x:v>
      </x:c>
      <x:c r="D1" s="38" t="str">
        <x:v>Benito Juárez</x:v>
      </x:c>
      <x:c r="E1" s="38" t="str">
        <x:v>Coyoacán</x:v>
      </x:c>
      <x:c r="F1" s="38" t="str">
        <x:v>Cuajimalpa de Morelos</x:v>
      </x:c>
      <x:c r="G1" s="38" t="str">
        <x:v>Cuauhtémoc</x:v>
      </x:c>
      <x:c r="H1" s="38" t="str">
        <x:v>Gustavo A. Madero</x:v>
      </x:c>
      <x:c r="I1" s="38" t="str">
        <x:v>Iztacalco</x:v>
      </x:c>
      <x:c r="J1" s="38" t="str">
        <x:v>Iztapalapa</x:v>
      </x:c>
      <x:c r="K1" s="38" t="str">
        <x:v>La Magdalena Contreras</x:v>
      </x:c>
      <x:c r="L1" s="38" t="str">
        <x:v>Miguel Hidalgo</x:v>
      </x:c>
      <x:c r="M1" s="38" t="str">
        <x:v>Milpa Alta</x:v>
      </x:c>
      <x:c r="N1" s="38" t="str">
        <x:v>Tláhuac</x:v>
      </x:c>
      <x:c r="O1" s="38" t="str">
        <x:v>Tlalpan</x:v>
      </x:c>
      <x:c r="P1" s="38" t="str">
        <x:v>Venustiano Carranza</x:v>
      </x:c>
      <x:c r="Q1" s="38" t="str">
        <x:v>Xochimilco</x:v>
      </x:c>
    </x:row>
    <x:row r="2">
      <x:c r="A2" s="39" t="n">
        <x:v>1860</x:v>
      </x:c>
      <x:c r="B2" s="57" t="n">
        <x:f>SUMIFS('Decade Metric'!$E:$E,'Decade Metric'!$A:$A,$A2,'Decade Metric'!$B:$B,B$1)</x:f>
        <x:v>0</x:v>
      </x:c>
      <x:c r="C2" s="57" t="n">
        <x:f>SUMIFS('Decade Metric'!$E:$E,'Decade Metric'!$A:$A,$A2,'Decade Metric'!$B:$B,C$1)</x:f>
        <x:v>0</x:v>
      </x:c>
      <x:c r="D2" s="57" t="n">
        <x:f>SUMIFS('Decade Metric'!$E:$E,'Decade Metric'!$A:$A,$A2,'Decade Metric'!$B:$B,D$1)</x:f>
        <x:v>0</x:v>
      </x:c>
      <x:c r="E2" s="57" t="n">
        <x:f>SUMIFS('Decade Metric'!$E:$E,'Decade Metric'!$A:$A,$A2,'Decade Metric'!$B:$B,E$1)</x:f>
        <x:v>0</x:v>
      </x:c>
      <x:c r="F2" s="57" t="n">
        <x:f>SUMIFS('Decade Metric'!$E:$E,'Decade Metric'!$A:$A,$A2,'Decade Metric'!$B:$B,F$1)</x:f>
        <x:v>0</x:v>
      </x:c>
      <x:c r="G2" s="57" t="n">
        <x:f>SUMIFS('Decade Metric'!$E:$E,'Decade Metric'!$A:$A,$A2,'Decade Metric'!$B:$B,G$1)</x:f>
        <x:v>0</x:v>
      </x:c>
      <x:c r="H2" s="57" t="n">
        <x:f>SUMIFS('Decade Metric'!$E:$E,'Decade Metric'!$A:$A,$A2,'Decade Metric'!$B:$B,H$1)</x:f>
        <x:v>0</x:v>
      </x:c>
      <x:c r="I2" s="57" t="n">
        <x:f>SUMIFS('Decade Metric'!$E:$E,'Decade Metric'!$A:$A,$A2,'Decade Metric'!$B:$B,I$1)</x:f>
        <x:v>0</x:v>
      </x:c>
      <x:c r="J2" s="57" t="n">
        <x:f>SUMIFS('Decade Metric'!$E:$E,'Decade Metric'!$A:$A,$A2,'Decade Metric'!$B:$B,J$1)</x:f>
        <x:v>0</x:v>
      </x:c>
      <x:c r="K2" s="57" t="n">
        <x:f>SUMIFS('Decade Metric'!$E:$E,'Decade Metric'!$A:$A,$A2,'Decade Metric'!$B:$B,K$1)</x:f>
        <x:v>0</x:v>
      </x:c>
      <x:c r="L2" s="57" t="n">
        <x:f>SUMIFS('Decade Metric'!$E:$E,'Decade Metric'!$A:$A,$A2,'Decade Metric'!$B:$B,L$1)</x:f>
        <x:v>0</x:v>
      </x:c>
      <x:c r="M2" s="57" t="n">
        <x:f>SUMIFS('Decade Metric'!$E:$E,'Decade Metric'!$A:$A,$A2,'Decade Metric'!$B:$B,M$1)</x:f>
        <x:v>0</x:v>
      </x:c>
      <x:c r="N2" s="57" t="n">
        <x:f>SUMIFS('Decade Metric'!$E:$E,'Decade Metric'!$A:$A,$A2,'Decade Metric'!$B:$B,N$1)</x:f>
        <x:v>0</x:v>
      </x:c>
      <x:c r="O2" s="57" t="n">
        <x:f>SUMIFS('Decade Metric'!$E:$E,'Decade Metric'!$A:$A,$A2,'Decade Metric'!$B:$B,O$1)</x:f>
        <x:v>0</x:v>
      </x:c>
      <x:c r="P2" s="57" t="n">
        <x:f>SUMIFS('Decade Metric'!$E:$E,'Decade Metric'!$A:$A,$A2,'Decade Metric'!$B:$B,P$1)</x:f>
        <x:v>0</x:v>
      </x:c>
      <x:c r="Q2" s="57" t="n">
        <x:f>SUMIFS('Decade Metric'!$E:$E,'Decade Metric'!$A:$A,$A2,'Decade Metric'!$B:$B,Q$1)</x:f>
        <x:v>0</x:v>
      </x:c>
    </x:row>
    <x:row r="3">
      <x:c r="A3" s="39" t="n">
        <x:v>1870</x:v>
      </x:c>
      <x:c r="B3" s="57" t="n">
        <x:f>SUMIFS('Decade Metric'!$E:$E,'Decade Metric'!$A:$A,$A3,'Decade Metric'!$B:$B,B$1)</x:f>
        <x:v>0</x:v>
      </x:c>
      <x:c r="C3" s="57" t="n">
        <x:f>SUMIFS('Decade Metric'!$E:$E,'Decade Metric'!$A:$A,$A3,'Decade Metric'!$B:$B,C$1)</x:f>
        <x:v>0</x:v>
      </x:c>
      <x:c r="D3" s="57" t="n">
        <x:f>SUMIFS('Decade Metric'!$E:$E,'Decade Metric'!$A:$A,$A3,'Decade Metric'!$B:$B,D$1)</x:f>
        <x:v>0</x:v>
      </x:c>
      <x:c r="E3" s="57" t="n">
        <x:f>SUMIFS('Decade Metric'!$E:$E,'Decade Metric'!$A:$A,$A3,'Decade Metric'!$B:$B,E$1)</x:f>
        <x:v>0</x:v>
      </x:c>
      <x:c r="F3" s="57" t="n">
        <x:f>SUMIFS('Decade Metric'!$E:$E,'Decade Metric'!$A:$A,$A3,'Decade Metric'!$B:$B,F$1)</x:f>
        <x:v>0</x:v>
      </x:c>
      <x:c r="G3" s="57" t="n">
        <x:f>SUMIFS('Decade Metric'!$E:$E,'Decade Metric'!$A:$A,$A3,'Decade Metric'!$B:$B,G$1)</x:f>
        <x:v>0</x:v>
      </x:c>
      <x:c r="H3" s="57" t="n">
        <x:f>SUMIFS('Decade Metric'!$E:$E,'Decade Metric'!$A:$A,$A3,'Decade Metric'!$B:$B,H$1)</x:f>
        <x:v>0</x:v>
      </x:c>
      <x:c r="I3" s="57" t="n">
        <x:f>SUMIFS('Decade Metric'!$E:$E,'Decade Metric'!$A:$A,$A3,'Decade Metric'!$B:$B,I$1)</x:f>
        <x:v>0</x:v>
      </x:c>
      <x:c r="J3" s="57" t="n">
        <x:f>SUMIFS('Decade Metric'!$E:$E,'Decade Metric'!$A:$A,$A3,'Decade Metric'!$B:$B,J$1)</x:f>
        <x:v>0</x:v>
      </x:c>
      <x:c r="K3" s="57" t="n">
        <x:f>SUMIFS('Decade Metric'!$E:$E,'Decade Metric'!$A:$A,$A3,'Decade Metric'!$B:$B,K$1)</x:f>
        <x:v>0</x:v>
      </x:c>
      <x:c r="L3" s="57" t="n">
        <x:f>SUMIFS('Decade Metric'!$E:$E,'Decade Metric'!$A:$A,$A3,'Decade Metric'!$B:$B,L$1)</x:f>
        <x:v>0</x:v>
      </x:c>
      <x:c r="M3" s="57" t="n">
        <x:f>SUMIFS('Decade Metric'!$E:$E,'Decade Metric'!$A:$A,$A3,'Decade Metric'!$B:$B,M$1)</x:f>
        <x:v>0</x:v>
      </x:c>
      <x:c r="N3" s="57" t="n">
        <x:f>SUMIFS('Decade Metric'!$E:$E,'Decade Metric'!$A:$A,$A3,'Decade Metric'!$B:$B,N$1)</x:f>
        <x:v>0</x:v>
      </x:c>
      <x:c r="O3" s="57" t="n">
        <x:f>SUMIFS('Decade Metric'!$E:$E,'Decade Metric'!$A:$A,$A3,'Decade Metric'!$B:$B,O$1)</x:f>
        <x:v>0</x:v>
      </x:c>
      <x:c r="P3" s="57" t="n">
        <x:f>SUMIFS('Decade Metric'!$E:$E,'Decade Metric'!$A:$A,$A3,'Decade Metric'!$B:$B,P$1)</x:f>
        <x:v>0</x:v>
      </x:c>
      <x:c r="Q3" s="57" t="n">
        <x:f>SUMIFS('Decade Metric'!$E:$E,'Decade Metric'!$A:$A,$A3,'Decade Metric'!$B:$B,Q$1)</x:f>
        <x:v>0</x:v>
      </x:c>
    </x:row>
    <x:row r="4">
      <x:c r="A4" s="39" t="n">
        <x:v>1880</x:v>
      </x:c>
      <x:c r="B4" s="57" t="n">
        <x:f>SUMIFS('Decade Metric'!$E:$E,'Decade Metric'!$A:$A,$A4,'Decade Metric'!$B:$B,B$1)</x:f>
        <x:v>0</x:v>
      </x:c>
      <x:c r="C4" s="57" t="n">
        <x:f>SUMIFS('Decade Metric'!$E:$E,'Decade Metric'!$A:$A,$A4,'Decade Metric'!$B:$B,C$1)</x:f>
        <x:v>0</x:v>
      </x:c>
      <x:c r="D4" s="57" t="n">
        <x:f>SUMIFS('Decade Metric'!$E:$E,'Decade Metric'!$A:$A,$A4,'Decade Metric'!$B:$B,D$1)</x:f>
        <x:v>0</x:v>
      </x:c>
      <x:c r="E4" s="57" t="n">
        <x:f>SUMIFS('Decade Metric'!$E:$E,'Decade Metric'!$A:$A,$A4,'Decade Metric'!$B:$B,E$1)</x:f>
        <x:v>0</x:v>
      </x:c>
      <x:c r="F4" s="57" t="n">
        <x:f>SUMIFS('Decade Metric'!$E:$E,'Decade Metric'!$A:$A,$A4,'Decade Metric'!$B:$B,F$1)</x:f>
        <x:v>0</x:v>
      </x:c>
      <x:c r="G4" s="57" t="n">
        <x:f>SUMIFS('Decade Metric'!$E:$E,'Decade Metric'!$A:$A,$A4,'Decade Metric'!$B:$B,G$1)</x:f>
        <x:v>0</x:v>
      </x:c>
      <x:c r="H4" s="57" t="n">
        <x:f>SUMIFS('Decade Metric'!$E:$E,'Decade Metric'!$A:$A,$A4,'Decade Metric'!$B:$B,H$1)</x:f>
        <x:v>0</x:v>
      </x:c>
      <x:c r="I4" s="57" t="n">
        <x:f>SUMIFS('Decade Metric'!$E:$E,'Decade Metric'!$A:$A,$A4,'Decade Metric'!$B:$B,I$1)</x:f>
        <x:v>0</x:v>
      </x:c>
      <x:c r="J4" s="57" t="n">
        <x:f>SUMIFS('Decade Metric'!$E:$E,'Decade Metric'!$A:$A,$A4,'Decade Metric'!$B:$B,J$1)</x:f>
        <x:v>0</x:v>
      </x:c>
      <x:c r="K4" s="57" t="n">
        <x:f>SUMIFS('Decade Metric'!$E:$E,'Decade Metric'!$A:$A,$A4,'Decade Metric'!$B:$B,K$1)</x:f>
        <x:v>0</x:v>
      </x:c>
      <x:c r="L4" s="57" t="n">
        <x:f>SUMIFS('Decade Metric'!$E:$E,'Decade Metric'!$A:$A,$A4,'Decade Metric'!$B:$B,L$1)</x:f>
        <x:v>0</x:v>
      </x:c>
      <x:c r="M4" s="57" t="n">
        <x:f>SUMIFS('Decade Metric'!$E:$E,'Decade Metric'!$A:$A,$A4,'Decade Metric'!$B:$B,M$1)</x:f>
        <x:v>0</x:v>
      </x:c>
      <x:c r="N4" s="57" t="n">
        <x:f>SUMIFS('Decade Metric'!$E:$E,'Decade Metric'!$A:$A,$A4,'Decade Metric'!$B:$B,N$1)</x:f>
        <x:v>0</x:v>
      </x:c>
      <x:c r="O4" s="57" t="n">
        <x:f>SUMIFS('Decade Metric'!$E:$E,'Decade Metric'!$A:$A,$A4,'Decade Metric'!$B:$B,O$1)</x:f>
        <x:v>0</x:v>
      </x:c>
      <x:c r="P4" s="57" t="n">
        <x:f>SUMIFS('Decade Metric'!$E:$E,'Decade Metric'!$A:$A,$A4,'Decade Metric'!$B:$B,P$1)</x:f>
        <x:v>0</x:v>
      </x:c>
      <x:c r="Q4" s="57" t="n">
        <x:f>SUMIFS('Decade Metric'!$E:$E,'Decade Metric'!$A:$A,$A4,'Decade Metric'!$B:$B,Q$1)</x:f>
        <x:v>0</x:v>
      </x:c>
    </x:row>
    <x:row r="5">
      <x:c r="A5" s="39" t="n">
        <x:v>1890</x:v>
      </x:c>
      <x:c r="B5" s="57" t="n">
        <x:f>SUMIFS('Decade Metric'!$E:$E,'Decade Metric'!$A:$A,$A5,'Decade Metric'!$B:$B,B$1)</x:f>
        <x:v>0</x:v>
      </x:c>
      <x:c r="C5" s="57" t="n">
        <x:f>SUMIFS('Decade Metric'!$E:$E,'Decade Metric'!$A:$A,$A5,'Decade Metric'!$B:$B,C$1)</x:f>
        <x:v>0</x:v>
      </x:c>
      <x:c r="D5" s="57" t="n">
        <x:f>SUMIFS('Decade Metric'!$E:$E,'Decade Metric'!$A:$A,$A5,'Decade Metric'!$B:$B,D$1)</x:f>
        <x:v>0</x:v>
      </x:c>
      <x:c r="E5" s="57" t="n">
        <x:f>SUMIFS('Decade Metric'!$E:$E,'Decade Metric'!$A:$A,$A5,'Decade Metric'!$B:$B,E$1)</x:f>
        <x:v>0</x:v>
      </x:c>
      <x:c r="F5" s="57" t="n">
        <x:f>SUMIFS('Decade Metric'!$E:$E,'Decade Metric'!$A:$A,$A5,'Decade Metric'!$B:$B,F$1)</x:f>
        <x:v>0</x:v>
      </x:c>
      <x:c r="G5" s="57" t="n">
        <x:f>SUMIFS('Decade Metric'!$E:$E,'Decade Metric'!$A:$A,$A5,'Decade Metric'!$B:$B,G$1)</x:f>
        <x:v>0</x:v>
      </x:c>
      <x:c r="H5" s="57" t="n">
        <x:f>SUMIFS('Decade Metric'!$E:$E,'Decade Metric'!$A:$A,$A5,'Decade Metric'!$B:$B,H$1)</x:f>
        <x:v>0</x:v>
      </x:c>
      <x:c r="I5" s="57" t="n">
        <x:f>SUMIFS('Decade Metric'!$E:$E,'Decade Metric'!$A:$A,$A5,'Decade Metric'!$B:$B,I$1)</x:f>
        <x:v>0</x:v>
      </x:c>
      <x:c r="J5" s="57" t="n">
        <x:f>SUMIFS('Decade Metric'!$E:$E,'Decade Metric'!$A:$A,$A5,'Decade Metric'!$B:$B,J$1)</x:f>
        <x:v>0</x:v>
      </x:c>
      <x:c r="K5" s="57" t="n">
        <x:f>SUMIFS('Decade Metric'!$E:$E,'Decade Metric'!$A:$A,$A5,'Decade Metric'!$B:$B,K$1)</x:f>
        <x:v>0</x:v>
      </x:c>
      <x:c r="L5" s="57" t="n">
        <x:f>SUMIFS('Decade Metric'!$E:$E,'Decade Metric'!$A:$A,$A5,'Decade Metric'!$B:$B,L$1)</x:f>
        <x:v>0</x:v>
      </x:c>
      <x:c r="M5" s="57" t="n">
        <x:f>SUMIFS('Decade Metric'!$E:$E,'Decade Metric'!$A:$A,$A5,'Decade Metric'!$B:$B,M$1)</x:f>
        <x:v>0</x:v>
      </x:c>
      <x:c r="N5" s="57" t="n">
        <x:f>SUMIFS('Decade Metric'!$E:$E,'Decade Metric'!$A:$A,$A5,'Decade Metric'!$B:$B,N$1)</x:f>
        <x:v>0</x:v>
      </x:c>
      <x:c r="O5" s="57" t="n">
        <x:f>SUMIFS('Decade Metric'!$E:$E,'Decade Metric'!$A:$A,$A5,'Decade Metric'!$B:$B,O$1)</x:f>
        <x:v>0</x:v>
      </x:c>
      <x:c r="P5" s="57" t="n">
        <x:f>SUMIFS('Decade Metric'!$E:$E,'Decade Metric'!$A:$A,$A5,'Decade Metric'!$B:$B,P$1)</x:f>
        <x:v>0</x:v>
      </x:c>
      <x:c r="Q5" s="57" t="n">
        <x:f>SUMIFS('Decade Metric'!$E:$E,'Decade Metric'!$A:$A,$A5,'Decade Metric'!$B:$B,Q$1)</x:f>
        <x:v>0</x:v>
      </x:c>
    </x:row>
    <x:row r="6">
      <x:c r="A6" s="39" t="n">
        <x:v>1900</x:v>
      </x:c>
      <x:c r="B6" s="57" t="n">
        <x:f>SUMIFS('Decade Metric'!$E:$E,'Decade Metric'!$A:$A,$A6,'Decade Metric'!$B:$B,B$1)</x:f>
        <x:v>0</x:v>
      </x:c>
      <x:c r="C6" s="57" t="n">
        <x:f>SUMIFS('Decade Metric'!$E:$E,'Decade Metric'!$A:$A,$A6,'Decade Metric'!$B:$B,C$1)</x:f>
        <x:v>0</x:v>
      </x:c>
      <x:c r="D6" s="57" t="n">
        <x:f>SUMIFS('Decade Metric'!$E:$E,'Decade Metric'!$A:$A,$A6,'Decade Metric'!$B:$B,D$1)</x:f>
        <x:v>0</x:v>
      </x:c>
      <x:c r="E6" s="57" t="n">
        <x:f>SUMIFS('Decade Metric'!$E:$E,'Decade Metric'!$A:$A,$A6,'Decade Metric'!$B:$B,E$1)</x:f>
        <x:v>0</x:v>
      </x:c>
      <x:c r="F6" s="57" t="n">
        <x:f>SUMIFS('Decade Metric'!$E:$E,'Decade Metric'!$A:$A,$A6,'Decade Metric'!$B:$B,F$1)</x:f>
        <x:v>0</x:v>
      </x:c>
      <x:c r="G6" s="57" t="n">
        <x:f>SUMIFS('Decade Metric'!$E:$E,'Decade Metric'!$A:$A,$A6,'Decade Metric'!$B:$B,G$1)</x:f>
        <x:v>0</x:v>
      </x:c>
      <x:c r="H6" s="57" t="n">
        <x:f>SUMIFS('Decade Metric'!$E:$E,'Decade Metric'!$A:$A,$A6,'Decade Metric'!$B:$B,H$1)</x:f>
        <x:v>0</x:v>
      </x:c>
      <x:c r="I6" s="57" t="n">
        <x:f>SUMIFS('Decade Metric'!$E:$E,'Decade Metric'!$A:$A,$A6,'Decade Metric'!$B:$B,I$1)</x:f>
        <x:v>0</x:v>
      </x:c>
      <x:c r="J6" s="57" t="n">
        <x:f>SUMIFS('Decade Metric'!$E:$E,'Decade Metric'!$A:$A,$A6,'Decade Metric'!$B:$B,J$1)</x:f>
        <x:v>0</x:v>
      </x:c>
      <x:c r="K6" s="57" t="n">
        <x:f>SUMIFS('Decade Metric'!$E:$E,'Decade Metric'!$A:$A,$A6,'Decade Metric'!$B:$B,K$1)</x:f>
        <x:v>0</x:v>
      </x:c>
      <x:c r="L6" s="57" t="n">
        <x:f>SUMIFS('Decade Metric'!$E:$E,'Decade Metric'!$A:$A,$A6,'Decade Metric'!$B:$B,L$1)</x:f>
        <x:v>0</x:v>
      </x:c>
      <x:c r="M6" s="57" t="n">
        <x:f>SUMIFS('Decade Metric'!$E:$E,'Decade Metric'!$A:$A,$A6,'Decade Metric'!$B:$B,M$1)</x:f>
        <x:v>0</x:v>
      </x:c>
      <x:c r="N6" s="57" t="n">
        <x:f>SUMIFS('Decade Metric'!$E:$E,'Decade Metric'!$A:$A,$A6,'Decade Metric'!$B:$B,N$1)</x:f>
        <x:v>0</x:v>
      </x:c>
      <x:c r="O6" s="57" t="n">
        <x:f>SUMIFS('Decade Metric'!$E:$E,'Decade Metric'!$A:$A,$A6,'Decade Metric'!$B:$B,O$1)</x:f>
        <x:v>0</x:v>
      </x:c>
      <x:c r="P6" s="57" t="n">
        <x:f>SUMIFS('Decade Metric'!$E:$E,'Decade Metric'!$A:$A,$A6,'Decade Metric'!$B:$B,P$1)</x:f>
        <x:v>0</x:v>
      </x:c>
      <x:c r="Q6" s="57" t="n">
        <x:f>SUMIFS('Decade Metric'!$E:$E,'Decade Metric'!$A:$A,$A6,'Decade Metric'!$B:$B,Q$1)</x:f>
        <x:v>0</x:v>
      </x:c>
    </x:row>
    <x:row r="7">
      <x:c r="A7" s="39" t="n">
        <x:v>1910</x:v>
      </x:c>
      <x:c r="B7" s="57" t="n">
        <x:f>SUMIFS('Decade Metric'!$E:$E,'Decade Metric'!$A:$A,$A7,'Decade Metric'!$B:$B,B$1)</x:f>
        <x:v>0</x:v>
      </x:c>
      <x:c r="C7" s="57" t="n">
        <x:f>SUMIFS('Decade Metric'!$E:$E,'Decade Metric'!$A:$A,$A7,'Decade Metric'!$B:$B,C$1)</x:f>
        <x:v>0</x:v>
      </x:c>
      <x:c r="D7" s="57" t="n">
        <x:f>SUMIFS('Decade Metric'!$E:$E,'Decade Metric'!$A:$A,$A7,'Decade Metric'!$B:$B,D$1)</x:f>
        <x:v>0</x:v>
      </x:c>
      <x:c r="E7" s="57" t="n">
        <x:f>SUMIFS('Decade Metric'!$E:$E,'Decade Metric'!$A:$A,$A7,'Decade Metric'!$B:$B,E$1)</x:f>
        <x:v>0</x:v>
      </x:c>
      <x:c r="F7" s="57" t="n">
        <x:f>SUMIFS('Decade Metric'!$E:$E,'Decade Metric'!$A:$A,$A7,'Decade Metric'!$B:$B,F$1)</x:f>
        <x:v>0</x:v>
      </x:c>
      <x:c r="G7" s="57" t="n">
        <x:f>SUMIFS('Decade Metric'!$E:$E,'Decade Metric'!$A:$A,$A7,'Decade Metric'!$B:$B,G$1)</x:f>
        <x:v>0</x:v>
      </x:c>
      <x:c r="H7" s="57" t="n">
        <x:f>SUMIFS('Decade Metric'!$E:$E,'Decade Metric'!$A:$A,$A7,'Decade Metric'!$B:$B,H$1)</x:f>
        <x:v>0</x:v>
      </x:c>
      <x:c r="I7" s="57" t="n">
        <x:f>SUMIFS('Decade Metric'!$E:$E,'Decade Metric'!$A:$A,$A7,'Decade Metric'!$B:$B,I$1)</x:f>
        <x:v>0</x:v>
      </x:c>
      <x:c r="J7" s="57" t="n">
        <x:f>SUMIFS('Decade Metric'!$E:$E,'Decade Metric'!$A:$A,$A7,'Decade Metric'!$B:$B,J$1)</x:f>
        <x:v>0</x:v>
      </x:c>
      <x:c r="K7" s="57" t="n">
        <x:f>SUMIFS('Decade Metric'!$E:$E,'Decade Metric'!$A:$A,$A7,'Decade Metric'!$B:$B,K$1)</x:f>
        <x:v>0</x:v>
      </x:c>
      <x:c r="L7" s="57" t="n">
        <x:f>SUMIFS('Decade Metric'!$E:$E,'Decade Metric'!$A:$A,$A7,'Decade Metric'!$B:$B,L$1)</x:f>
        <x:v>0</x:v>
      </x:c>
      <x:c r="M7" s="57" t="n">
        <x:f>SUMIFS('Decade Metric'!$E:$E,'Decade Metric'!$A:$A,$A7,'Decade Metric'!$B:$B,M$1)</x:f>
        <x:v>0</x:v>
      </x:c>
      <x:c r="N7" s="57" t="n">
        <x:f>SUMIFS('Decade Metric'!$E:$E,'Decade Metric'!$A:$A,$A7,'Decade Metric'!$B:$B,N$1)</x:f>
        <x:v>0</x:v>
      </x:c>
      <x:c r="O7" s="57" t="n">
        <x:f>SUMIFS('Decade Metric'!$E:$E,'Decade Metric'!$A:$A,$A7,'Decade Metric'!$B:$B,O$1)</x:f>
        <x:v>0</x:v>
      </x:c>
      <x:c r="P7" s="57" t="n">
        <x:f>SUMIFS('Decade Metric'!$E:$E,'Decade Metric'!$A:$A,$A7,'Decade Metric'!$B:$B,P$1)</x:f>
        <x:v>0</x:v>
      </x:c>
      <x:c r="Q7" s="57" t="n">
        <x:f>SUMIFS('Decade Metric'!$E:$E,'Decade Metric'!$A:$A,$A7,'Decade Metric'!$B:$B,Q$1)</x:f>
        <x:v>0</x:v>
      </x:c>
    </x:row>
    <x:row r="8">
      <x:c r="A8" s="39" t="n">
        <x:v>1920</x:v>
      </x:c>
      <x:c r="B8" s="57" t="n">
        <x:f>SUMIFS('Decade Metric'!$E:$E,'Decade Metric'!$A:$A,$A8,'Decade Metric'!$B:$B,B$1)</x:f>
        <x:v>0</x:v>
      </x:c>
      <x:c r="C8" s="57" t="n">
        <x:f>SUMIFS('Decade Metric'!$E:$E,'Decade Metric'!$A:$A,$A8,'Decade Metric'!$B:$B,C$1)</x:f>
        <x:v>0</x:v>
      </x:c>
      <x:c r="D8" s="57" t="n">
        <x:f>SUMIFS('Decade Metric'!$E:$E,'Decade Metric'!$A:$A,$A8,'Decade Metric'!$B:$B,D$1)</x:f>
        <x:v>0</x:v>
      </x:c>
      <x:c r="E8" s="57" t="n">
        <x:f>SUMIFS('Decade Metric'!$E:$E,'Decade Metric'!$A:$A,$A8,'Decade Metric'!$B:$B,E$1)</x:f>
        <x:v>0</x:v>
      </x:c>
      <x:c r="F8" s="57" t="n">
        <x:f>SUMIFS('Decade Metric'!$E:$E,'Decade Metric'!$A:$A,$A8,'Decade Metric'!$B:$B,F$1)</x:f>
        <x:v>0</x:v>
      </x:c>
      <x:c r="G8" s="57" t="n">
        <x:f>SUMIFS('Decade Metric'!$E:$E,'Decade Metric'!$A:$A,$A8,'Decade Metric'!$B:$B,G$1)</x:f>
        <x:v>0</x:v>
      </x:c>
      <x:c r="H8" s="57" t="n">
        <x:f>SUMIFS('Decade Metric'!$E:$E,'Decade Metric'!$A:$A,$A8,'Decade Metric'!$B:$B,H$1)</x:f>
        <x:v>0</x:v>
      </x:c>
      <x:c r="I8" s="57" t="n">
        <x:f>SUMIFS('Decade Metric'!$E:$E,'Decade Metric'!$A:$A,$A8,'Decade Metric'!$B:$B,I$1)</x:f>
        <x:v>0</x:v>
      </x:c>
      <x:c r="J8" s="57" t="n">
        <x:f>SUMIFS('Decade Metric'!$E:$E,'Decade Metric'!$A:$A,$A8,'Decade Metric'!$B:$B,J$1)</x:f>
        <x:v>0</x:v>
      </x:c>
      <x:c r="K8" s="57" t="n">
        <x:f>SUMIFS('Decade Metric'!$E:$E,'Decade Metric'!$A:$A,$A8,'Decade Metric'!$B:$B,K$1)</x:f>
        <x:v>0</x:v>
      </x:c>
      <x:c r="L8" s="57" t="n">
        <x:f>SUMIFS('Decade Metric'!$E:$E,'Decade Metric'!$A:$A,$A8,'Decade Metric'!$B:$B,L$1)</x:f>
        <x:v>0</x:v>
      </x:c>
      <x:c r="M8" s="57" t="n">
        <x:f>SUMIFS('Decade Metric'!$E:$E,'Decade Metric'!$A:$A,$A8,'Decade Metric'!$B:$B,M$1)</x:f>
        <x:v>0</x:v>
      </x:c>
      <x:c r="N8" s="57" t="n">
        <x:f>SUMIFS('Decade Metric'!$E:$E,'Decade Metric'!$A:$A,$A8,'Decade Metric'!$B:$B,N$1)</x:f>
        <x:v>0</x:v>
      </x:c>
      <x:c r="O8" s="57" t="n">
        <x:f>SUMIFS('Decade Metric'!$E:$E,'Decade Metric'!$A:$A,$A8,'Decade Metric'!$B:$B,O$1)</x:f>
        <x:v>0</x:v>
      </x:c>
      <x:c r="P8" s="57" t="n">
        <x:f>SUMIFS('Decade Metric'!$E:$E,'Decade Metric'!$A:$A,$A8,'Decade Metric'!$B:$B,P$1)</x:f>
        <x:v>0</x:v>
      </x:c>
      <x:c r="Q8" s="57" t="n">
        <x:f>SUMIFS('Decade Metric'!$E:$E,'Decade Metric'!$A:$A,$A8,'Decade Metric'!$B:$B,Q$1)</x:f>
        <x:v>0</x:v>
      </x:c>
    </x:row>
    <x:row r="9">
      <x:c r="A9" s="39" t="n">
        <x:v>1930</x:v>
      </x:c>
      <x:c r="B9" s="57" t="n">
        <x:f>SUMIFS('Decade Metric'!$E:$E,'Decade Metric'!$A:$A,$A9,'Decade Metric'!$B:$B,B$1)</x:f>
        <x:v>0</x:v>
      </x:c>
      <x:c r="C9" s="57" t="n">
        <x:f>SUMIFS('Decade Metric'!$E:$E,'Decade Metric'!$A:$A,$A9,'Decade Metric'!$B:$B,C$1)</x:f>
        <x:v>0</x:v>
      </x:c>
      <x:c r="D9" s="57" t="n">
        <x:f>SUMIFS('Decade Metric'!$E:$E,'Decade Metric'!$A:$A,$A9,'Decade Metric'!$B:$B,D$1)</x:f>
        <x:v>0</x:v>
      </x:c>
      <x:c r="E9" s="57" t="n">
        <x:f>SUMIFS('Decade Metric'!$E:$E,'Decade Metric'!$A:$A,$A9,'Decade Metric'!$B:$B,E$1)</x:f>
        <x:v>0</x:v>
      </x:c>
      <x:c r="F9" s="57" t="n">
        <x:f>SUMIFS('Decade Metric'!$E:$E,'Decade Metric'!$A:$A,$A9,'Decade Metric'!$B:$B,F$1)</x:f>
        <x:v>0</x:v>
      </x:c>
      <x:c r="G9" s="57" t="n">
        <x:f>SUMIFS('Decade Metric'!$E:$E,'Decade Metric'!$A:$A,$A9,'Decade Metric'!$B:$B,G$1)</x:f>
        <x:v>0</x:v>
      </x:c>
      <x:c r="H9" s="57" t="n">
        <x:f>SUMIFS('Decade Metric'!$E:$E,'Decade Metric'!$A:$A,$A9,'Decade Metric'!$B:$B,H$1)</x:f>
        <x:v>0</x:v>
      </x:c>
      <x:c r="I9" s="57" t="n">
        <x:f>SUMIFS('Decade Metric'!$E:$E,'Decade Metric'!$A:$A,$A9,'Decade Metric'!$B:$B,I$1)</x:f>
        <x:v>0</x:v>
      </x:c>
      <x:c r="J9" s="57" t="n">
        <x:f>SUMIFS('Decade Metric'!$E:$E,'Decade Metric'!$A:$A,$A9,'Decade Metric'!$B:$B,J$1)</x:f>
        <x:v>0</x:v>
      </x:c>
      <x:c r="K9" s="57" t="n">
        <x:f>SUMIFS('Decade Metric'!$E:$E,'Decade Metric'!$A:$A,$A9,'Decade Metric'!$B:$B,K$1)</x:f>
        <x:v>0</x:v>
      </x:c>
      <x:c r="L9" s="57" t="n">
        <x:f>SUMIFS('Decade Metric'!$E:$E,'Decade Metric'!$A:$A,$A9,'Decade Metric'!$B:$B,L$1)</x:f>
        <x:v>0</x:v>
      </x:c>
      <x:c r="M9" s="57" t="n">
        <x:f>SUMIFS('Decade Metric'!$E:$E,'Decade Metric'!$A:$A,$A9,'Decade Metric'!$B:$B,M$1)</x:f>
        <x:v>0</x:v>
      </x:c>
      <x:c r="N9" s="57" t="n">
        <x:f>SUMIFS('Decade Metric'!$E:$E,'Decade Metric'!$A:$A,$A9,'Decade Metric'!$B:$B,N$1)</x:f>
        <x:v>0</x:v>
      </x:c>
      <x:c r="O9" s="57" t="n">
        <x:f>SUMIFS('Decade Metric'!$E:$E,'Decade Metric'!$A:$A,$A9,'Decade Metric'!$B:$B,O$1)</x:f>
        <x:v>0</x:v>
      </x:c>
      <x:c r="P9" s="57" t="n">
        <x:f>SUMIFS('Decade Metric'!$E:$E,'Decade Metric'!$A:$A,$A9,'Decade Metric'!$B:$B,P$1)</x:f>
        <x:v>0</x:v>
      </x:c>
      <x:c r="Q9" s="57" t="n">
        <x:f>SUMIFS('Decade Metric'!$E:$E,'Decade Metric'!$A:$A,$A9,'Decade Metric'!$B:$B,Q$1)</x:f>
        <x:v>0</x:v>
      </x:c>
    </x:row>
    <x:row r="10">
      <x:c r="A10" s="39" t="n">
        <x:v>1940</x:v>
      </x:c>
      <x:c r="B10" s="57" t="n">
        <x:f>SUMIFS('Decade Metric'!$E:$E,'Decade Metric'!$A:$A,$A10,'Decade Metric'!$B:$B,B$1)</x:f>
        <x:v>0</x:v>
      </x:c>
      <x:c r="C10" s="57" t="n">
        <x:f>SUMIFS('Decade Metric'!$E:$E,'Decade Metric'!$A:$A,$A10,'Decade Metric'!$B:$B,C$1)</x:f>
        <x:v>0</x:v>
      </x:c>
      <x:c r="D10" s="57" t="n">
        <x:f>SUMIFS('Decade Metric'!$E:$E,'Decade Metric'!$A:$A,$A10,'Decade Metric'!$B:$B,D$1)</x:f>
        <x:v>0</x:v>
      </x:c>
      <x:c r="E10" s="57" t="n">
        <x:f>SUMIFS('Decade Metric'!$E:$E,'Decade Metric'!$A:$A,$A10,'Decade Metric'!$B:$B,E$1)</x:f>
        <x:v>0</x:v>
      </x:c>
      <x:c r="F10" s="57" t="n">
        <x:f>SUMIFS('Decade Metric'!$E:$E,'Decade Metric'!$A:$A,$A10,'Decade Metric'!$B:$B,F$1)</x:f>
        <x:v>0</x:v>
      </x:c>
      <x:c r="G10" s="57" t="n">
        <x:f>SUMIFS('Decade Metric'!$E:$E,'Decade Metric'!$A:$A,$A10,'Decade Metric'!$B:$B,G$1)</x:f>
        <x:v>0</x:v>
      </x:c>
      <x:c r="H10" s="57" t="n">
        <x:f>SUMIFS('Decade Metric'!$E:$E,'Decade Metric'!$A:$A,$A10,'Decade Metric'!$B:$B,H$1)</x:f>
        <x:v>0</x:v>
      </x:c>
      <x:c r="I10" s="57" t="n">
        <x:f>SUMIFS('Decade Metric'!$E:$E,'Decade Metric'!$A:$A,$A10,'Decade Metric'!$B:$B,I$1)</x:f>
        <x:v>0</x:v>
      </x:c>
      <x:c r="J10" s="57" t="n">
        <x:f>SUMIFS('Decade Metric'!$E:$E,'Decade Metric'!$A:$A,$A10,'Decade Metric'!$B:$B,J$1)</x:f>
        <x:v>0</x:v>
      </x:c>
      <x:c r="K10" s="57" t="n">
        <x:f>SUMIFS('Decade Metric'!$E:$E,'Decade Metric'!$A:$A,$A10,'Decade Metric'!$B:$B,K$1)</x:f>
        <x:v>0</x:v>
      </x:c>
      <x:c r="L10" s="57" t="n">
        <x:f>SUMIFS('Decade Metric'!$E:$E,'Decade Metric'!$A:$A,$A10,'Decade Metric'!$B:$B,L$1)</x:f>
        <x:v>0</x:v>
      </x:c>
      <x:c r="M10" s="57" t="n">
        <x:f>SUMIFS('Decade Metric'!$E:$E,'Decade Metric'!$A:$A,$A10,'Decade Metric'!$B:$B,M$1)</x:f>
        <x:v>0</x:v>
      </x:c>
      <x:c r="N10" s="57" t="n">
        <x:f>SUMIFS('Decade Metric'!$E:$E,'Decade Metric'!$A:$A,$A10,'Decade Metric'!$B:$B,N$1)</x:f>
        <x:v>0</x:v>
      </x:c>
      <x:c r="O10" s="57" t="n">
        <x:f>SUMIFS('Decade Metric'!$E:$E,'Decade Metric'!$A:$A,$A10,'Decade Metric'!$B:$B,O$1)</x:f>
        <x:v>0</x:v>
      </x:c>
      <x:c r="P10" s="57" t="n">
        <x:f>SUMIFS('Decade Metric'!$E:$E,'Decade Metric'!$A:$A,$A10,'Decade Metric'!$B:$B,P$1)</x:f>
        <x:v>0</x:v>
      </x:c>
      <x:c r="Q10" s="57" t="n">
        <x:f>SUMIFS('Decade Metric'!$E:$E,'Decade Metric'!$A:$A,$A10,'Decade Metric'!$B:$B,Q$1)</x:f>
        <x:v>0</x:v>
      </x:c>
    </x:row>
    <x:row r="11">
      <x:c r="A11" s="39" t="n">
        <x:v>1950</x:v>
      </x:c>
      <x:c r="B11" s="57" t="n">
        <x:f>SUMIFS('Decade Metric'!$E:$E,'Decade Metric'!$A:$A,$A11,'Decade Metric'!$B:$B,B$1)</x:f>
        <x:v>0</x:v>
      </x:c>
      <x:c r="C11" s="57" t="n">
        <x:f>SUMIFS('Decade Metric'!$E:$E,'Decade Metric'!$A:$A,$A11,'Decade Metric'!$B:$B,C$1)</x:f>
        <x:v>0</x:v>
      </x:c>
      <x:c r="D11" s="57" t="n">
        <x:f>SUMIFS('Decade Metric'!$E:$E,'Decade Metric'!$A:$A,$A11,'Decade Metric'!$B:$B,D$1)</x:f>
        <x:v>0</x:v>
      </x:c>
      <x:c r="E11" s="57" t="n">
        <x:f>SUMIFS('Decade Metric'!$E:$E,'Decade Metric'!$A:$A,$A11,'Decade Metric'!$B:$B,E$1)</x:f>
        <x:v>0</x:v>
      </x:c>
      <x:c r="F11" s="57" t="n">
        <x:f>SUMIFS('Decade Metric'!$E:$E,'Decade Metric'!$A:$A,$A11,'Decade Metric'!$B:$B,F$1)</x:f>
        <x:v>0</x:v>
      </x:c>
      <x:c r="G11" s="57" t="n">
        <x:f>SUMIFS('Decade Metric'!$E:$E,'Decade Metric'!$A:$A,$A11,'Decade Metric'!$B:$B,G$1)</x:f>
        <x:v>0</x:v>
      </x:c>
      <x:c r="H11" s="57" t="n">
        <x:f>SUMIFS('Decade Metric'!$E:$E,'Decade Metric'!$A:$A,$A11,'Decade Metric'!$B:$B,H$1)</x:f>
        <x:v>0</x:v>
      </x:c>
      <x:c r="I11" s="57" t="n">
        <x:f>SUMIFS('Decade Metric'!$E:$E,'Decade Metric'!$A:$A,$A11,'Decade Metric'!$B:$B,I$1)</x:f>
        <x:v>0</x:v>
      </x:c>
      <x:c r="J11" s="57" t="n">
        <x:f>SUMIFS('Decade Metric'!$E:$E,'Decade Metric'!$A:$A,$A11,'Decade Metric'!$B:$B,J$1)</x:f>
        <x:v>0</x:v>
      </x:c>
      <x:c r="K11" s="57" t="n">
        <x:f>SUMIFS('Decade Metric'!$E:$E,'Decade Metric'!$A:$A,$A11,'Decade Metric'!$B:$B,K$1)</x:f>
        <x:v>0</x:v>
      </x:c>
      <x:c r="L11" s="57" t="n">
        <x:f>SUMIFS('Decade Metric'!$E:$E,'Decade Metric'!$A:$A,$A11,'Decade Metric'!$B:$B,L$1)</x:f>
        <x:v>0</x:v>
      </x:c>
      <x:c r="M11" s="57" t="n">
        <x:f>SUMIFS('Decade Metric'!$E:$E,'Decade Metric'!$A:$A,$A11,'Decade Metric'!$B:$B,M$1)</x:f>
        <x:v>0</x:v>
      </x:c>
      <x:c r="N11" s="57" t="n">
        <x:f>SUMIFS('Decade Metric'!$E:$E,'Decade Metric'!$A:$A,$A11,'Decade Metric'!$B:$B,N$1)</x:f>
        <x:v>0</x:v>
      </x:c>
      <x:c r="O11" s="57" t="n">
        <x:f>SUMIFS('Decade Metric'!$E:$E,'Decade Metric'!$A:$A,$A11,'Decade Metric'!$B:$B,O$1)</x:f>
        <x:v>0</x:v>
      </x:c>
      <x:c r="P11" s="57" t="n">
        <x:f>SUMIFS('Decade Metric'!$E:$E,'Decade Metric'!$A:$A,$A11,'Decade Metric'!$B:$B,P$1)</x:f>
        <x:v>0</x:v>
      </x:c>
      <x:c r="Q11" s="57" t="n">
        <x:f>SUMIFS('Decade Metric'!$E:$E,'Decade Metric'!$A:$A,$A11,'Decade Metric'!$B:$B,Q$1)</x:f>
        <x:v>0</x:v>
      </x:c>
    </x:row>
    <x:row r="12">
      <x:c r="A12" s="39" t="n">
        <x:v>1960</x:v>
      </x:c>
      <x:c r="B12" s="57" t="n">
        <x:f>SUMIFS('Decade Metric'!$E:$E,'Decade Metric'!$A:$A,$A12,'Decade Metric'!$B:$B,B$1)</x:f>
        <x:v>0</x:v>
      </x:c>
      <x:c r="C12" s="57" t="n">
        <x:f>SUMIFS('Decade Metric'!$E:$E,'Decade Metric'!$A:$A,$A12,'Decade Metric'!$B:$B,C$1)</x:f>
        <x:v>0</x:v>
      </x:c>
      <x:c r="D12" s="57" t="n">
        <x:f>SUMIFS('Decade Metric'!$E:$E,'Decade Metric'!$A:$A,$A12,'Decade Metric'!$B:$B,D$1)</x:f>
        <x:v>0</x:v>
      </x:c>
      <x:c r="E12" s="57" t="n">
        <x:f>SUMIFS('Decade Metric'!$E:$E,'Decade Metric'!$A:$A,$A12,'Decade Metric'!$B:$B,E$1)</x:f>
        <x:v>0</x:v>
      </x:c>
      <x:c r="F12" s="57" t="n">
        <x:f>SUMIFS('Decade Metric'!$E:$E,'Decade Metric'!$A:$A,$A12,'Decade Metric'!$B:$B,F$1)</x:f>
        <x:v>0</x:v>
      </x:c>
      <x:c r="G12" s="57" t="n">
        <x:f>SUMIFS('Decade Metric'!$E:$E,'Decade Metric'!$A:$A,$A12,'Decade Metric'!$B:$B,G$1)</x:f>
        <x:v>0</x:v>
      </x:c>
      <x:c r="H12" s="57" t="n">
        <x:f>SUMIFS('Decade Metric'!$E:$E,'Decade Metric'!$A:$A,$A12,'Decade Metric'!$B:$B,H$1)</x:f>
        <x:v>0</x:v>
      </x:c>
      <x:c r="I12" s="57" t="n">
        <x:f>SUMIFS('Decade Metric'!$E:$E,'Decade Metric'!$A:$A,$A12,'Decade Metric'!$B:$B,I$1)</x:f>
        <x:v>0</x:v>
      </x:c>
      <x:c r="J12" s="57" t="n">
        <x:f>SUMIFS('Decade Metric'!$E:$E,'Decade Metric'!$A:$A,$A12,'Decade Metric'!$B:$B,J$1)</x:f>
        <x:v>0</x:v>
      </x:c>
      <x:c r="K12" s="57" t="n">
        <x:f>SUMIFS('Decade Metric'!$E:$E,'Decade Metric'!$A:$A,$A12,'Decade Metric'!$B:$B,K$1)</x:f>
        <x:v>0</x:v>
      </x:c>
      <x:c r="L12" s="57" t="n">
        <x:f>SUMIFS('Decade Metric'!$E:$E,'Decade Metric'!$A:$A,$A12,'Decade Metric'!$B:$B,L$1)</x:f>
        <x:v>0</x:v>
      </x:c>
      <x:c r="M12" s="57" t="n">
        <x:f>SUMIFS('Decade Metric'!$E:$E,'Decade Metric'!$A:$A,$A12,'Decade Metric'!$B:$B,M$1)</x:f>
        <x:v>0</x:v>
      </x:c>
      <x:c r="N12" s="57" t="n">
        <x:f>SUMIFS('Decade Metric'!$E:$E,'Decade Metric'!$A:$A,$A12,'Decade Metric'!$B:$B,N$1)</x:f>
        <x:v>0</x:v>
      </x:c>
      <x:c r="O12" s="57" t="n">
        <x:f>SUMIFS('Decade Metric'!$E:$E,'Decade Metric'!$A:$A,$A12,'Decade Metric'!$B:$B,O$1)</x:f>
        <x:v>0</x:v>
      </x:c>
      <x:c r="P12" s="57" t="n">
        <x:f>SUMIFS('Decade Metric'!$E:$E,'Decade Metric'!$A:$A,$A12,'Decade Metric'!$B:$B,P$1)</x:f>
        <x:v>0</x:v>
      </x:c>
      <x:c r="Q12" s="57" t="n">
        <x:f>SUMIFS('Decade Metric'!$E:$E,'Decade Metric'!$A:$A,$A12,'Decade Metric'!$B:$B,Q$1)</x:f>
        <x:v>0</x:v>
      </x:c>
    </x:row>
    <x:row r="13">
      <x:c r="A13" s="39" t="n">
        <x:v>1970</x:v>
      </x:c>
      <x:c r="B13" s="57" t="n">
        <x:f>SUMIFS('Decade Metric'!$E:$E,'Decade Metric'!$A:$A,$A13,'Decade Metric'!$B:$B,B$1)</x:f>
        <x:v>0</x:v>
      </x:c>
      <x:c r="C13" s="57" t="n">
        <x:f>SUMIFS('Decade Metric'!$E:$E,'Decade Metric'!$A:$A,$A13,'Decade Metric'!$B:$B,C$1)</x:f>
        <x:v>0</x:v>
      </x:c>
      <x:c r="D13" s="57" t="n">
        <x:f>SUMIFS('Decade Metric'!$E:$E,'Decade Metric'!$A:$A,$A13,'Decade Metric'!$B:$B,D$1)</x:f>
        <x:v>0</x:v>
      </x:c>
      <x:c r="E13" s="57" t="n">
        <x:f>SUMIFS('Decade Metric'!$E:$E,'Decade Metric'!$A:$A,$A13,'Decade Metric'!$B:$B,E$1)</x:f>
        <x:v>0</x:v>
      </x:c>
      <x:c r="F13" s="57" t="n">
        <x:f>SUMIFS('Decade Metric'!$E:$E,'Decade Metric'!$A:$A,$A13,'Decade Metric'!$B:$B,F$1)</x:f>
        <x:v>0</x:v>
      </x:c>
      <x:c r="G13" s="57" t="n">
        <x:f>SUMIFS('Decade Metric'!$E:$E,'Decade Metric'!$A:$A,$A13,'Decade Metric'!$B:$B,G$1)</x:f>
        <x:v>0</x:v>
      </x:c>
      <x:c r="H13" s="57" t="n">
        <x:f>SUMIFS('Decade Metric'!$E:$E,'Decade Metric'!$A:$A,$A13,'Decade Metric'!$B:$B,H$1)</x:f>
        <x:v>0</x:v>
      </x:c>
      <x:c r="I13" s="57" t="n">
        <x:f>SUMIFS('Decade Metric'!$E:$E,'Decade Metric'!$A:$A,$A13,'Decade Metric'!$B:$B,I$1)</x:f>
        <x:v>0</x:v>
      </x:c>
      <x:c r="J13" s="57" t="n">
        <x:f>SUMIFS('Decade Metric'!$E:$E,'Decade Metric'!$A:$A,$A13,'Decade Metric'!$B:$B,J$1)</x:f>
        <x:v>0</x:v>
      </x:c>
      <x:c r="K13" s="57" t="n">
        <x:f>SUMIFS('Decade Metric'!$E:$E,'Decade Metric'!$A:$A,$A13,'Decade Metric'!$B:$B,K$1)</x:f>
        <x:v>0</x:v>
      </x:c>
      <x:c r="L13" s="57" t="n">
        <x:f>SUMIFS('Decade Metric'!$E:$E,'Decade Metric'!$A:$A,$A13,'Decade Metric'!$B:$B,L$1)</x:f>
        <x:v>0</x:v>
      </x:c>
      <x:c r="M13" s="57" t="n">
        <x:f>SUMIFS('Decade Metric'!$E:$E,'Decade Metric'!$A:$A,$A13,'Decade Metric'!$B:$B,M$1)</x:f>
        <x:v>0</x:v>
      </x:c>
      <x:c r="N13" s="57" t="n">
        <x:f>SUMIFS('Decade Metric'!$E:$E,'Decade Metric'!$A:$A,$A13,'Decade Metric'!$B:$B,N$1)</x:f>
        <x:v>0</x:v>
      </x:c>
      <x:c r="O13" s="57" t="n">
        <x:f>SUMIFS('Decade Metric'!$E:$E,'Decade Metric'!$A:$A,$A13,'Decade Metric'!$B:$B,O$1)</x:f>
        <x:v>0</x:v>
      </x:c>
      <x:c r="P13" s="57" t="n">
        <x:f>SUMIFS('Decade Metric'!$E:$E,'Decade Metric'!$A:$A,$A13,'Decade Metric'!$B:$B,P$1)</x:f>
        <x:v>0</x:v>
      </x:c>
      <x:c r="Q13" s="57" t="n">
        <x:f>SUMIFS('Decade Metric'!$E:$E,'Decade Metric'!$A:$A,$A13,'Decade Metric'!$B:$B,Q$1)</x:f>
        <x:v>0</x:v>
      </x:c>
    </x:row>
    <x:row r="14">
      <x:c r="A14" s="39" t="n">
        <x:v>1980</x:v>
      </x:c>
      <x:c r="B14" s="57" t="n">
        <x:f>SUMIFS('Decade Metric'!$E:$E,'Decade Metric'!$A:$A,$A14,'Decade Metric'!$B:$B,B$1)</x:f>
        <x:v>0</x:v>
      </x:c>
      <x:c r="C14" s="57" t="n">
        <x:f>SUMIFS('Decade Metric'!$E:$E,'Decade Metric'!$A:$A,$A14,'Decade Metric'!$B:$B,C$1)</x:f>
        <x:v>0</x:v>
      </x:c>
      <x:c r="D14" s="57" t="n">
        <x:f>SUMIFS('Decade Metric'!$E:$E,'Decade Metric'!$A:$A,$A14,'Decade Metric'!$B:$B,D$1)</x:f>
        <x:v>0</x:v>
      </x:c>
      <x:c r="E14" s="57" t="n">
        <x:f>SUMIFS('Decade Metric'!$E:$E,'Decade Metric'!$A:$A,$A14,'Decade Metric'!$B:$B,E$1)</x:f>
        <x:v>0</x:v>
      </x:c>
      <x:c r="F14" s="57" t="n">
        <x:f>SUMIFS('Decade Metric'!$E:$E,'Decade Metric'!$A:$A,$A14,'Decade Metric'!$B:$B,F$1)</x:f>
        <x:v>0</x:v>
      </x:c>
      <x:c r="G14" s="57" t="n">
        <x:f>SUMIFS('Decade Metric'!$E:$E,'Decade Metric'!$A:$A,$A14,'Decade Metric'!$B:$B,G$1)</x:f>
        <x:v>0</x:v>
      </x:c>
      <x:c r="H14" s="57" t="n">
        <x:f>SUMIFS('Decade Metric'!$E:$E,'Decade Metric'!$A:$A,$A14,'Decade Metric'!$B:$B,H$1)</x:f>
        <x:v>0</x:v>
      </x:c>
      <x:c r="I14" s="57" t="n">
        <x:f>SUMIFS('Decade Metric'!$E:$E,'Decade Metric'!$A:$A,$A14,'Decade Metric'!$B:$B,I$1)</x:f>
        <x:v>0</x:v>
      </x:c>
      <x:c r="J14" s="57" t="n">
        <x:f>SUMIFS('Decade Metric'!$E:$E,'Decade Metric'!$A:$A,$A14,'Decade Metric'!$B:$B,J$1)</x:f>
        <x:v>0</x:v>
      </x:c>
      <x:c r="K14" s="57" t="n">
        <x:f>SUMIFS('Decade Metric'!$E:$E,'Decade Metric'!$A:$A,$A14,'Decade Metric'!$B:$B,K$1)</x:f>
        <x:v>0</x:v>
      </x:c>
      <x:c r="L14" s="57" t="n">
        <x:f>SUMIFS('Decade Metric'!$E:$E,'Decade Metric'!$A:$A,$A14,'Decade Metric'!$B:$B,L$1)</x:f>
        <x:v>0</x:v>
      </x:c>
      <x:c r="M14" s="57" t="n">
        <x:f>SUMIFS('Decade Metric'!$E:$E,'Decade Metric'!$A:$A,$A14,'Decade Metric'!$B:$B,M$1)</x:f>
        <x:v>0</x:v>
      </x:c>
      <x:c r="N14" s="57" t="n">
        <x:f>SUMIFS('Decade Metric'!$E:$E,'Decade Metric'!$A:$A,$A14,'Decade Metric'!$B:$B,N$1)</x:f>
        <x:v>0</x:v>
      </x:c>
      <x:c r="O14" s="57" t="n">
        <x:f>SUMIFS('Decade Metric'!$E:$E,'Decade Metric'!$A:$A,$A14,'Decade Metric'!$B:$B,O$1)</x:f>
        <x:v>0</x:v>
      </x:c>
      <x:c r="P14" s="57" t="n">
        <x:f>SUMIFS('Decade Metric'!$E:$E,'Decade Metric'!$A:$A,$A14,'Decade Metric'!$B:$B,P$1)</x:f>
        <x:v>0</x:v>
      </x:c>
      <x:c r="Q14" s="57" t="n">
        <x:f>SUMIFS('Decade Metric'!$E:$E,'Decade Metric'!$A:$A,$A14,'Decade Metric'!$B:$B,Q$1)</x:f>
        <x:v>0</x:v>
      </x:c>
    </x:row>
    <x:row r="15">
      <x:c r="A15" s="39" t="n">
        <x:v>1990</x:v>
      </x:c>
      <x:c r="B15" s="57" t="n">
        <x:f>SUMIFS('Decade Metric'!$E:$E,'Decade Metric'!$A:$A,$A15,'Decade Metric'!$B:$B,B$1)</x:f>
        <x:v>0</x:v>
      </x:c>
      <x:c r="C15" s="57" t="n">
        <x:f>SUMIFS('Decade Metric'!$E:$E,'Decade Metric'!$A:$A,$A15,'Decade Metric'!$B:$B,C$1)</x:f>
        <x:v>0</x:v>
      </x:c>
      <x:c r="D15" s="57" t="n">
        <x:f>SUMIFS('Decade Metric'!$E:$E,'Decade Metric'!$A:$A,$A15,'Decade Metric'!$B:$B,D$1)</x:f>
        <x:v>0</x:v>
      </x:c>
      <x:c r="E15" s="57" t="n">
        <x:f>SUMIFS('Decade Metric'!$E:$E,'Decade Metric'!$A:$A,$A15,'Decade Metric'!$B:$B,E$1)</x:f>
        <x:v>0</x:v>
      </x:c>
      <x:c r="F15" s="57" t="n">
        <x:f>SUMIFS('Decade Metric'!$E:$E,'Decade Metric'!$A:$A,$A15,'Decade Metric'!$B:$B,F$1)</x:f>
        <x:v>0</x:v>
      </x:c>
      <x:c r="G15" s="57" t="n">
        <x:f>SUMIFS('Decade Metric'!$E:$E,'Decade Metric'!$A:$A,$A15,'Decade Metric'!$B:$B,G$1)</x:f>
        <x:v>0</x:v>
      </x:c>
      <x:c r="H15" s="57" t="n">
        <x:f>SUMIFS('Decade Metric'!$E:$E,'Decade Metric'!$A:$A,$A15,'Decade Metric'!$B:$B,H$1)</x:f>
        <x:v>0</x:v>
      </x:c>
      <x:c r="I15" s="57" t="n">
        <x:f>SUMIFS('Decade Metric'!$E:$E,'Decade Metric'!$A:$A,$A15,'Decade Metric'!$B:$B,I$1)</x:f>
        <x:v>0</x:v>
      </x:c>
      <x:c r="J15" s="57" t="n">
        <x:f>SUMIFS('Decade Metric'!$E:$E,'Decade Metric'!$A:$A,$A15,'Decade Metric'!$B:$B,J$1)</x:f>
        <x:v>0</x:v>
      </x:c>
      <x:c r="K15" s="57" t="n">
        <x:f>SUMIFS('Decade Metric'!$E:$E,'Decade Metric'!$A:$A,$A15,'Decade Metric'!$B:$B,K$1)</x:f>
        <x:v>0</x:v>
      </x:c>
      <x:c r="L15" s="57" t="n">
        <x:f>SUMIFS('Decade Metric'!$E:$E,'Decade Metric'!$A:$A,$A15,'Decade Metric'!$B:$B,L$1)</x:f>
        <x:v>0</x:v>
      </x:c>
      <x:c r="M15" s="57" t="n">
        <x:f>SUMIFS('Decade Metric'!$E:$E,'Decade Metric'!$A:$A,$A15,'Decade Metric'!$B:$B,M$1)</x:f>
        <x:v>0</x:v>
      </x:c>
      <x:c r="N15" s="57" t="n">
        <x:f>SUMIFS('Decade Metric'!$E:$E,'Decade Metric'!$A:$A,$A15,'Decade Metric'!$B:$B,N$1)</x:f>
        <x:v>0</x:v>
      </x:c>
      <x:c r="O15" s="57" t="n">
        <x:f>SUMIFS('Decade Metric'!$E:$E,'Decade Metric'!$A:$A,$A15,'Decade Metric'!$B:$B,O$1)</x:f>
        <x:v>0</x:v>
      </x:c>
      <x:c r="P15" s="57" t="n">
        <x:f>SUMIFS('Decade Metric'!$E:$E,'Decade Metric'!$A:$A,$A15,'Decade Metric'!$B:$B,P$1)</x:f>
        <x:v>0</x:v>
      </x:c>
      <x:c r="Q15" s="57" t="n">
        <x:f>SUMIFS('Decade Metric'!$E:$E,'Decade Metric'!$A:$A,$A15,'Decade Metric'!$B:$B,Q$1)</x:f>
        <x:v>0</x:v>
      </x:c>
    </x:row>
    <x:row r="16">
      <x:c r="A16" s="39" t="n">
        <x:v>2000</x:v>
      </x:c>
      <x:c r="B16" s="57" t="n">
        <x:f>SUMIFS('Decade Metric'!$E:$E,'Decade Metric'!$A:$A,$A16,'Decade Metric'!$B:$B,B$1)</x:f>
        <x:v>0</x:v>
      </x:c>
      <x:c r="C16" s="57" t="n">
        <x:f>SUMIFS('Decade Metric'!$E:$E,'Decade Metric'!$A:$A,$A16,'Decade Metric'!$B:$B,C$1)</x:f>
        <x:v>0</x:v>
      </x:c>
      <x:c r="D16" s="57" t="n">
        <x:f>SUMIFS('Decade Metric'!$E:$E,'Decade Metric'!$A:$A,$A16,'Decade Metric'!$B:$B,D$1)</x:f>
        <x:v>0</x:v>
      </x:c>
      <x:c r="E16" s="57" t="n">
        <x:f>SUMIFS('Decade Metric'!$E:$E,'Decade Metric'!$A:$A,$A16,'Decade Metric'!$B:$B,E$1)</x:f>
        <x:v>0</x:v>
      </x:c>
      <x:c r="F16" s="57" t="n">
        <x:f>SUMIFS('Decade Metric'!$E:$E,'Decade Metric'!$A:$A,$A16,'Decade Metric'!$B:$B,F$1)</x:f>
        <x:v>0</x:v>
      </x:c>
      <x:c r="G16" s="57" t="n">
        <x:f>SUMIFS('Decade Metric'!$E:$E,'Decade Metric'!$A:$A,$A16,'Decade Metric'!$B:$B,G$1)</x:f>
        <x:v>0</x:v>
      </x:c>
      <x:c r="H16" s="57" t="n">
        <x:f>SUMIFS('Decade Metric'!$E:$E,'Decade Metric'!$A:$A,$A16,'Decade Metric'!$B:$B,H$1)</x:f>
        <x:v>0</x:v>
      </x:c>
      <x:c r="I16" s="57" t="n">
        <x:f>SUMIFS('Decade Metric'!$E:$E,'Decade Metric'!$A:$A,$A16,'Decade Metric'!$B:$B,I$1)</x:f>
        <x:v>0</x:v>
      </x:c>
      <x:c r="J16" s="57" t="n">
        <x:f>SUMIFS('Decade Metric'!$E:$E,'Decade Metric'!$A:$A,$A16,'Decade Metric'!$B:$B,J$1)</x:f>
        <x:v>0</x:v>
      </x:c>
      <x:c r="K16" s="57" t="n">
        <x:f>SUMIFS('Decade Metric'!$E:$E,'Decade Metric'!$A:$A,$A16,'Decade Metric'!$B:$B,K$1)</x:f>
        <x:v>0</x:v>
      </x:c>
      <x:c r="L16" s="57" t="n">
        <x:f>SUMIFS('Decade Metric'!$E:$E,'Decade Metric'!$A:$A,$A16,'Decade Metric'!$B:$B,L$1)</x:f>
        <x:v>0</x:v>
      </x:c>
      <x:c r="M16" s="57" t="n">
        <x:f>SUMIFS('Decade Metric'!$E:$E,'Decade Metric'!$A:$A,$A16,'Decade Metric'!$B:$B,M$1)</x:f>
        <x:v>0</x:v>
      </x:c>
      <x:c r="N16" s="57" t="n">
        <x:f>SUMIFS('Decade Metric'!$E:$E,'Decade Metric'!$A:$A,$A16,'Decade Metric'!$B:$B,N$1)</x:f>
        <x:v>0</x:v>
      </x:c>
      <x:c r="O16" s="57" t="n">
        <x:f>SUMIFS('Decade Metric'!$E:$E,'Decade Metric'!$A:$A,$A16,'Decade Metric'!$B:$B,O$1)</x:f>
        <x:v>0</x:v>
      </x:c>
      <x:c r="P16" s="57" t="n">
        <x:f>SUMIFS('Decade Metric'!$E:$E,'Decade Metric'!$A:$A,$A16,'Decade Metric'!$B:$B,P$1)</x:f>
        <x:v>0</x:v>
      </x:c>
      <x:c r="Q16" s="57" t="n">
        <x:f>SUMIFS('Decade Metric'!$E:$E,'Decade Metric'!$A:$A,$A16,'Decade Metric'!$B:$B,Q$1)</x:f>
        <x:v>0</x:v>
      </x:c>
    </x:row>
    <x:row r="17">
      <x:c r="A17" s="39" t="n">
        <x:v>2010</x:v>
      </x:c>
      <x:c r="B17" s="57" t="n">
        <x:f>SUMIFS('Decade Metric'!$E:$E,'Decade Metric'!$A:$A,$A17,'Decade Metric'!$B:$B,B$1)</x:f>
        <x:v>0</x:v>
      </x:c>
      <x:c r="C17" s="57" t="n">
        <x:f>SUMIFS('Decade Metric'!$E:$E,'Decade Metric'!$A:$A,$A17,'Decade Metric'!$B:$B,C$1)</x:f>
        <x:v>0</x:v>
      </x:c>
      <x:c r="D17" s="57" t="n">
        <x:f>SUMIFS('Decade Metric'!$E:$E,'Decade Metric'!$A:$A,$A17,'Decade Metric'!$B:$B,D$1)</x:f>
        <x:v>0</x:v>
      </x:c>
      <x:c r="E17" s="57" t="n">
        <x:f>SUMIFS('Decade Metric'!$E:$E,'Decade Metric'!$A:$A,$A17,'Decade Metric'!$B:$B,E$1)</x:f>
        <x:v>0</x:v>
      </x:c>
      <x:c r="F17" s="57" t="n">
        <x:f>SUMIFS('Decade Metric'!$E:$E,'Decade Metric'!$A:$A,$A17,'Decade Metric'!$B:$B,F$1)</x:f>
        <x:v>0</x:v>
      </x:c>
      <x:c r="G17" s="57" t="n">
        <x:f>SUMIFS('Decade Metric'!$E:$E,'Decade Metric'!$A:$A,$A17,'Decade Metric'!$B:$B,G$1)</x:f>
        <x:v>0</x:v>
      </x:c>
      <x:c r="H17" s="57" t="n">
        <x:f>SUMIFS('Decade Metric'!$E:$E,'Decade Metric'!$A:$A,$A17,'Decade Metric'!$B:$B,H$1)</x:f>
        <x:v>0</x:v>
      </x:c>
      <x:c r="I17" s="57" t="n">
        <x:f>SUMIFS('Decade Metric'!$E:$E,'Decade Metric'!$A:$A,$A17,'Decade Metric'!$B:$B,I$1)</x:f>
        <x:v>0</x:v>
      </x:c>
      <x:c r="J17" s="57" t="n">
        <x:f>SUMIFS('Decade Metric'!$E:$E,'Decade Metric'!$A:$A,$A17,'Decade Metric'!$B:$B,J$1)</x:f>
        <x:v>0</x:v>
      </x:c>
      <x:c r="K17" s="57" t="n">
        <x:f>SUMIFS('Decade Metric'!$E:$E,'Decade Metric'!$A:$A,$A17,'Decade Metric'!$B:$B,K$1)</x:f>
        <x:v>0</x:v>
      </x:c>
      <x:c r="L17" s="57" t="n">
        <x:f>SUMIFS('Decade Metric'!$E:$E,'Decade Metric'!$A:$A,$A17,'Decade Metric'!$B:$B,L$1)</x:f>
        <x:v>0</x:v>
      </x:c>
      <x:c r="M17" s="57" t="n">
        <x:f>SUMIFS('Decade Metric'!$E:$E,'Decade Metric'!$A:$A,$A17,'Decade Metric'!$B:$B,M$1)</x:f>
        <x:v>0</x:v>
      </x:c>
      <x:c r="N17" s="57" t="n">
        <x:f>SUMIFS('Decade Metric'!$E:$E,'Decade Metric'!$A:$A,$A17,'Decade Metric'!$B:$B,N$1)</x:f>
        <x:v>0</x:v>
      </x:c>
      <x:c r="O17" s="57" t="n">
        <x:f>SUMIFS('Decade Metric'!$E:$E,'Decade Metric'!$A:$A,$A17,'Decade Metric'!$B:$B,O$1)</x:f>
        <x:v>0</x:v>
      </x:c>
      <x:c r="P17" s="57" t="n">
        <x:f>SUMIFS('Decade Metric'!$E:$E,'Decade Metric'!$A:$A,$A17,'Decade Metric'!$B:$B,P$1)</x:f>
        <x:v>0</x:v>
      </x:c>
      <x:c r="Q17" s="57" t="n">
        <x:f>SUMIFS('Decade Metric'!$E:$E,'Decade Metric'!$A:$A,$A17,'Decade Metric'!$B:$B,Q$1)</x:f>
        <x:v>0</x:v>
      </x:c>
    </x:row>
    <x:row r="18">
      <x:c r="A18" s="39" t="n">
        <x:v>2020</x:v>
      </x:c>
      <x:c r="B18" s="57" t="n">
        <x:f>SUMIFS('Decade Metric'!$E:$E,'Decade Metric'!$A:$A,$A18,'Decade Metric'!$B:$B,B$1)</x:f>
        <x:v>0</x:v>
      </x:c>
      <x:c r="C18" s="57" t="n">
        <x:f>SUMIFS('Decade Metric'!$E:$E,'Decade Metric'!$A:$A,$A18,'Decade Metric'!$B:$B,C$1)</x:f>
        <x:v>0</x:v>
      </x:c>
      <x:c r="D18" s="57" t="n">
        <x:f>SUMIFS('Decade Metric'!$E:$E,'Decade Metric'!$A:$A,$A18,'Decade Metric'!$B:$B,D$1)</x:f>
        <x:v>0</x:v>
      </x:c>
      <x:c r="E18" s="57" t="n">
        <x:f>SUMIFS('Decade Metric'!$E:$E,'Decade Metric'!$A:$A,$A18,'Decade Metric'!$B:$B,E$1)</x:f>
        <x:v>0</x:v>
      </x:c>
      <x:c r="F18" s="57" t="n">
        <x:f>SUMIFS('Decade Metric'!$E:$E,'Decade Metric'!$A:$A,$A18,'Decade Metric'!$B:$B,F$1)</x:f>
        <x:v>0</x:v>
      </x:c>
      <x:c r="G18" s="57" t="n">
        <x:f>SUMIFS('Decade Metric'!$E:$E,'Decade Metric'!$A:$A,$A18,'Decade Metric'!$B:$B,G$1)</x:f>
        <x:v>0</x:v>
      </x:c>
      <x:c r="H18" s="57" t="n">
        <x:f>SUMIFS('Decade Metric'!$E:$E,'Decade Metric'!$A:$A,$A18,'Decade Metric'!$B:$B,H$1)</x:f>
        <x:v>0</x:v>
      </x:c>
      <x:c r="I18" s="57" t="n">
        <x:f>SUMIFS('Decade Metric'!$E:$E,'Decade Metric'!$A:$A,$A18,'Decade Metric'!$B:$B,I$1)</x:f>
        <x:v>0</x:v>
      </x:c>
      <x:c r="J18" s="57" t="n">
        <x:f>SUMIFS('Decade Metric'!$E:$E,'Decade Metric'!$A:$A,$A18,'Decade Metric'!$B:$B,J$1)</x:f>
        <x:v>0</x:v>
      </x:c>
      <x:c r="K18" s="57" t="n">
        <x:f>SUMIFS('Decade Metric'!$E:$E,'Decade Metric'!$A:$A,$A18,'Decade Metric'!$B:$B,K$1)</x:f>
        <x:v>0</x:v>
      </x:c>
      <x:c r="L18" s="57" t="n">
        <x:f>SUMIFS('Decade Metric'!$E:$E,'Decade Metric'!$A:$A,$A18,'Decade Metric'!$B:$B,L$1)</x:f>
        <x:v>0</x:v>
      </x:c>
      <x:c r="M18" s="57" t="n">
        <x:f>SUMIFS('Decade Metric'!$E:$E,'Decade Metric'!$A:$A,$A18,'Decade Metric'!$B:$B,M$1)</x:f>
        <x:v>0</x:v>
      </x:c>
      <x:c r="N18" s="57" t="n">
        <x:f>SUMIFS('Decade Metric'!$E:$E,'Decade Metric'!$A:$A,$A18,'Decade Metric'!$B:$B,N$1)</x:f>
        <x:v>0</x:v>
      </x:c>
      <x:c r="O18" s="57" t="n">
        <x:f>SUMIFS('Decade Metric'!$E:$E,'Decade Metric'!$A:$A,$A18,'Decade Metric'!$B:$B,O$1)</x:f>
        <x:v>0</x:v>
      </x:c>
      <x:c r="P18" s="57" t="n">
        <x:f>SUMIFS('Decade Metric'!$E:$E,'Decade Metric'!$A:$A,$A18,'Decade Metric'!$B:$B,P$1)</x:f>
        <x:v>0</x:v>
      </x:c>
      <x:c r="Q18" s="57" t="n">
        <x:f>SUMIFS('Decade Metric'!$E:$E,'Decade Metric'!$A:$A,$A18,'Decade Metric'!$B:$B,Q$1)</x:f>
        <x:v>0</x:v>
      </x:c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</x:row>
  </x:sheetData>
  <x:pageMargins left="0.7" right="0.7" top="0.75" bottom="0.75" header="0.3" footer="0.3"/>
  <x:drawing xmlns:r="http://schemas.openxmlformats.org/officeDocument/2006/relationships" r:id="R57aefa15e1da42d9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9" t="str">
        <x:v>CDMX — Population per current alcaldía, 1860–2020 (decadal)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</x:row>
    <x:row r="2">
      <x:c r="A2" s="39" t="str">
        <x:v>Cell color shows data quality. GREEN = census measurement (real INEGI data for that alcaldía). GOLD = split from observed aggregate (1950–1970 central-4 aggregate split by 1980 census shares). ORANGE = back-cast / proxy (pre-1928 estimates based on territorial mapping of historical municipios + DF-wide growth). Use GREEN cells for any regression. ORANGE cells are for narrative / visual purposes only.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</x:row>
    <x:row r="4">
      <x:c r="A4" s="38" t="str">
        <x:v>Alcaldía</x:v>
      </x:c>
      <x:c r="B4" s="38" t="n">
        <x:v>1860</x:v>
      </x:c>
      <x:c r="C4" s="38" t="n">
        <x:v>1870</x:v>
      </x:c>
      <x:c r="D4" s="38" t="n">
        <x:v>1880</x:v>
      </x:c>
      <x:c r="E4" s="38" t="n">
        <x:v>1890</x:v>
      </x:c>
      <x:c r="F4" s="38" t="n">
        <x:v>1900</x:v>
      </x:c>
      <x:c r="G4" s="38" t="n">
        <x:v>1910</x:v>
      </x:c>
      <x:c r="H4" s="38" t="n">
        <x:v>1920</x:v>
      </x:c>
      <x:c r="I4" s="38" t="n">
        <x:v>1930</x:v>
      </x:c>
      <x:c r="J4" s="38" t="n">
        <x:v>1940</x:v>
      </x:c>
      <x:c r="K4" s="38" t="n">
        <x:v>1950</x:v>
      </x:c>
      <x:c r="L4" s="38" t="n">
        <x:v>1960</x:v>
      </x:c>
      <x:c r="M4" s="38" t="n">
        <x:v>1970</x:v>
      </x:c>
      <x:c r="N4" s="38" t="n">
        <x:v>1980</x:v>
      </x:c>
      <x:c r="O4" s="38" t="n">
        <x:v>1990</x:v>
      </x:c>
      <x:c r="P4" s="38" t="n">
        <x:v>2000</x:v>
      </x:c>
      <x:c r="Q4" s="38" t="n">
        <x:v>2010</x:v>
      </x:c>
      <x:c r="R4" s="38" t="n">
        <x:v>2020</x:v>
      </x:c>
    </x:row>
    <x:row r="5">
      <x:c r="A5" s="39" t="str">
        <x:v>Álvaro Obregón</x:v>
      </x:c>
      <x:c r="B5" s="39" t="n">
        <x:v>5363</x:v>
      </x:c>
      <x:c r="C5" s="39" t="n">
        <x:v>5850</x:v>
      </x:c>
      <x:c r="D5" s="39" t="n">
        <x:v>7069</x:v>
      </x:c>
      <x:c r="E5" s="39" t="n">
        <x:v>9750</x:v>
      </x:c>
      <x:c r="F5" s="39" t="n">
        <x:v>13194</x:v>
      </x:c>
      <x:c r="G5" s="39" t="n">
        <x:v>20166</x:v>
      </x:c>
      <x:c r="H5" s="39" t="n">
        <x:v>26498</x:v>
      </x:c>
      <x:c r="I5" s="39" t="n">
        <x:v>36753</x:v>
      </x:c>
      <x:c r="J5" s="39" t="n">
        <x:v>53222</x:v>
      </x:c>
      <x:c r="K5" s="39" t="n">
        <x:v>93176</x:v>
      </x:c>
      <x:c r="L5" s="39" t="n">
        <x:v>220011</x:v>
      </x:c>
      <x:c r="M5" s="39" t="n">
        <x:v>456709</x:v>
      </x:c>
      <x:c r="N5" s="39" t="n">
        <x:v>639213</x:v>
      </x:c>
      <x:c r="O5" s="39" t="n">
        <x:v>642753</x:v>
      </x:c>
      <x:c r="P5" s="39" t="n">
        <x:v>687020</x:v>
      </x:c>
      <x:c r="Q5" s="39" t="n">
        <x:v>727034</x:v>
      </x:c>
      <x:c r="R5" s="39" t="n">
        <x:v>759137</x:v>
      </x:c>
    </x:row>
    <x:row r="6">
      <x:c r="A6" s="39" t="str">
        <x:v>Azcapotzalco</x:v>
      </x:c>
      <x:c r="B6" s="39" t="n">
        <x:v>4916</x:v>
      </x:c>
      <x:c r="C6" s="39" t="n">
        <x:v>5363</x:v>
      </x:c>
      <x:c r="D6" s="39" t="n">
        <x:v>6480</x:v>
      </x:c>
      <x:c r="E6" s="39" t="n">
        <x:v>8938</x:v>
      </x:c>
      <x:c r="F6" s="39" t="n">
        <x:v>12095</x:v>
      </x:c>
      <x:c r="G6" s="39" t="n">
        <x:v>32638</x:v>
      </x:c>
      <x:c r="H6" s="39" t="n">
        <x:v>48320</x:v>
      </x:c>
      <x:c r="I6" s="39" t="n">
        <x:v>70615</x:v>
      </x:c>
      <x:c r="J6" s="39" t="n">
        <x:v>105306</x:v>
      </x:c>
      <x:c r="K6" s="39" t="n">
        <x:v>187864</x:v>
      </x:c>
      <x:c r="L6" s="39" t="n">
        <x:v>370724</x:v>
      </x:c>
      <x:c r="M6" s="39" t="n">
        <x:v>534554</x:v>
      </x:c>
      <x:c r="N6" s="39" t="n">
        <x:v>601524</x:v>
      </x:c>
      <x:c r="O6" s="39" t="n">
        <x:v>474688</x:v>
      </x:c>
      <x:c r="P6" s="39" t="n">
        <x:v>441008</x:v>
      </x:c>
      <x:c r="Q6" s="39" t="n">
        <x:v>414711</x:v>
      </x:c>
      <x:c r="R6" s="39" t="n">
        <x:v>432205</x:v>
      </x:c>
    </x:row>
    <x:row r="7">
      <x:c r="A7" s="39" t="str">
        <x:v>Benito Juárez</x:v>
      </x:c>
      <x:c r="B7" s="39" t="n">
        <x:v>31283</x:v>
      </x:c>
      <x:c r="C7" s="39" t="n">
        <x:v>34126</x:v>
      </x:c>
      <x:c r="D7" s="39" t="n">
        <x:v>41236</x:v>
      </x:c>
      <x:c r="E7" s="39" t="n">
        <x:v>56877</x:v>
      </x:c>
      <x:c r="F7" s="39" t="n">
        <x:v>76967</x:v>
      </x:c>
      <x:c r="G7" s="39" t="n">
        <x:v>107351</x:v>
      </x:c>
      <x:c r="H7" s="39" t="n">
        <x:v>137115</x:v>
      </x:c>
      <x:c r="I7" s="39" t="n">
        <x:v>187569</x:v>
      </x:c>
      <x:c r="J7" s="39" t="n">
        <x:v>269404</x:v>
      </x:c>
      <x:c r="K7" s="39" t="n">
        <x:v>469100</x:v>
      </x:c>
      <x:c r="L7" s="39" t="n">
        <x:v>594485</x:v>
      </x:c>
      <x:c r="M7" s="39" t="n">
        <x:v>609354</x:v>
      </x:c>
      <x:c r="N7" s="39" t="n">
        <x:v>544882</x:v>
      </x:c>
      <x:c r="O7" s="39" t="n">
        <x:v>407811</x:v>
      </x:c>
      <x:c r="P7" s="39" t="n">
        <x:v>360478</x:v>
      </x:c>
      <x:c r="Q7" s="39" t="n">
        <x:v>385439</x:v>
      </x:c>
      <x:c r="R7" s="39" t="n">
        <x:v>434153</x:v>
      </x:c>
    </x:row>
    <x:row r="8">
      <x:c r="A8" s="39" t="str">
        <x:v>Coyoacán</x:v>
      </x:c>
      <x:c r="B8" s="39" t="n">
        <x:v>4022</x:v>
      </x:c>
      <x:c r="C8" s="39" t="n">
        <x:v>4388</x:v>
      </x:c>
      <x:c r="D8" s="39" t="n">
        <x:v>5302</x:v>
      </x:c>
      <x:c r="E8" s="39" t="n">
        <x:v>7313</x:v>
      </x:c>
      <x:c r="F8" s="39" t="n">
        <x:v>9896</x:v>
      </x:c>
      <x:c r="G8" s="39" t="n">
        <x:v>15141</x:v>
      </x:c>
      <x:c r="H8" s="39" t="n">
        <x:v>19902</x:v>
      </x:c>
      <x:c r="I8" s="39" t="n">
        <x:v>27609</x:v>
      </x:c>
      <x:c r="J8" s="39" t="n">
        <x:v>39984</x:v>
      </x:c>
      <x:c r="K8" s="39" t="n">
        <x:v>70005</x:v>
      </x:c>
      <x:c r="L8" s="39" t="n">
        <x:v>169811</x:v>
      </x:c>
      <x:c r="M8" s="39" t="n">
        <x:v>339446</x:v>
      </x:c>
      <x:c r="N8" s="39" t="n">
        <x:v>597129</x:v>
      </x:c>
      <x:c r="O8" s="39" t="n">
        <x:v>640066</x:v>
      </x:c>
      <x:c r="P8" s="39" t="n">
        <x:v>640423</x:v>
      </x:c>
      <x:c r="Q8" s="39" t="n">
        <x:v>620416</x:v>
      </x:c>
      <x:c r="R8" s="39" t="n">
        <x:v>614447</x:v>
      </x:c>
    </x:row>
    <x:row r="9">
      <x:c r="A9" s="39" t="str">
        <x:v>Cuajimalpa de Morelos</x:v>
      </x:c>
      <x:c r="B9" s="39" t="n">
        <x:v>2234</x:v>
      </x:c>
      <x:c r="C9" s="39" t="n">
        <x:v>2438</x:v>
      </x:c>
      <x:c r="D9" s="39" t="n">
        <x:v>2945</x:v>
      </x:c>
      <x:c r="E9" s="39" t="n">
        <x:v>4063</x:v>
      </x:c>
      <x:c r="F9" s="39" t="n">
        <x:v>5498</x:v>
      </x:c>
      <x:c r="G9" s="39" t="n">
        <x:v>4376</x:v>
      </x:c>
      <x:c r="H9" s="39" t="n">
        <x:v>4204</x:v>
      </x:c>
      <x:c r="I9" s="39" t="n">
        <x:v>4809</x:v>
      </x:c>
      <x:c r="J9" s="39" t="n">
        <x:v>6096</x:v>
      </x:c>
      <x:c r="K9" s="39" t="n">
        <x:v>9676</x:v>
      </x:c>
      <x:c r="L9" s="39" t="n">
        <x:v>19199</x:v>
      </x:c>
      <x:c r="M9" s="39" t="n">
        <x:v>36200</x:v>
      </x:c>
      <x:c r="N9" s="39" t="n">
        <x:v>91200</x:v>
      </x:c>
      <x:c r="O9" s="39" t="n">
        <x:v>119669</x:v>
      </x:c>
      <x:c r="P9" s="39" t="n">
        <x:v>151222</x:v>
      </x:c>
      <x:c r="Q9" s="39" t="n">
        <x:v>186391</x:v>
      </x:c>
      <x:c r="R9" s="39" t="n">
        <x:v>217686</x:v>
      </x:c>
    </x:row>
    <x:row r="10">
      <x:c r="A10" s="39" t="str">
        <x:v>Cuauhtémoc</x:v>
      </x:c>
      <x:c r="B10" s="39" t="n">
        <x:v>71503</x:v>
      </x:c>
      <x:c r="C10" s="39" t="n">
        <x:v>78003</x:v>
      </x:c>
      <x:c r="D10" s="39" t="n">
        <x:v>94254</x:v>
      </x:c>
      <x:c r="E10" s="39" t="n">
        <x:v>130005</x:v>
      </x:c>
      <x:c r="F10" s="39" t="n">
        <x:v>175924</x:v>
      </x:c>
      <x:c r="G10" s="39" t="n">
        <x:v>194179</x:v>
      </x:c>
      <x:c r="H10" s="39" t="n">
        <x:v>226485</x:v>
      </x:c>
      <x:c r="I10" s="39" t="n">
        <x:v>295164</x:v>
      </x:c>
      <x:c r="J10" s="39" t="n">
        <x:v>411339</x:v>
      </x:c>
      <x:c r="K10" s="39" t="n">
        <x:v>701635</x:v>
      </x:c>
      <x:c r="L10" s="39" t="n">
        <x:v>889175</x:v>
      </x:c>
      <x:c r="M10" s="39" t="n">
        <x:v>911414</x:v>
      </x:c>
      <x:c r="N10" s="39" t="n">
        <x:v>814983</x:v>
      </x:c>
      <x:c r="O10" s="39" t="n">
        <x:v>595960</x:v>
      </x:c>
      <x:c r="P10" s="39" t="n">
        <x:v>516255</x:v>
      </x:c>
      <x:c r="Q10" s="39" t="n">
        <x:v>531831</x:v>
      </x:c>
      <x:c r="R10" s="39" t="n">
        <x:v>545884</x:v>
      </x:c>
    </x:row>
    <x:row r="11">
      <x:c r="A11" s="39" t="str">
        <x:v>Gustavo A. Madero</x:v>
      </x:c>
      <x:c r="B11" s="39" t="n">
        <x:v>4469</x:v>
      </x:c>
      <x:c r="C11" s="39" t="n">
        <x:v>4875</x:v>
      </x:c>
      <x:c r="D11" s="39" t="n">
        <x:v>5891</x:v>
      </x:c>
      <x:c r="E11" s="39" t="n">
        <x:v>8125</x:v>
      </x:c>
      <x:c r="F11" s="39" t="n">
        <x:v>10995</x:v>
      </x:c>
      <x:c r="G11" s="39" t="n">
        <x:v>34375</x:v>
      </x:c>
      <x:c r="H11" s="39" t="n">
        <x:v>51913</x:v>
      </x:c>
      <x:c r="I11" s="39" t="n">
        <x:v>76467</x:v>
      </x:c>
      <x:c r="J11" s="39" t="n">
        <x:v>114516</x:v>
      </x:c>
      <x:c r="K11" s="39" t="n">
        <x:v>204833</x:v>
      </x:c>
      <x:c r="L11" s="39" t="n">
        <x:v>579180</x:v>
      </x:c>
      <x:c r="M11" s="39" t="n">
        <x:v>1186107</x:v>
      </x:c>
      <x:c r="N11" s="39" t="n">
        <x:v>1513360</x:v>
      </x:c>
      <x:c r="O11" s="39" t="n">
        <x:v>1268068</x:v>
      </x:c>
      <x:c r="P11" s="39" t="n">
        <x:v>1235542</x:v>
      </x:c>
      <x:c r="Q11" s="39" t="n">
        <x:v>1185772</x:v>
      </x:c>
      <x:c r="R11" s="39" t="n">
        <x:v>1173351</x:v>
      </x:c>
    </x:row>
    <x:row r="12">
      <x:c r="A12" s="39" t="str">
        <x:v>Iztacalco</x:v>
      </x:c>
      <x:c r="B12" s="39" t="n">
        <x:v>2011</x:v>
      </x:c>
      <x:c r="C12" s="39" t="n">
        <x:v>2194</x:v>
      </x:c>
      <x:c r="D12" s="39" t="n">
        <x:v>2651</x:v>
      </x:c>
      <x:c r="E12" s="39" t="n">
        <x:v>3656</x:v>
      </x:c>
      <x:c r="F12" s="39" t="n">
        <x:v>4948</x:v>
      </x:c>
      <x:c r="G12" s="39" t="n">
        <x:v>7424</x:v>
      </x:c>
      <x:c r="H12" s="39" t="n">
        <x:v>9703</x:v>
      </x:c>
      <x:c r="I12" s="39" t="n">
        <x:v>13423</x:v>
      </x:c>
      <x:c r="J12" s="39" t="n">
        <x:v>19409</x:v>
      </x:c>
      <x:c r="K12" s="39" t="n">
        <x:v>33945</x:v>
      </x:c>
      <x:c r="L12" s="39" t="n">
        <x:v>198904</x:v>
      </x:c>
      <x:c r="M12" s="39" t="n">
        <x:v>477331</x:v>
      </x:c>
      <x:c r="N12" s="39" t="n">
        <x:v>570377</x:v>
      </x:c>
      <x:c r="O12" s="39" t="n">
        <x:v>448322</x:v>
      </x:c>
      <x:c r="P12" s="39" t="n">
        <x:v>411321</x:v>
      </x:c>
      <x:c r="Q12" s="39" t="n">
        <x:v>384326</x:v>
      </x:c>
      <x:c r="R12" s="39" t="n">
        <x:v>404695</x:v>
      </x:c>
    </x:row>
    <x:row r="13">
      <x:c r="A13" s="39" t="str">
        <x:v>Iztapalapa</x:v>
      </x:c>
      <x:c r="B13" s="39" t="n">
        <x:v>5363</x:v>
      </x:c>
      <x:c r="C13" s="39" t="n">
        <x:v>5850</x:v>
      </x:c>
      <x:c r="D13" s="39" t="n">
        <x:v>7069</x:v>
      </x:c>
      <x:c r="E13" s="39" t="n">
        <x:v>9750</x:v>
      </x:c>
      <x:c r="F13" s="39" t="n">
        <x:v>13194</x:v>
      </x:c>
      <x:c r="G13" s="39" t="n">
        <x:v>17879</x:v>
      </x:c>
      <x:c r="H13" s="39" t="n">
        <x:v>22615</x:v>
      </x:c>
      <x:c r="I13" s="39" t="n">
        <x:v>30787</x:v>
      </x:c>
      <x:c r="J13" s="39" t="n">
        <x:v>44089</x:v>
      </x:c>
      <x:c r="K13" s="39" t="n">
        <x:v>76621</x:v>
      </x:c>
      <x:c r="L13" s="39" t="n">
        <x:v>254355</x:v>
      </x:c>
      <x:c r="M13" s="39" t="n">
        <x:v>522095</x:v>
      </x:c>
      <x:c r="N13" s="39" t="n">
        <x:v>1262354</x:v>
      </x:c>
      <x:c r="O13" s="39" t="n">
        <x:v>1490499</x:v>
      </x:c>
      <x:c r="P13" s="39" t="n">
        <x:v>1773343</x:v>
      </x:c>
      <x:c r="Q13" s="39" t="n">
        <x:v>1815786</x:v>
      </x:c>
      <x:c r="R13" s="39" t="n">
        <x:v>1835486</x:v>
      </x:c>
    </x:row>
    <x:row r="14">
      <x:c r="A14" s="39" t="str">
        <x:v>La Magdalena Contreras</x:v>
      </x:c>
      <x:c r="B14" s="39" t="n">
        <x:v>1564</x:v>
      </x:c>
      <x:c r="C14" s="39" t="n">
        <x:v>1706</x:v>
      </x:c>
      <x:c r="D14" s="39" t="n">
        <x:v>2062</x:v>
      </x:c>
      <x:c r="E14" s="39" t="n">
        <x:v>2844</x:v>
      </x:c>
      <x:c r="F14" s="39" t="n">
        <x:v>3848</x:v>
      </x:c>
      <x:c r="G14" s="39" t="n">
        <x:v>5160</x:v>
      </x:c>
      <x:c r="H14" s="39" t="n">
        <x:v>6504</x:v>
      </x:c>
      <x:c r="I14" s="39" t="n">
        <x:v>8838</x:v>
      </x:c>
      <x:c r="J14" s="39" t="n">
        <x:v>12643</x:v>
      </x:c>
      <x:c r="K14" s="39" t="n">
        <x:v>21955</x:v>
      </x:c>
      <x:c r="L14" s="39" t="n">
        <x:v>40724</x:v>
      </x:c>
      <x:c r="M14" s="39" t="n">
        <x:v>75429</x:v>
      </x:c>
      <x:c r="N14" s="39" t="n">
        <x:v>173105</x:v>
      </x:c>
      <x:c r="O14" s="39" t="n">
        <x:v>195041</x:v>
      </x:c>
      <x:c r="P14" s="39" t="n">
        <x:v>222050</x:v>
      </x:c>
      <x:c r="Q14" s="39" t="n">
        <x:v>239086</x:v>
      </x:c>
      <x:c r="R14" s="39" t="n">
        <x:v>247622</x:v>
      </x:c>
    </x:row>
    <x:row r="15">
      <x:c r="A15" s="39" t="str">
        <x:v>Miguel Hidalgo</x:v>
      </x:c>
      <x:c r="B15" s="39" t="n">
        <x:v>33517</x:v>
      </x:c>
      <x:c r="C15" s="39" t="n">
        <x:v>36564</x:v>
      </x:c>
      <x:c r="D15" s="39" t="n">
        <x:v>44182</x:v>
      </x:c>
      <x:c r="E15" s="39" t="n">
        <x:v>60940</x:v>
      </x:c>
      <x:c r="F15" s="39" t="n">
        <x:v>82464</x:v>
      </x:c>
      <x:c r="G15" s="39" t="n">
        <x:v>110174</x:v>
      </x:c>
      <x:c r="H15" s="39" t="n">
        <x:v>138682</x:v>
      </x:c>
      <x:c r="I15" s="39" t="n">
        <x:v>188326</x:v>
      </x:c>
      <x:c r="J15" s="39" t="n">
        <x:v>269298</x:v>
      </x:c>
      <x:c r="K15" s="39" t="n">
        <x:v>467533</x:v>
      </x:c>
      <x:c r="L15" s="39" t="n">
        <x:v>592499</x:v>
      </x:c>
      <x:c r="M15" s="39" t="n">
        <x:v>607319</x:v>
      </x:c>
      <x:c r="N15" s="39" t="n">
        <x:v>543062</x:v>
      </x:c>
      <x:c r="O15" s="39" t="n">
        <x:v>406868</x:v>
      </x:c>
      <x:c r="P15" s="39" t="n">
        <x:v>352640</x:v>
      </x:c>
      <x:c r="Q15" s="39" t="n">
        <x:v>372889</x:v>
      </x:c>
      <x:c r="R15" s="39" t="n">
        <x:v>414470</x:v>
      </x:c>
    </x:row>
    <x:row r="16">
      <x:c r="A16" s="39" t="str">
        <x:v>Milpa Alta</x:v>
      </x:c>
      <x:c r="B16" s="39" t="n">
        <x:v>4022</x:v>
      </x:c>
      <x:c r="C16" s="39" t="n">
        <x:v>4388</x:v>
      </x:c>
      <x:c r="D16" s="39" t="n">
        <x:v>5302</x:v>
      </x:c>
      <x:c r="E16" s="39" t="n">
        <x:v>7313</x:v>
      </x:c>
      <x:c r="F16" s="39" t="n">
        <x:v>9896</x:v>
      </x:c>
      <x:c r="G16" s="39" t="n">
        <x:v>7986</x:v>
      </x:c>
      <x:c r="H16" s="39" t="n">
        <x:v>7755</x:v>
      </x:c>
      <x:c r="I16" s="39" t="n">
        <x:v>8942</x:v>
      </x:c>
      <x:c r="J16" s="39" t="n">
        <x:v>11412</x:v>
      </x:c>
      <x:c r="K16" s="39" t="n">
        <x:v>18212</x:v>
      </x:c>
      <x:c r="L16" s="39" t="n">
        <x:v>24379</x:v>
      </x:c>
      <x:c r="M16" s="39" t="n">
        <x:v>33694</x:v>
      </x:c>
      <x:c r="N16" s="39" t="n">
        <x:v>53616</x:v>
      </x:c>
      <x:c r="O16" s="39" t="n">
        <x:v>63654</x:v>
      </x:c>
      <x:c r="P16" s="39" t="n">
        <x:v>96773</x:v>
      </x:c>
      <x:c r="Q16" s="39" t="n">
        <x:v>130582</x:v>
      </x:c>
      <x:c r="R16" s="39" t="n">
        <x:v>152685</x:v>
      </x:c>
    </x:row>
    <x:row r="17">
      <x:c r="A17" s="39" t="str">
        <x:v>Tláhuac</x:v>
      </x:c>
      <x:c r="B17" s="39" t="n">
        <x:v>1564</x:v>
      </x:c>
      <x:c r="C17" s="39" t="n">
        <x:v>1706</x:v>
      </x:c>
      <x:c r="D17" s="39" t="n">
        <x:v>2062</x:v>
      </x:c>
      <x:c r="E17" s="39" t="n">
        <x:v>2844</x:v>
      </x:c>
      <x:c r="F17" s="39" t="n">
        <x:v>3848</x:v>
      </x:c>
      <x:c r="G17" s="39" t="n">
        <x:v>4823</x:v>
      </x:c>
      <x:c r="H17" s="39" t="n">
        <x:v>5931</x:v>
      </x:c>
      <x:c r="I17" s="39" t="n">
        <x:v>7957</x:v>
      </x:c>
      <x:c r="J17" s="39" t="n">
        <x:v>11294</x:v>
      </x:c>
      <x:c r="K17" s="39" t="n">
        <x:v>19511</x:v>
      </x:c>
      <x:c r="L17" s="39" t="n">
        <x:v>29880</x:v>
      </x:c>
      <x:c r="M17" s="39" t="n">
        <x:v>62419</x:v>
      </x:c>
      <x:c r="N17" s="39" t="n">
        <x:v>146923</x:v>
      </x:c>
      <x:c r="O17" s="39" t="n">
        <x:v>206700</x:v>
      </x:c>
      <x:c r="P17" s="39" t="n">
        <x:v>302790</x:v>
      </x:c>
      <x:c r="Q17" s="39" t="n">
        <x:v>360265</x:v>
      </x:c>
      <x:c r="R17" s="39" t="n">
        <x:v>392313</x:v>
      </x:c>
    </x:row>
    <x:row r="18">
      <x:c r="A18" s="39" t="str">
        <x:v>Tlalpan</x:v>
      </x:c>
      <x:c r="B18" s="39" t="n">
        <x:v>2681</x:v>
      </x:c>
      <x:c r="C18" s="39" t="n">
        <x:v>2925</x:v>
      </x:c>
      <x:c r="D18" s="39" t="n">
        <x:v>3535</x:v>
      </x:c>
      <x:c r="E18" s="39" t="n">
        <x:v>4875</x:v>
      </x:c>
      <x:c r="F18" s="39" t="n">
        <x:v>6597</x:v>
      </x:c>
      <x:c r="G18" s="39" t="n">
        <x:v>8174</x:v>
      </x:c>
      <x:c r="H18" s="39" t="n">
        <x:v>10007</x:v>
      </x:c>
      <x:c r="I18" s="39" t="n">
        <x:v>13395</x:v>
      </x:c>
      <x:c r="J18" s="39" t="n">
        <x:v>18987</x:v>
      </x:c>
      <x:c r="K18" s="39" t="n">
        <x:v>32767</x:v>
      </x:c>
      <x:c r="L18" s="39" t="n">
        <x:v>61195</x:v>
      </x:c>
      <x:c r="M18" s="39" t="n">
        <x:v>130719</x:v>
      </x:c>
      <x:c r="N18" s="39" t="n">
        <x:v>368974</x:v>
      </x:c>
      <x:c r="O18" s="39" t="n">
        <x:v>484866</x:v>
      </x:c>
      <x:c r="P18" s="39" t="n">
        <x:v>581781</x:v>
      </x:c>
      <x:c r="Q18" s="39" t="n">
        <x:v>650567</x:v>
      </x:c>
      <x:c r="R18" s="39" t="n">
        <x:v>699928</x:v>
      </x:c>
    </x:row>
    <x:row r="19">
      <x:c r="A19" s="39" t="str">
        <x:v>Venustiano Carranza</x:v>
      </x:c>
      <x:c r="B19" s="39" t="n">
        <x:v>37986</x:v>
      </x:c>
      <x:c r="C19" s="39" t="n">
        <x:v>41439</x:v>
      </x:c>
      <x:c r="D19" s="39" t="n">
        <x:v>50072</x:v>
      </x:c>
      <x:c r="E19" s="39" t="n">
        <x:v>69065</x:v>
      </x:c>
      <x:c r="F19" s="39" t="n">
        <x:v>93460</x:v>
      </x:c>
      <x:c r="G19" s="39" t="n">
        <x:v>134072</x:v>
      </x:c>
      <x:c r="H19" s="39" t="n">
        <x:v>172808</x:v>
      </x:c>
      <x:c r="I19" s="39" t="n">
        <x:v>237460</x:v>
      </x:c>
      <x:c r="J19" s="39" t="n">
        <x:v>341977</x:v>
      </x:c>
      <x:c r="K19" s="39" t="n">
        <x:v>596528</x:v>
      </x:c>
      <x:c r="L19" s="39" t="n">
        <x:v>755974</x:v>
      </x:c>
      <x:c r="M19" s="39" t="n">
        <x:v>774882</x:v>
      </x:c>
      <x:c r="N19" s="39" t="n">
        <x:v>692896</x:v>
      </x:c>
      <x:c r="O19" s="39" t="n">
        <x:v>519628</x:v>
      </x:c>
      <x:c r="P19" s="39" t="n">
        <x:v>462806</x:v>
      </x:c>
      <x:c r="Q19" s="39" t="n">
        <x:v>430978</x:v>
      </x:c>
      <x:c r="R19" s="39" t="n">
        <x:v>443704</x:v>
      </x:c>
    </x:row>
    <x:row r="20">
      <x:c r="A20" s="39" t="str">
        <x:v>Xochimilco</x:v>
      </x:c>
      <x:c r="B20" s="39" t="n">
        <x:v>7597</x:v>
      </x:c>
      <x:c r="C20" s="39" t="n">
        <x:v>8288</x:v>
      </x:c>
      <x:c r="D20" s="39" t="n">
        <x:v>10014</x:v>
      </x:c>
      <x:c r="E20" s="39" t="n">
        <x:v>13813</x:v>
      </x:c>
      <x:c r="F20" s="39" t="n">
        <x:v>18692</x:v>
      </x:c>
      <x:c r="G20" s="39" t="n">
        <x:v>16837</x:v>
      </x:c>
      <x:c r="H20" s="39" t="n">
        <x:v>17622</x:v>
      </x:c>
      <x:c r="I20" s="39" t="n">
        <x:v>21462</x:v>
      </x:c>
      <x:c r="J20" s="39" t="n">
        <x:v>28552</x:v>
      </x:c>
      <x:c r="K20" s="39" t="n">
        <x:v>47082</x:v>
      </x:c>
      <x:c r="L20" s="39" t="n">
        <x:v>70381</x:v>
      </x:c>
      <x:c r="M20" s="39" t="n">
        <x:v>116493</x:v>
      </x:c>
      <x:c r="N20" s="39" t="n">
        <x:v>217481</x:v>
      </x:c>
      <x:c r="O20" s="39" t="n">
        <x:v>271151</x:v>
      </x:c>
      <x:c r="P20" s="39" t="n">
        <x:v>369787</x:v>
      </x:c>
      <x:c r="Q20" s="39" t="n">
        <x:v>415007</x:v>
      </x:c>
      <x:c r="R20" s="39" t="n">
        <x:v>442178</x:v>
      </x:c>
    </x:row>
    <x:row r="21">
      <x:c r="A21" s="39" t="str">
        <x:v>CDMX TOTAL (sum of column)</x:v>
      </x:c>
      <x:c r="B21" s="39" t="n">
        <x:v>220095</x:v>
      </x:c>
      <x:c r="C21" s="39" t="n">
        <x:v>240103</x:v>
      </x:c>
      <x:c r="D21" s="39" t="n">
        <x:v>290126</x:v>
      </x:c>
      <x:c r="E21" s="39" t="n">
        <x:v>400171</x:v>
      </x:c>
      <x:c r="F21" s="39" t="n">
        <x:v>541516</x:v>
      </x:c>
      <x:c r="G21" s="39" t="n">
        <x:v>720755</x:v>
      </x:c>
      <x:c r="H21" s="39" t="n">
        <x:v>906064</x:v>
      </x:c>
      <x:c r="I21" s="39" t="n">
        <x:v>1229576</x:v>
      </x:c>
      <x:c r="J21" s="39" t="n">
        <x:v>1757528</x:v>
      </x:c>
      <x:c r="K21" s="39" t="n">
        <x:v>3050443</x:v>
      </x:c>
      <x:c r="L21" s="39" t="n">
        <x:v>4870876</x:v>
      </x:c>
      <x:c r="M21" s="39" t="n">
        <x:v>6874165</x:v>
      </x:c>
      <x:c r="N21" s="39" t="n">
        <x:v>8831079</x:v>
      </x:c>
      <x:c r="O21" s="39" t="n">
        <x:v>8235744</x:v>
      </x:c>
      <x:c r="P21" s="39" t="n">
        <x:v>8605239</x:v>
      </x:c>
      <x:c r="Q21" s="39" t="n">
        <x:v>8851080</x:v>
      </x:c>
      <x:c r="R21" s="39" t="n">
        <x:v>9209944</x:v>
      </x:c>
    </x:row>
    <x:row r="22">
      <x:c r="A22" s="39" t="str">
        <x:v>Published DF/CDMX total (reference)</x:v>
      </x:c>
      <x:c r="B22" s="39" t="n">
        <x:v>220000</x:v>
      </x:c>
      <x:c r="C22" s="39" t="n">
        <x:v>240000</x:v>
      </x:c>
      <x:c r="D22" s="39" t="n">
        <x:v>290000</x:v>
      </x:c>
      <x:c r="E22" s="39" t="n">
        <x:v>400000</x:v>
      </x:c>
      <x:c r="F22" s="39" t="n">
        <x:v>541516</x:v>
      </x:c>
      <x:c r="G22" s="39" t="n">
        <x:v>720753</x:v>
      </x:c>
      <x:c r="H22" s="39" t="n">
        <x:v>906063</x:v>
      </x:c>
      <x:c r="I22" s="39" t="n">
        <x:v>1229576</x:v>
      </x:c>
      <x:c r="J22" s="39" t="n">
        <x:v>1757530</x:v>
      </x:c>
      <x:c r="K22" s="39" t="n">
        <x:v>3050442</x:v>
      </x:c>
      <x:c r="L22" s="39" t="n">
        <x:v>4870876</x:v>
      </x:c>
      <x:c r="M22" s="39" t="n">
        <x:v>6874165</x:v>
      </x:c>
      <x:c r="N22" s="39" t="n">
        <x:v>8831079</x:v>
      </x:c>
      <x:c r="O22" s="39" t="n">
        <x:v>8235744</x:v>
      </x:c>
      <x:c r="P22" s="39" t="n">
        <x:v>8605239</x:v>
      </x:c>
      <x:c r="Q22" s="39" t="n">
        <x:v>8851080</x:v>
      </x:c>
      <x:c r="R22" s="39" t="n">
        <x:v>9209944</x:v>
      </x:c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8" hidden="0" customWidth="1"/>
    <x:col min="5" max="5" width="45" hidden="0" customWidth="1"/>
    <x:col min="6" max="6" width="48" hidden="0" customWidth="1"/>
  </x:cols>
  <x:sheetData>
    <x:row r="1">
      <x:c r="A1" s="38" t="str">
        <x:v>Alcaldía</x:v>
      </x:c>
      <x:c r="B1" s="38" t="str">
        <x:v>Population 2015 (from SEDEMA table)</x:v>
      </x:c>
      <x:c r="C1" s="38" t="str">
        <x:v>Current green-space total m² (SEDEMA/IPDP)</x:v>
      </x:c>
      <x:c r="D1" s="38" t="str">
        <x:v>m² per inhabitant in SEDEMA table</x:v>
      </x:c>
      <x:c r="E1" s="38" t="str">
        <x:v>Source URL</x:v>
      </x:c>
      <x:c r="F1" s="38" t="str">
        <x:v>Notes</x:v>
      </x:c>
    </x:row>
    <x:row r="2">
      <x:c r="A2" s="39" t="str">
        <x:v>Álvaro Obregón</x:v>
      </x:c>
      <x:c r="B2" s="58" t="n">
        <x:v>749982</x:v>
      </x:c>
      <x:c r="C2" s="58" t="n">
        <x:v>4913463.7</x:v>
      </x:c>
      <x:c r="D2" s="58" t="n">
        <x:v>6.551442167945364</x:v>
      </x:c>
      <x:c r="E2" s="39" t="str">
        <x:v>https://www.sedema.cdmx.gob.mx/programas/programa/inventario-de-areas-verdes</x:v>
      </x:c>
      <x:c r="F2" s="39" t="str">
        <x:v>Official borough-level current inventory table; version 2021 / updated 2022-2023 on CDMX portal.</x:v>
      </x:c>
    </x:row>
    <x:row r="3">
      <x:c r="A3" s="39" t="str">
        <x:v>Azcapotzalco</x:v>
      </x:c>
      <x:c r="B3" s="58" t="n">
        <x:v>400161</x:v>
      </x:c>
      <x:c r="C3" s="58" t="n">
        <x:v>3980866.7</x:v>
      </x:c>
      <x:c r="D3" s="58" t="n">
        <x:v>9.948162614547645</x:v>
      </x:c>
      <x:c r="E3" s="39" t="str">
        <x:v>https://www.sedema.cdmx.gob.mx/programas/programa/inventario-de-areas-verdes</x:v>
      </x:c>
      <x:c r="F3" s="39" t="str">
        <x:v>Official borough-level current inventory table; version 2021 / updated 2022-2023 on CDMX portal.</x:v>
      </x:c>
    </x:row>
    <x:row r="4">
      <x:c r="A4" s="39" t="str">
        <x:v>Benito Juárez</x:v>
      </x:c>
      <x:c r="B4" s="58" t="n">
        <x:v>417416</x:v>
      </x:c>
      <x:c r="C4" s="58" t="n">
        <x:v>929230.8</x:v>
      </x:c>
      <x:c r="D4" s="58" t="n">
        <x:v>2.2261504111006767</x:v>
      </x:c>
      <x:c r="E4" s="39" t="str">
        <x:v>https://www.sedema.cdmx.gob.mx/programas/programa/inventario-de-areas-verdes</x:v>
      </x:c>
      <x:c r="F4" s="39" t="str">
        <x:v>Official borough-level current inventory table; version 2021 / updated 2022-2023 on CDMX portal.</x:v>
      </x:c>
    </x:row>
    <x:row r="5">
      <x:c r="A5" s="39" t="str">
        <x:v>Coyoacán</x:v>
      </x:c>
      <x:c r="B5" s="58" t="n">
        <x:v>608479</x:v>
      </x:c>
      <x:c r="C5" s="58" t="n">
        <x:v>9157547.7</x:v>
      </x:c>
      <x:c r="D5" s="58" t="n">
        <x:v>15.049899339171935</x:v>
      </x:c>
      <x:c r="E5" s="39" t="str">
        <x:v>https://www.sedema.cdmx.gob.mx/programas/programa/inventario-de-areas-verdes</x:v>
      </x:c>
      <x:c r="F5" s="39" t="str">
        <x:v>Official borough-level current inventory table; version 2021 / updated 2022-2023 on CDMX portal.</x:v>
      </x:c>
    </x:row>
    <x:row r="6">
      <x:c r="A6" s="39" t="str">
        <x:v>Cuajimalpa de Morelos</x:v>
      </x:c>
      <x:c r="B6" s="58" t="n">
        <x:v>199224</x:v>
      </x:c>
      <x:c r="C6" s="58" t="n">
        <x:v>2048957.7</x:v>
      </x:c>
      <x:c r="D6" s="58" t="n">
        <x:v>10.284693109263944</x:v>
      </x:c>
      <x:c r="E6" s="39" t="str">
        <x:v>https://www.sedema.cdmx.gob.mx/programas/programa/inventario-de-areas-verdes</x:v>
      </x:c>
      <x:c r="F6" s="39" t="str">
        <x:v>Official borough-level current inventory table; version 2021 / updated 2022-2023 on CDMX portal.</x:v>
      </x:c>
    </x:row>
    <x:row r="7">
      <x:c r="A7" s="39" t="str">
        <x:v>Cuauhtémoc</x:v>
      </x:c>
      <x:c r="B7" s="58" t="n">
        <x:v>532553</x:v>
      </x:c>
      <x:c r="C7" s="58" t="n">
        <x:v>1915961</x:v>
      </x:c>
      <x:c r="D7" s="58" t="n">
        <x:v>3.5976907462731407</x:v>
      </x:c>
      <x:c r="E7" s="39" t="str">
        <x:v>https://www.sedema.cdmx.gob.mx/programas/programa/inventario-de-areas-verdes</x:v>
      </x:c>
      <x:c r="F7" s="39" t="str">
        <x:v>Official borough-level current inventory table; version 2021 / updated 2022-2023 on CDMX portal.</x:v>
      </x:c>
    </x:row>
    <x:row r="8">
      <x:c r="A8" s="39" t="str">
        <x:v>Gustavo A. Madero</x:v>
      </x:c>
      <x:c r="B8" s="58" t="n">
        <x:v>1164477</x:v>
      </x:c>
      <x:c r="C8" s="58" t="n">
        <x:v>7851619.6</x:v>
      </x:c>
      <x:c r="D8" s="58" t="n">
        <x:v>6.742614581481643</x:v>
      </x:c>
      <x:c r="E8" s="39" t="str">
        <x:v>https://www.sedema.cdmx.gob.mx/programas/programa/inventario-de-areas-verdes</x:v>
      </x:c>
      <x:c r="F8" s="39" t="str">
        <x:v>Official borough-level current inventory table; version 2021 / updated 2022-2023 on CDMX portal.</x:v>
      </x:c>
    </x:row>
    <x:row r="9">
      <x:c r="A9" s="39" t="str">
        <x:v>Iztacalco</x:v>
      </x:c>
      <x:c r="B9" s="58" t="n">
        <x:v>390348</x:v>
      </x:c>
      <x:c r="C9" s="58" t="n">
        <x:v>1944289</x:v>
      </x:c>
      <x:c r="D9" s="58" t="n">
        <x:v>4.980911904249542</x:v>
      </x:c>
      <x:c r="E9" s="39" t="str">
        <x:v>https://www.sedema.cdmx.gob.mx/programas/programa/inventario-de-areas-verdes</x:v>
      </x:c>
      <x:c r="F9" s="39" t="str">
        <x:v>Official borough-level current inventory table; version 2021 / updated 2022-2023 on CDMX portal.</x:v>
      </x:c>
    </x:row>
    <x:row r="10">
      <x:c r="A10" s="39" t="str">
        <x:v>Iztapalapa</x:v>
      </x:c>
      <x:c r="B10" s="58" t="n">
        <x:v>1827868</x:v>
      </x:c>
      <x:c r="C10" s="58" t="n">
        <x:v>9834858.6</x:v>
      </x:c>
      <x:c r="D10" s="58" t="n">
        <x:v>5.380508111088984</x:v>
      </x:c>
      <x:c r="E10" s="39" t="str">
        <x:v>https://www.sedema.cdmx.gob.mx/programas/programa/inventario-de-areas-verdes</x:v>
      </x:c>
      <x:c r="F10" s="39" t="str">
        <x:v>Official borough-level current inventory table; version 2021 / updated 2022-2023 on CDMX portal.</x:v>
      </x:c>
    </x:row>
    <x:row r="11">
      <x:c r="A11" s="39" t="str">
        <x:v>La Magdalena Contreras</x:v>
      </x:c>
      <x:c r="B11" s="58" t="n">
        <x:v>243886</x:v>
      </x:c>
      <x:c r="C11" s="58" t="n">
        <x:v>1335114.4</x:v>
      </x:c>
      <x:c r="D11" s="58" t="n">
        <x:v>5.474338010381899</x:v>
      </x:c>
      <x:c r="E11" s="39" t="str">
        <x:v>https://www.sedema.cdmx.gob.mx/programas/programa/inventario-de-areas-verdes</x:v>
      </x:c>
      <x:c r="F11" s="39" t="str">
        <x:v>Official borough-level current inventory table; version 2021 / updated 2022-2023 on CDMX portal.</x:v>
      </x:c>
    </x:row>
    <x:row r="12">
      <x:c r="A12" s="39" t="str">
        <x:v>Miguel Hidalgo</x:v>
      </x:c>
      <x:c r="B12" s="58" t="n">
        <x:v>364439</x:v>
      </x:c>
      <x:c r="C12" s="58" t="n">
        <x:v>5607701.5</x:v>
      </x:c>
      <x:c r="D12" s="58" t="n">
        <x:v>15.38721569316127</x:v>
      </x:c>
      <x:c r="E12" s="39" t="str">
        <x:v>https://www.sedema.cdmx.gob.mx/programas/programa/inventario-de-areas-verdes</x:v>
      </x:c>
      <x:c r="F12" s="39" t="str">
        <x:v>Official borough-level current inventory table; version 2021 / updated 2022-2023 on CDMX portal.</x:v>
      </x:c>
    </x:row>
    <x:row r="13">
      <x:c r="A13" s="39" t="str">
        <x:v>Milpa Alta</x:v>
      </x:c>
      <x:c r="B13" s="58" t="n">
        <x:v>137927</x:v>
      </x:c>
      <x:c r="C13" s="58" t="n">
        <x:v>309724</x:v>
      </x:c>
      <x:c r="D13" s="58" t="n">
        <x:v>2.245564682766971</x:v>
      </x:c>
      <x:c r="E13" s="39" t="str">
        <x:v>https://www.sedema.cdmx.gob.mx/programas/programa/inventario-de-areas-verdes</x:v>
      </x:c>
      <x:c r="F13" s="39" t="str">
        <x:v>Official borough-level current inventory table; version 2021 / updated 2022-2023 on CDMX portal.</x:v>
      </x:c>
    </x:row>
    <x:row r="14">
      <x:c r="A14" s="39" t="str">
        <x:v>Tláhuac</x:v>
      </x:c>
      <x:c r="B14" s="58" t="n">
        <x:v>361593</x:v>
      </x:c>
      <x:c r="C14" s="58" t="n">
        <x:v>3054084.7</x:v>
      </x:c>
      <x:c r="D14" s="58" t="n">
        <x:v>8.446194201768288</x:v>
      </x:c>
      <x:c r="E14" s="39" t="str">
        <x:v>https://www.sedema.cdmx.gob.mx/programas/programa/inventario-de-areas-verdes</x:v>
      </x:c>
      <x:c r="F14" s="39" t="str">
        <x:v>Official borough-level current inventory table; version 2021 / updated 2022-2023 on CDMX portal.</x:v>
      </x:c>
    </x:row>
    <x:row r="15">
      <x:c r="A15" s="39" t="str">
        <x:v>Tlalpan</x:v>
      </x:c>
      <x:c r="B15" s="58" t="n">
        <x:v>677104</x:v>
      </x:c>
      <x:c r="C15" s="58" t="n">
        <x:v>6530744.7</x:v>
      </x:c>
      <x:c r="D15" s="58" t="n">
        <x:v>9.645113158392212</x:v>
      </x:c>
      <x:c r="E15" s="39" t="str">
        <x:v>https://www.sedema.cdmx.gob.mx/programas/programa/inventario-de-areas-verdes</x:v>
      </x:c>
      <x:c r="F15" s="39" t="str">
        <x:v>Official borough-level current inventory table; version 2021 / updated 2022-2023 on CDMX portal.</x:v>
      </x:c>
    </x:row>
    <x:row r="16">
      <x:c r="A16" s="39" t="str">
        <x:v>Venustiano Carranza</x:v>
      </x:c>
      <x:c r="B16" s="58" t="n">
        <x:v>427263</x:v>
      </x:c>
      <x:c r="C16" s="58" t="n">
        <x:v>5805150.1</x:v>
      </x:c>
      <x:c r="D16" s="58" t="n">
        <x:v>13.586830827850761</x:v>
      </x:c>
      <x:c r="E16" s="39" t="str">
        <x:v>https://www.sedema.cdmx.gob.mx/programas/programa/inventario-de-areas-verdes</x:v>
      </x:c>
      <x:c r="F16" s="39" t="str">
        <x:v>Official borough-level current inventory table; version 2021 / updated 2022-2023 on CDMX portal.</x:v>
      </x:c>
    </x:row>
    <x:row r="17">
      <x:c r="A17" s="39" t="str">
        <x:v>Xochimilco</x:v>
      </x:c>
      <x:c r="B17" s="58" t="n">
        <x:v>415933</x:v>
      </x:c>
      <x:c r="C17" s="58" t="n">
        <x:v>2092259.6</x:v>
      </x:c>
      <x:c r="D17" s="58" t="n">
        <x:v>5.030280357653757</x:v>
      </x:c>
      <x:c r="E17" s="39" t="str">
        <x:v>https://www.sedema.cdmx.gob.mx/programas/programa/inventario-de-areas-verdes</x:v>
      </x:c>
      <x:c r="F17" s="39" t="str">
        <x:v>Official borough-level current inventory table; version 2021 / updated 2022-2023 on CDMX portal.</x:v>
      </x:c>
    </x:row>
    <x:row r="18">
      <x:c r="A18" s="39"/>
      <x:c r="B18" s="39"/>
      <x:c r="C18" s="39"/>
      <x:c r="D18" s="39"/>
      <x:c r="E18" s="39"/>
      <x:c r="F18" s="39"/>
    </x:row>
    <x:row r="19">
      <x:c r="A19" s="39"/>
      <x:c r="B19" s="39"/>
      <x:c r="C19" s="39"/>
      <x:c r="D19" s="39"/>
      <x:c r="E19" s="39"/>
      <x:c r="F19" s="39"/>
    </x:row>
    <x:row r="20">
      <x:c r="A20" s="39"/>
      <x:c r="B20" s="39"/>
      <x:c r="C20" s="39"/>
      <x:c r="D20" s="39"/>
      <x:c r="E20" s="39"/>
      <x:c r="F20" s="39"/>
    </x:row>
    <x:row r="21">
      <x:c r="A21" s="39"/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  <x:row r="24">
      <x:c r="A24" s="39"/>
      <x:c r="B24" s="39"/>
      <x:c r="C24" s="39"/>
      <x:c r="D24" s="39"/>
      <x:c r="E24" s="39"/>
      <x:c r="F24" s="39"/>
    </x:row>
    <x:row r="25">
      <x:c r="A25" s="39"/>
      <x:c r="B25" s="39"/>
      <x:c r="C25" s="39"/>
      <x:c r="D25" s="39"/>
      <x:c r="E25" s="39"/>
      <x:c r="F25" s="39"/>
    </x:row>
    <x:row r="26">
      <x:c r="A26" s="39"/>
      <x:c r="B26" s="39"/>
      <x:c r="C26" s="39"/>
      <x:c r="D26" s="39"/>
      <x:c r="E26" s="39"/>
      <x:c r="F26" s="39"/>
    </x:row>
    <x:row r="27">
      <x:c r="A27" s="39"/>
      <x:c r="B27" s="39"/>
      <x:c r="C27" s="39"/>
      <x:c r="D27" s="39"/>
      <x:c r="E27" s="39"/>
      <x:c r="F27" s="39"/>
    </x:row>
    <x:row r="28">
      <x:c r="A28" s="39"/>
      <x:c r="B28" s="39"/>
      <x:c r="C28" s="39"/>
      <x:c r="D28" s="39"/>
      <x:c r="E28" s="39"/>
      <x:c r="F28" s="39"/>
    </x:row>
    <x:row r="29">
      <x:c r="A29" s="39"/>
      <x:c r="B29" s="39"/>
      <x:c r="C29" s="39"/>
      <x:c r="D29" s="39"/>
      <x:c r="E29" s="39"/>
      <x:c r="F29" s="39"/>
    </x:row>
    <x:row r="30">
      <x:c r="A30" s="39"/>
      <x:c r="B30" s="39"/>
      <x:c r="C30" s="39"/>
      <x:c r="D30" s="39"/>
      <x:c r="E30" s="39"/>
      <x:c r="F30" s="39"/>
    </x:row>
    <x:row r="31">
      <x:c r="A31" s="39"/>
      <x:c r="B31" s="39"/>
      <x:c r="C31" s="39"/>
      <x:c r="D31" s="39"/>
      <x:c r="E31" s="39"/>
      <x:c r="F31" s="39"/>
    </x:row>
    <x:row r="32">
      <x:c r="A32" s="39"/>
      <x:c r="B32" s="39"/>
      <x:c r="C32" s="39"/>
      <x:c r="D32" s="39"/>
      <x:c r="E32" s="39"/>
      <x:c r="F32" s="39"/>
    </x:row>
    <x:row r="33">
      <x:c r="A33" s="39"/>
      <x:c r="B33" s="39"/>
      <x:c r="C33" s="39"/>
      <x:c r="D33" s="39"/>
      <x:c r="E33" s="39"/>
      <x:c r="F33" s="39"/>
    </x:row>
    <x:row r="34">
      <x:c r="A34" s="39"/>
      <x:c r="B34" s="39"/>
      <x:c r="C34" s="39"/>
      <x:c r="D34" s="39"/>
      <x:c r="E34" s="39"/>
      <x:c r="F34" s="39"/>
    </x:row>
    <x:row r="35">
      <x:c r="A35" s="39"/>
      <x:c r="B35" s="39"/>
      <x:c r="C35" s="39"/>
      <x:c r="D35" s="39"/>
      <x:c r="E35" s="39"/>
      <x:c r="F35" s="39"/>
    </x:row>
    <x:row r="36">
      <x:c r="A36" s="39"/>
      <x:c r="B36" s="39"/>
      <x:c r="C36" s="39"/>
      <x:c r="D36" s="39"/>
      <x:c r="E36" s="39"/>
      <x:c r="F36" s="39"/>
    </x:row>
    <x:row r="37">
      <x:c r="A37" s="39"/>
      <x:c r="B37" s="39"/>
      <x:c r="C37" s="39"/>
      <x:c r="D37" s="39"/>
      <x:c r="E37" s="39"/>
      <x:c r="F37" s="39"/>
    </x:row>
    <x:row r="38">
      <x:c r="A38" s="39"/>
      <x:c r="B38" s="39"/>
      <x:c r="C38" s="39"/>
      <x:c r="D38" s="39"/>
      <x:c r="E38" s="39"/>
      <x:c r="F38" s="39"/>
    </x:row>
    <x:row r="39">
      <x:c r="A39" s="39"/>
      <x:c r="B39" s="39"/>
      <x:c r="C39" s="39"/>
      <x:c r="D39" s="39"/>
      <x:c r="E39" s="39"/>
      <x:c r="F39" s="39"/>
    </x:row>
    <x:row r="40">
      <x:c r="A40" s="39"/>
      <x:c r="B40" s="39"/>
      <x:c r="C40" s="39"/>
      <x:c r="D40" s="39"/>
      <x:c r="E40" s="39"/>
      <x:c r="F40" s="39"/>
    </x:row>
    <x:row r="41">
      <x:c r="A41" s="39"/>
      <x:c r="B41" s="39"/>
      <x:c r="C41" s="39"/>
      <x:c r="D41" s="39"/>
      <x:c r="E41" s="39"/>
      <x:c r="F41" s="39"/>
    </x:row>
    <x:row r="42">
      <x:c r="A42" s="39"/>
      <x:c r="B42" s="39"/>
      <x:c r="C42" s="39"/>
      <x:c r="D42" s="39"/>
      <x:c r="E42" s="39"/>
      <x:c r="F42" s="39"/>
    </x:row>
    <x:row r="43">
      <x:c r="A43" s="39"/>
      <x:c r="B43" s="39"/>
      <x:c r="C43" s="39"/>
      <x:c r="D43" s="39"/>
      <x:c r="E43" s="39"/>
      <x:c r="F43" s="39"/>
    </x:row>
    <x:row r="44">
      <x:c r="A44" s="39"/>
      <x:c r="B44" s="39"/>
      <x:c r="C44" s="39"/>
      <x:c r="D44" s="39"/>
      <x:c r="E44" s="39"/>
      <x:c r="F44" s="39"/>
    </x:row>
    <x:row r="45">
      <x:c r="A45" s="39"/>
      <x:c r="B45" s="39"/>
      <x:c r="C45" s="39"/>
      <x:c r="D45" s="39"/>
      <x:c r="E45" s="39"/>
      <x:c r="F45" s="39"/>
    </x:row>
    <x:row r="46">
      <x:c r="A46" s="39"/>
      <x:c r="B46" s="39"/>
      <x:c r="C46" s="39"/>
      <x:c r="D46" s="39"/>
      <x:c r="E46" s="39"/>
      <x:c r="F46" s="39"/>
    </x:row>
    <x:row r="47">
      <x:c r="A47" s="39"/>
      <x:c r="B47" s="39"/>
      <x:c r="C47" s="39"/>
      <x:c r="D47" s="39"/>
      <x:c r="E47" s="39"/>
      <x:c r="F47" s="39"/>
    </x:row>
    <x:row r="48">
      <x:c r="A48" s="39"/>
      <x:c r="B48" s="39"/>
      <x:c r="C48" s="39"/>
      <x:c r="D48" s="39"/>
      <x:c r="E48" s="39"/>
      <x:c r="F48" s="39"/>
    </x:row>
    <x:row r="49">
      <x:c r="A49" s="39"/>
      <x:c r="B49" s="39"/>
      <x:c r="C49" s="39"/>
      <x:c r="D49" s="39"/>
      <x:c r="E49" s="39"/>
      <x:c r="F49" s="39"/>
    </x:row>
    <x:row r="50">
      <x:c r="A50" s="39"/>
      <x:c r="B50" s="39"/>
      <x:c r="C50" s="39"/>
      <x:c r="D50" s="39"/>
      <x:c r="E50" s="39"/>
      <x:c r="F50" s="39"/>
    </x:row>
  </x:sheetData>
  <x:pageMargins left="0.7" right="0.7" top="0.75" bottom="0.75" header="0.3" footer="0.3"/>
  <x:tableParts count="1">
    <x:tablePart xmlns:r="http://schemas.openxmlformats.org/officeDocument/2006/relationships" r:id="R5d150750c59d4ae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0" hidden="0" customWidth="1"/>
    <x:col min="3" max="3" width="50" hidden="0" customWidth="1"/>
  </x:cols>
  <x:sheetData>
    <x:row r="1">
      <x:c r="A1" s="38" t="str">
        <x:v>Source</x:v>
      </x:c>
      <x:c r="B1" s="38" t="str">
        <x:v>URL</x:v>
      </x:c>
      <x:c r="C1" s="38" t="str">
        <x:v>What it supports</x:v>
      </x:c>
    </x:row>
    <x:row r="2">
      <x:c r="A2" s="39" t="str">
        <x:v>CDMX open-data inventory</x:v>
      </x:c>
      <x:c r="B2" s="39" t="str">
        <x:v>https://datos.cdmx.gob.mx/dataset/inventario-de-areas-verdes-en-la-ciudad-de-mexico</x:v>
      </x:c>
      <x:c r="C2" s="39" t="str">
        <x:v>Official dataset page; confirms CSV/SHP/GeoJSON formats and version/update timing.</x:v>
      </x:c>
    </x:row>
    <x:row r="3">
      <x:c r="A3" s="39" t="str">
        <x:v>SEDEMA inventory table</x:v>
      </x:c>
      <x:c r="B3" s="39" t="str">
        <x:v>https://www.sedema.cdmx.gob.mx/programas/programa/inventario-de-areas-verdes</x:v>
      </x:c>
      <x:c r="C3" s="39" t="str">
        <x:v>Official current green-space totals by alcaldía.</x:v>
      </x:c>
    </x:row>
    <x:row r="4">
      <x:c r="A4" s="39" t="str">
        <x:v>User-provided population workbook</x:v>
      </x:c>
      <x:c r="B4" s="39" t="str">
        <x:v>PopulationPerAlcaldia.xlsx</x:v>
      </x:c>
      <x:c r="C4" s="39" t="str">
        <x:v>Decadal population by current alcaldía, 1860-2020.</x:v>
      </x:c>
    </x:row>
    <x:row r="5">
      <x:c r="A5" s="39" t="str">
        <x:v>Chapultepec</x:v>
      </x:c>
      <x:c r="B5" s="39" t="str">
        <x:v>https://en.wikipedia.org/wiki/Chapultepec</x:v>
      </x:c>
      <x:c r="C5" s="39" t="str">
        <x:v>Area and historical context.</x:v>
      </x:c>
    </x:row>
    <x:row r="6">
      <x:c r="A6" s="39" t="str">
        <x:v>Parque La Mexicana</x:v>
      </x:c>
      <x:c r="B6" s="39" t="str">
        <x:v>https://es.wikipedia.org/wiki/Parque_La_Mexicana</x:v>
      </x:c>
      <x:c r="C6" s="39" t="str">
        <x:v>Inauguration and area.</x:v>
      </x:c>
    </x:row>
    <x:row r="7">
      <x:c r="A7" s="39" t="str">
        <x:v>Parque Bicentenario</x:v>
      </x:c>
      <x:c r="B7" s="39" t="str">
        <x:v>https://es.wikipedia.org/wiki/Parque_Bicentenario_(Ciudad_de_M%C3%A9xico)</x:v>
      </x:c>
      <x:c r="C7" s="39" t="str">
        <x:v>Inauguration and location.</x:v>
      </x:c>
    </x:row>
    <x:row r="8">
      <x:c r="A8" s="39" t="str">
        <x:v>Bosque de San Juan de Aragón</x:v>
      </x:c>
      <x:c r="B8" s="39" t="str">
        <x:v>https://es.wikipedia.org/wiki/Bosque_de_San_Juan_de_Arag%C3%B3n</x:v>
      </x:c>
      <x:c r="C8" s="39" t="str">
        <x:v>Creation year and area.</x:v>
      </x:c>
    </x:row>
    <x:row r="9">
      <x:c r="A9" s="39" t="str">
        <x:v>Parque Cuitláhuac</x:v>
      </x:c>
      <x:c r="B9" s="39" t="str">
        <x:v>https://mexicocity.cdmx.gob.mx/venues/parque-cuitlahuac/</x:v>
      </x:c>
      <x:c r="C9" s="39" t="str">
        <x:v>Area and recent rehabilitation/opening.</x:v>
      </x:c>
    </x:row>
    <x:row r="10">
      <x:c r="A10" s="39" t="str">
        <x:v>Viveros de Coyoacán</x:v>
      </x:c>
      <x:c r="B10" s="39" t="str">
        <x:v>https://www.gob.mx/semarnat/articulos/viveros-de-coyoacan-un-remanso-en-la-urbe</x:v>
      </x:c>
      <x:c r="C10" s="39" t="str">
        <x:v>Foundation, decree and area.</x:v>
      </x:c>
    </x:row>
    <x:row r="11">
      <x:c r="A11" s="39" t="str">
        <x:v>Parque Ecológico Xochimilco</x:v>
      </x:c>
      <x:c r="B11" s="39" t="str">
        <x:v>https://es.wikipedia.org/wiki/Parque_Ecol%C3%B3gico_Xochimilco</x:v>
      </x:c>
      <x:c r="C11" s="39" t="str">
        <x:v>Opening and area.</x:v>
      </x:c>
    </x:row>
    <x:row r="12">
      <x:c r="A12" s="39" t="str">
        <x:v>CONANP Fuentes Brotantes</x:v>
      </x:c>
      <x:c r="B12" s="39" t="str">
        <x:v>https://descubreanp.conanp.gob.mx/es/conanp/ANP?suri=65</x:v>
      </x:c>
      <x:c r="C12" s="39" t="str">
        <x:v>Decree and area.</x:v>
      </x:c>
    </x:row>
    <x:row r="13">
      <x:c r="A13" s="39" t="str">
        <x:v>Bosque de Tláhuac</x:v>
      </x:c>
      <x:c r="B13" s="39" t="str">
        <x:v>https://es.wikipedia.org/wiki/Bosque_de_Tl%C3%A1huac</x:v>
      </x:c>
      <x:c r="C13" s="39" t="str">
        <x:v>Foundation and area.</x:v>
      </x:c>
    </x:row>
    <x:row r="14">
      <x:c r="A14" s="39" t="str">
        <x:v>Parque Lineal Gran Canal</x:v>
      </x:c>
      <x:c r="B14" s="39" t="str">
        <x:v>https://es.wikipedia.org/wiki/Parque_Lineal_Gran_Canal</x:v>
      </x:c>
      <x:c r="C14" s="39" t="str">
        <x:v>Inauguration year.</x:v>
      </x:c>
    </x:row>
    <x:row r="15">
      <x:c r="A15" s="39"/>
      <x:c r="B15" s="39"/>
      <x:c r="C15" s="39"/>
    </x:row>
    <x:row r="16">
      <x:c r="A16" s="39"/>
      <x:c r="B16" s="39"/>
      <x:c r="C16" s="39"/>
    </x:row>
    <x:row r="17">
      <x:c r="A17" s="39"/>
      <x:c r="B17" s="39"/>
      <x:c r="C17" s="39"/>
    </x:row>
    <x:row r="18">
      <x:c r="A18" s="39"/>
      <x:c r="B18" s="39"/>
      <x:c r="C18" s="39"/>
    </x:row>
    <x:row r="19">
      <x:c r="A19" s="39"/>
      <x:c r="B19" s="39"/>
      <x:c r="C19" s="39"/>
    </x:row>
    <x:row r="20">
      <x:c r="A20" s="39"/>
      <x:c r="B20" s="39"/>
      <x:c r="C20" s="39"/>
    </x:row>
    <x:row r="21">
      <x:c r="A21" s="39"/>
      <x:c r="B21" s="39"/>
      <x:c r="C21" s="39"/>
    </x:row>
    <x:row r="22">
      <x:c r="A22" s="39"/>
      <x:c r="B22" s="39"/>
      <x:c r="C22" s="39"/>
    </x:row>
    <x:row r="23">
      <x:c r="A23" s="39"/>
      <x:c r="B23" s="39"/>
      <x:c r="C23" s="39"/>
    </x:row>
    <x:row r="24">
      <x:c r="A24" s="39"/>
      <x:c r="B24" s="39"/>
      <x:c r="C24" s="39"/>
    </x:row>
    <x:row r="25">
      <x:c r="A25" s="39"/>
      <x:c r="B25" s="39"/>
      <x:c r="C25" s="39"/>
    </x:row>
    <x:row r="26">
      <x:c r="A26" s="39"/>
      <x:c r="B26" s="39"/>
      <x:c r="C26" s="39"/>
    </x:row>
    <x:row r="27">
      <x:c r="A27" s="39"/>
      <x:c r="B27" s="39"/>
      <x:c r="C27" s="39"/>
    </x:row>
    <x:row r="28">
      <x:c r="A28" s="39"/>
      <x:c r="B28" s="39"/>
      <x:c r="C28" s="39"/>
    </x:row>
    <x:row r="29">
      <x:c r="A29" s="39"/>
      <x:c r="B29" s="39"/>
      <x:c r="C29" s="39"/>
    </x:row>
    <x:row r="30">
      <x:c r="A30" s="39"/>
      <x:c r="B30" s="39"/>
      <x:c r="C30" s="39"/>
    </x:row>
    <x:row r="31">
      <x:c r="A31" s="39"/>
      <x:c r="B31" s="39"/>
      <x:c r="C31" s="39"/>
    </x:row>
    <x:row r="32">
      <x:c r="A32" s="39"/>
      <x:c r="B32" s="39"/>
      <x:c r="C32" s="39"/>
    </x:row>
    <x:row r="33">
      <x:c r="A33" s="39"/>
      <x:c r="B33" s="39"/>
      <x:c r="C33" s="39"/>
    </x:row>
    <x:row r="34">
      <x:c r="A34" s="39"/>
      <x:c r="B34" s="39"/>
      <x:c r="C34" s="39"/>
    </x:row>
    <x:row r="35">
      <x:c r="A35" s="39"/>
      <x:c r="B35" s="39"/>
      <x:c r="C35" s="39"/>
    </x:row>
    <x:row r="36">
      <x:c r="A36" s="39"/>
      <x:c r="B36" s="39"/>
      <x:c r="C36" s="39"/>
    </x:row>
    <x:row r="37">
      <x:c r="A37" s="39"/>
      <x:c r="B37" s="39"/>
      <x:c r="C37" s="39"/>
    </x:row>
    <x:row r="38">
      <x:c r="A38" s="39"/>
      <x:c r="B38" s="39"/>
      <x:c r="C38" s="39"/>
    </x:row>
    <x:row r="39">
      <x:c r="A39" s="39"/>
      <x:c r="B39" s="39"/>
      <x:c r="C39" s="39"/>
    </x:row>
    <x:row r="40">
      <x:c r="A40" s="39"/>
      <x:c r="B40" s="39"/>
      <x:c r="C40" s="39"/>
    </x:row>
    <x:row r="41">
      <x:c r="A41" s="39"/>
      <x:c r="B41" s="39"/>
      <x:c r="C41" s="39"/>
    </x:row>
    <x:row r="42">
      <x:c r="A42" s="39"/>
      <x:c r="B42" s="39"/>
      <x:c r="C42" s="39"/>
    </x:row>
    <x:row r="43">
      <x:c r="A43" s="39"/>
      <x:c r="B43" s="39"/>
      <x:c r="C43" s="39"/>
    </x:row>
    <x:row r="44">
      <x:c r="A44" s="39"/>
      <x:c r="B44" s="39"/>
      <x:c r="C44" s="39"/>
    </x:row>
    <x:row r="45">
      <x:c r="A45" s="39"/>
      <x:c r="B45" s="39"/>
      <x:c r="C45" s="39"/>
    </x:row>
    <x:row r="46">
      <x:c r="A46" s="39"/>
      <x:c r="B46" s="39"/>
      <x:c r="C46" s="39"/>
    </x:row>
    <x:row r="47">
      <x:c r="A47" s="39"/>
      <x:c r="B47" s="39"/>
      <x:c r="C47" s="39"/>
    </x:row>
    <x:row r="48">
      <x:c r="A48" s="39"/>
      <x:c r="B48" s="39"/>
      <x:c r="C48" s="39"/>
    </x:row>
    <x:row r="49">
      <x:c r="A49" s="39"/>
      <x:c r="B49" s="39"/>
      <x:c r="C49" s="39"/>
    </x:row>
    <x:row r="50">
      <x:c r="A50" s="39"/>
      <x:c r="B50" s="39"/>
      <x:c r="C50" s="39"/>
    </x:row>
    <x:row r="51">
      <x:c r="A51" s="39"/>
      <x:c r="B51" s="39"/>
      <x:c r="C51" s="39"/>
    </x:row>
    <x:row r="52">
      <x:c r="A52" s="39"/>
      <x:c r="B52" s="39"/>
      <x:c r="C52" s="39"/>
    </x:row>
    <x:row r="53">
      <x:c r="A53" s="39"/>
      <x:c r="B53" s="39"/>
      <x:c r="C53" s="39"/>
    </x:row>
    <x:row r="54">
      <x:c r="A54" s="39"/>
      <x:c r="B54" s="39"/>
      <x:c r="C54" s="39"/>
    </x:row>
    <x:row r="55">
      <x:c r="A55" s="39"/>
      <x:c r="B55" s="39"/>
      <x:c r="C55" s="39"/>
    </x:row>
    <x:row r="56">
      <x:c r="A56" s="39"/>
      <x:c r="B56" s="39"/>
      <x:c r="C56" s="39"/>
    </x:row>
    <x:row r="57">
      <x:c r="A57" s="39"/>
      <x:c r="B57" s="39"/>
      <x:c r="C57" s="39"/>
    </x:row>
    <x:row r="58">
      <x:c r="A58" s="39"/>
      <x:c r="B58" s="39"/>
      <x:c r="C58" s="39"/>
    </x:row>
    <x:row r="59">
      <x:c r="A59" s="39"/>
      <x:c r="B59" s="39"/>
      <x:c r="C59" s="39"/>
    </x:row>
    <x:row r="60">
      <x:c r="A60" s="39"/>
      <x:c r="B60" s="39"/>
      <x:c r="C60" s="39"/>
    </x:row>
    <x:row r="61">
      <x:c r="A61" s="39"/>
      <x:c r="B61" s="39"/>
      <x:c r="C61" s="39"/>
    </x:row>
    <x:row r="62">
      <x:c r="A62" s="39"/>
      <x:c r="B62" s="39"/>
      <x:c r="C62" s="39"/>
    </x:row>
    <x:row r="63">
      <x:c r="A63" s="39"/>
      <x:c r="B63" s="39"/>
      <x:c r="C63" s="39"/>
    </x:row>
    <x:row r="64">
      <x:c r="A64" s="39"/>
      <x:c r="B64" s="39"/>
      <x:c r="C64" s="39"/>
    </x:row>
    <x:row r="65">
      <x:c r="A65" s="39"/>
      <x:c r="B65" s="39"/>
      <x:c r="C65" s="39"/>
    </x:row>
    <x:row r="66">
      <x:c r="A66" s="39"/>
      <x:c r="B66" s="39"/>
      <x:c r="C66" s="39"/>
    </x:row>
    <x:row r="67">
      <x:c r="A67" s="39"/>
      <x:c r="B67" s="39"/>
      <x:c r="C67" s="39"/>
    </x:row>
    <x:row r="68">
      <x:c r="A68" s="39"/>
      <x:c r="B68" s="39"/>
      <x:c r="C68" s="39"/>
    </x:row>
    <x:row r="69">
      <x:c r="A69" s="39"/>
      <x:c r="B69" s="39"/>
      <x:c r="C69" s="39"/>
    </x:row>
    <x:row r="70">
      <x:c r="A70" s="39"/>
      <x:c r="B70" s="39"/>
      <x:c r="C70" s="39"/>
    </x:row>
    <x:row r="71">
      <x:c r="A71" s="39"/>
      <x:c r="B71" s="39"/>
      <x:c r="C71" s="39"/>
    </x:row>
    <x:row r="72">
      <x:c r="A72" s="39"/>
      <x:c r="B72" s="39"/>
      <x:c r="C72" s="39"/>
    </x:row>
    <x:row r="73">
      <x:c r="A73" s="39"/>
      <x:c r="B73" s="39"/>
      <x:c r="C73" s="39"/>
    </x:row>
    <x:row r="74">
      <x:c r="A74" s="39"/>
      <x:c r="B74" s="39"/>
      <x:c r="C74" s="39"/>
    </x:row>
    <x:row r="75">
      <x:c r="A75" s="39"/>
      <x:c r="B75" s="39"/>
      <x:c r="C75" s="39"/>
    </x:row>
    <x:row r="76">
      <x:c r="A76" s="39"/>
      <x:c r="B76" s="39"/>
      <x:c r="C76" s="39"/>
    </x:row>
    <x:row r="77">
      <x:c r="A77" s="39"/>
      <x:c r="B77" s="39"/>
      <x:c r="C77" s="39"/>
    </x:row>
    <x:row r="78">
      <x:c r="A78" s="39"/>
      <x:c r="B78" s="39"/>
      <x:c r="C78" s="39"/>
    </x:row>
    <x:row r="79">
      <x:c r="A79" s="39"/>
      <x:c r="B79" s="39"/>
      <x:c r="C79" s="39"/>
    </x:row>
    <x:row r="80">
      <x:c r="A80" s="39"/>
      <x:c r="B80" s="39"/>
      <x:c r="C80" s="39"/>
    </x:row>
    <x:row r="81">
      <x:c r="A81" s="39"/>
      <x:c r="B81" s="39"/>
      <x:c r="C81" s="39"/>
    </x:row>
    <x:row r="82">
      <x:c r="A82" s="39"/>
      <x:c r="B82" s="39"/>
      <x:c r="C82" s="39"/>
    </x:row>
    <x:row r="83">
      <x:c r="A83" s="39"/>
      <x:c r="B83" s="39"/>
      <x:c r="C83" s="39"/>
    </x:row>
    <x:row r="84">
      <x:c r="A84" s="39"/>
      <x:c r="B84" s="39"/>
      <x:c r="C84" s="39"/>
    </x:row>
    <x:row r="85">
      <x:c r="A85" s="39"/>
      <x:c r="B85" s="39"/>
      <x:c r="C85" s="39"/>
    </x:row>
    <x:row r="86">
      <x:c r="A86" s="39"/>
      <x:c r="B86" s="39"/>
      <x:c r="C86" s="39"/>
    </x:row>
    <x:row r="87">
      <x:c r="A87" s="39"/>
      <x:c r="B87" s="39"/>
      <x:c r="C87" s="39"/>
    </x:row>
    <x:row r="88">
      <x:c r="A88" s="39"/>
      <x:c r="B88" s="39"/>
      <x:c r="C88" s="39"/>
    </x:row>
    <x:row r="89">
      <x:c r="A89" s="39"/>
      <x:c r="B89" s="39"/>
      <x:c r="C89" s="39"/>
    </x:row>
    <x:row r="90">
      <x:c r="A90" s="39"/>
      <x:c r="B90" s="39"/>
      <x:c r="C90" s="39"/>
    </x:row>
    <x:row r="91">
      <x:c r="A91" s="39"/>
      <x:c r="B91" s="39"/>
      <x:c r="C91" s="39"/>
    </x:row>
    <x:row r="92">
      <x:c r="A92" s="39"/>
      <x:c r="B92" s="39"/>
      <x:c r="C92" s="39"/>
    </x:row>
    <x:row r="93">
      <x:c r="A93" s="39"/>
      <x:c r="B93" s="39"/>
      <x:c r="C93" s="39"/>
    </x:row>
    <x:row r="94">
      <x:c r="A94" s="39"/>
      <x:c r="B94" s="39"/>
      <x:c r="C94" s="39"/>
    </x:row>
    <x:row r="95">
      <x:c r="A95" s="39"/>
      <x:c r="B95" s="39"/>
      <x:c r="C95" s="39"/>
    </x:row>
    <x:row r="96">
      <x:c r="A96" s="39"/>
      <x:c r="B96" s="39"/>
      <x:c r="C96" s="39"/>
    </x:row>
    <x:row r="97">
      <x:c r="A97" s="39"/>
      <x:c r="B97" s="39"/>
      <x:c r="C97" s="39"/>
    </x:row>
    <x:row r="98">
      <x:c r="A98" s="39"/>
      <x:c r="B98" s="39"/>
      <x:c r="C98" s="39"/>
    </x:row>
    <x:row r="99">
      <x:c r="A99" s="39"/>
      <x:c r="B99" s="39"/>
      <x:c r="C99" s="39"/>
    </x:row>
    <x:row r="100">
      <x:c r="A100" s="39"/>
      <x:c r="B100" s="39"/>
      <x:c r="C100" s="39"/>
    </x:row>
  </x:sheetData>
  <x:pageMargins left="0.7" right="0.7" top="0.75" bottom="0.75" header="0.3" footer="0.3"/>
  <x:tableParts count="1">
    <x:tablePart xmlns:r="http://schemas.openxmlformats.org/officeDocument/2006/relationships" r:id="Rc9fcecd82d4c4647"/>
  </x:tableParts>
</x:worksheet>
</file>