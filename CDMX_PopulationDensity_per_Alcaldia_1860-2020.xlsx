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Density (inhab per km2)" sheetId="1" state="visible" r:id="rId3"/>
    <sheet name="Population" sheetId="2" state="visible" r:id="rId4"/>
    <sheet name="Methodology" sheetId="3" state="visible" r:id="rId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<sst xmlns="http://schemas.openxmlformats.org/spreadsheetml/2006/main" count="85" uniqueCount="68">
  <si>
    <t xml:space="preserve">CDMX — Population density per alcaldía per decade, 1860–2020 (inhabitants per km²)</t>
  </si>
  <si>
    <t xml:space="preserve">Density = Population ÷ current alcaldía area in km². Area is held constant at present-day values across all decades (consistent geography). Pre-1928 cells are reconstructed (no alcaldías existed yet); see Methodology.</t>
  </si>
  <si>
    <t xml:space="preserve">Alcaldía</t>
  </si>
  <si>
    <t xml:space="preserve">Area (km²)</t>
  </si>
  <si>
    <t xml:space="preserve">Álvaro Obregón</t>
  </si>
  <si>
    <t xml:space="preserve">Azcapotzalco</t>
  </si>
  <si>
    <t xml:space="preserve">Benito Juárez</t>
  </si>
  <si>
    <t xml:space="preserve">Coyoacán</t>
  </si>
  <si>
    <t xml:space="preserve">Cuajimalpa de Morelos</t>
  </si>
  <si>
    <t xml:space="preserve">Cuauhtémoc</t>
  </si>
  <si>
    <t xml:space="preserve">Gustavo A. Madero</t>
  </si>
  <si>
    <t xml:space="preserve">Iztacalco</t>
  </si>
  <si>
    <t xml:space="preserve">Iztapalapa</t>
  </si>
  <si>
    <t xml:space="preserve">La Magdalena Contreras</t>
  </si>
  <si>
    <t xml:space="preserve">Miguel Hidalgo</t>
  </si>
  <si>
    <t xml:space="preserve">Milpa Alta</t>
  </si>
  <si>
    <t xml:space="preserve">Tláhuac</t>
  </si>
  <si>
    <t xml:space="preserve">Tlalpan</t>
  </si>
  <si>
    <t xml:space="preserve">Venustiano Carranza</t>
  </si>
  <si>
    <t xml:space="preserve">Xochimilco</t>
  </si>
  <si>
    <t xml:space="preserve">CDMX-wide statistics</t>
  </si>
  <si>
    <t xml:space="preserve">CDMX total density</t>
  </si>
  <si>
    <t xml:space="preserve">Max alcaldía density</t>
  </si>
  <si>
    <t xml:space="preserve">Min alcaldía density</t>
  </si>
  <si>
    <t xml:space="preserve">Max-to-min ratio</t>
  </si>
  <si>
    <t xml:space="preserve">Population per alcaldía per decade (reference) — from user's PopulationPerAlcaldia.xlsx</t>
  </si>
  <si>
    <t xml:space="preserve">Source: user-provided sheet. GREEN/GOLD/ORANGE quality flags described in the source workbook's Methodology sheet and copied into this workbook's Methodology sheet.</t>
  </si>
  <si>
    <t xml:space="preserve">(area)</t>
  </si>
  <si>
    <t xml:space="preserve">CDMX Population Density per Alcaldía per Decade, 1860–2020 — Methodology</t>
  </si>
  <si>
    <t xml:space="preserve">This workbook computes population density (inhabitants per km²) for each of the 16 alcaldías of Mexico City for every decade from 1860 to 2020.</t>
  </si>
  <si>
    <t xml:space="preserve">1. FORMULA</t>
  </si>
  <si>
    <t xml:space="preserve">    Density (inhab/km²) = Population in year t ÷ Area (km²)</t>
  </si>
  <si>
    <t xml:space="preserve">Area is held constant across decades at the alcaldía's CURRENT territorial extent. This is the same 'consistent geography, not consistent jurisdiction' convention used by your population sheet — what we are measuring is 'how many people lived on the territory that is now alcaldía X' divided by the size of that territory today.</t>
  </si>
  <si>
    <t xml:space="preserve">2. POPULATION DATA (numerator)</t>
  </si>
  <si>
    <t xml:space="preserve">Copied verbatim from your PopulationPerAlcaldia.xlsx. Quality flags from your source workbook carry over: 1980–2020 are direct INEGI census measurements per alcaldía (GREEN); 1950–1970 are split from the Ciudad Central aggregate using 1980 census shares (GOLD); 1860–1940 are reconstructed by mapping historical municipios onto current alcaldía territory (ORANGE).</t>
  </si>
  <si>
    <t xml:space="preserve">3. AREA DATA (denominator)</t>
  </si>
  <si>
    <t xml:space="preserve">All 16 areas are taken from a single Mexican government source for internal consistency: PAOT/SEDEMA, 'Capítulo 2: La Zona Metropolitana del Valle de México' (Programa para Mejorar la Calidad del Aire), which itself cites the INEGI Marco Geoestadístico. The 16 areas sum to 1,486.4 km², matching CDMX's published total.</t>
  </si>
  <si>
    <t xml:space="preserve">    Álvaro Obregón                 95.9 km²</t>
  </si>
  <si>
    <t xml:space="preserve">    Azcapotzalco                   33.7 km²</t>
  </si>
  <si>
    <t xml:space="preserve">    Benito Juárez                  26.5 km²</t>
  </si>
  <si>
    <t xml:space="preserve">    Coyoacán                       53.9 km²</t>
  </si>
  <si>
    <t xml:space="preserve">    Cuajimalpa de Morelos          70.8 km²</t>
  </si>
  <si>
    <t xml:space="preserve">    Cuauhtémoc                     35.5 km²</t>
  </si>
  <si>
    <t xml:space="preserve">    Gustavo A. Madero              88.1 km²</t>
  </si>
  <si>
    <t xml:space="preserve">    Iztacalco                      23.2 km²</t>
  </si>
  <si>
    <t xml:space="preserve">    Iztapalapa                    113.5 km²</t>
  </si>
  <si>
    <t xml:space="preserve">    La Magdalena Contreras         63.5 km²</t>
  </si>
  <si>
    <t xml:space="preserve">    Miguel Hidalgo                 46.3 km²</t>
  </si>
  <si>
    <t xml:space="preserve">    Milpa Alta                    287.5 km²</t>
  </si>
  <si>
    <t xml:space="preserve">    Tláhuac                        86.3 km²</t>
  </si>
  <si>
    <t xml:space="preserve">    Tlalpan                       308.7 km²</t>
  </si>
  <si>
    <t xml:space="preserve">    Venustiano Carranza            33.8 km²</t>
  </si>
  <si>
    <t xml:space="preserve">    Xochimilco                    119.2 km²</t>
  </si>
  <si>
    <t xml:space="preserve">Different sources report slightly different areas (e.g. Tlalpan appears as 308.7, 312, 314.5, or 340.07 km² depending on whether enclaves and conservation land are included). The PAOT/SEDEMA table is used here because it covers all 16 alcaldías with a single methodology and sums to the official CDMX total. Switching to per-alcaldía Wikipedia infobox values would change individual densities by 0-3% but not the rank order or qualitative pattern.</t>
  </si>
  <si>
    <t xml:space="preserve">4. WHAT THIS DENSITY MEANS BEFORE 1928</t>
  </si>
  <si>
    <t xml:space="preserve">The 16 alcaldías did not exist as administrative units before 1928 (and not in their current boundaries before 1970). For pre-1928 decades, density values represent 'people living on the territory that is now alcaldía X, divided by the current size of that territory.' This is a useful proxy for spatial intensity of settlement but should not be read as if those alcaldías were administering anyone in 1860.</t>
  </si>
  <si>
    <t xml:space="preserve">Pre-1854 the DF did not include Coyoacán, Tlalpan, Xochimilco, etc. — those towns were independent in the State of Mexico. The cells for those alcaldías in 1860 should be read as 'population of that territory, regardless of jurisdiction.'</t>
  </si>
  <si>
    <t xml:space="preserve">5. CDMX-WIDE STATISTICS ROW</t>
  </si>
  <si>
    <t xml:space="preserve">At the bottom of the density sheet, the 'CDMX total density' row computes SUM(population) ÷ SUM(area) for each decade — the city-wide average density. The 'Max-to-min ratio' row gives a quick inequality indicator across alcaldías within each decade. Note that the Min row will pick up very low rural densities (e.g. Milpa Alta in 1860 at ~14 inhab/km²) producing very high ratios in early decades — this is real, not a bug.</t>
  </si>
  <si>
    <t xml:space="preserve">6. KEY PATTERNS TO LOOK FOR</t>
  </si>
  <si>
    <t xml:space="preserve">(a) Peak density year per alcaldía: most central alcaldías peak in 1970–1980 then decline as suburbanization hollows out the core. Peripheral alcaldías peak in 2020 (still growing).</t>
  </si>
  <si>
    <t xml:space="preserve">(b) Iztacalco is the most densely populated subdivision in Mexico (per INEGI's Boroughs of Mexico City entry); confirmed here at ~17,400 inhab/km² in 2020.</t>
  </si>
  <si>
    <t xml:space="preserve">(c) Milpa Alta is consistently the least dense (~530 inhab/km² in 2020) because most of its territory is conservation zone.</t>
  </si>
  <si>
    <t xml:space="preserve">(d) The 1990 census shows the first absolute population decline in central alcaldías (Cuauhtémoc, Benito Juárez, Miguel Hidalgo, Venustiano Carranza); their densities all peaked in 1970–1980.</t>
  </si>
  <si>
    <t xml:space="preserve">7. LIMITATIONS</t>
  </si>
  <si>
    <t xml:space="preserve">(a) Gross density (people / total area) understates inhabited density for alcaldías with large conservation zones (Milpa Alta, Tlalpan, Cuajimalpa, Magdalena Contreras, Xochimilco). For those, urban-area density would be substantially higher than the figures shown.</t>
  </si>
  <si>
    <t xml:space="preserve">(b) The area number used here is the current administrative boundary. Boundary changes since 1898 (when the DF reached its current outline) and since 1970 (when central alcaldías got their current shapes) are absorbed into the constant-area assumption. This matches the convention of your source population sheet.</t>
  </si>
  <si>
    <t xml:space="preserve">(c) Pre-1928 cells inherit the ORANGE quality flag from the population sheet — order-of-magnitude only. Use only 1980–2020 for any formal statistical work.</t>
  </si>
</sst>
</file>

<file path=xl/styles.xml><?xml version="1.0" encoding="utf-8"?>
<styleSheet xmlns="http://schemas.openxmlformats.org/spreadsheetml/2006/main">
  <numFmts count="6">
    <numFmt numFmtId="164" formatCode="General"/>
    <numFmt numFmtId="165" formatCode="0"/>
    <numFmt numFmtId="166" formatCode="0.0"/>
    <numFmt numFmtId="167" formatCode="#,##0;\(#,##0\);\-"/>
    <numFmt numFmtId="168" formatCode="#,##0"/>
    <numFmt numFmtId="169" formatCode="0.0\x"/>
  </numFmts>
  <fonts count="10">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i val="true"/>
      <sz val="10"/>
      <color rgb="FF555555"/>
      <name val="Arial"/>
      <family val="0"/>
      <charset val="1"/>
    </font>
    <font>
      <b val="true"/>
      <sz val="10"/>
      <color rgb="FFFFFFFF"/>
      <name val="Arial"/>
      <family val="0"/>
      <charset val="1"/>
    </font>
    <font>
      <b val="true"/>
      <sz val="10"/>
      <name val="Arial"/>
      <family val="0"/>
      <charset val="1"/>
    </font>
    <font>
      <sz val="10"/>
      <name val="Arial"/>
      <family val="0"/>
      <charset val="1"/>
    </font>
    <font>
      <b val="true"/>
      <sz val="11"/>
      <color rgb="FF2F4858"/>
      <name val="Arial"/>
      <family val="0"/>
      <charset val="1"/>
    </font>
  </fonts>
  <fills count="4">
    <fill>
      <patternFill patternType="none"/>
    </fill>
    <fill>
      <patternFill patternType="gray125"/>
    </fill>
    <fill>
      <patternFill patternType="solid">
        <fgColor rgb="FF2F4858"/>
        <bgColor rgb="FF555555"/>
      </patternFill>
    </fill>
    <fill>
      <patternFill patternType="solid">
        <fgColor rgb="FFE8EEF2"/>
        <bgColor rgb="FFFFFFFF"/>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xf numFmtId="164" fontId="6" fillId="2" borderId="0" xfId="0" applyFont="true" applyBorder="false" applyAlignment="false" applyProtection="false">
      <alignment horizontal="general" vertical="bottom" textRotation="0" wrapText="false" indent="0" shrinkToFit="false"/>
      <protection locked="true" hidden="false"/>
    </xf>
    <xf numFmtId="164" fontId="6" fillId="2" borderId="0" xfId="0" applyFont="true" applyBorder="false" applyAlignment="true" applyProtection="false">
      <alignment horizontal="center" vertical="bottom" textRotation="0" wrapText="false" indent="0" shrinkToFit="false"/>
      <protection locked="true" hidden="false"/>
    </xf>
    <xf numFmtId="165" fontId="6" fillId="2" borderId="0" xfId="0" applyFont="true" applyBorder="false" applyAlignment="true" applyProtection="false">
      <alignment horizontal="center" vertical="bottom" textRotation="0" wrapText="false" indent="0" shrinkToFit="false"/>
      <protection locked="true" hidden="false"/>
    </xf>
    <xf numFmtId="164" fontId="7" fillId="3" borderId="0" xfId="0" applyFont="true" applyBorder="false" applyAlignment="false" applyProtection="false">
      <alignment horizontal="general" vertical="bottom" textRotation="0" wrapText="false" indent="0" shrinkToFit="false"/>
      <protection locked="true" hidden="false"/>
    </xf>
    <xf numFmtId="166" fontId="8" fillId="0" borderId="0" xfId="0" applyFont="true" applyBorder="false" applyAlignment="true" applyProtection="false">
      <alignment horizontal="center" vertical="bottom" textRotation="0" wrapText="false" indent="0" shrinkToFit="false"/>
      <protection locked="true" hidden="false"/>
    </xf>
    <xf numFmtId="167" fontId="8" fillId="0" borderId="0" xfId="0" applyFont="true" applyBorder="false" applyAlignment="true" applyProtection="false">
      <alignment horizontal="center" vertical="bottom" textRotation="0" wrapText="false" indent="0" shrinkToFit="false"/>
      <protection locked="true" hidden="false"/>
    </xf>
    <xf numFmtId="168" fontId="8" fillId="0" borderId="0" xfId="0" applyFont="true" applyBorder="false" applyAlignment="true" applyProtection="false">
      <alignment horizontal="center" vertical="bottom" textRotation="0" wrapText="false" indent="0" shrinkToFit="false"/>
      <protection locked="true" hidden="false"/>
    </xf>
    <xf numFmtId="169" fontId="8" fillId="0" borderId="0" xfId="0" applyFont="true" applyBorder="false" applyAlignment="true" applyProtection="false">
      <alignment horizontal="center"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E8EEF2"/>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55555"/>
      <rgbColor rgb="FF969696"/>
      <rgbColor rgb="FF003366"/>
      <rgbColor rgb="FF339966"/>
      <rgbColor rgb="FF003300"/>
      <rgbColor rgb="FF333300"/>
      <rgbColor rgb="FF993300"/>
      <rgbColor rgb="FF993366"/>
      <rgbColor rgb="FF333399"/>
      <rgbColor rgb="FF2F4858"/>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S2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11"/>
    <col collapsed="false" customWidth="true" hidden="false" outlineLevel="0" max="19" min="3" style="0" width="10"/>
  </cols>
  <sheetData>
    <row r="1" customFormat="false" ht="17.35" hidden="false" customHeight="false" outlineLevel="0" collapsed="false">
      <c r="A1" s="1" t="s">
        <v>0</v>
      </c>
      <c r="B1" s="1"/>
      <c r="C1" s="1"/>
      <c r="D1" s="1"/>
      <c r="E1" s="1"/>
      <c r="F1" s="1"/>
      <c r="G1" s="1"/>
      <c r="H1" s="1"/>
      <c r="I1" s="1"/>
      <c r="J1" s="1"/>
      <c r="K1" s="1"/>
      <c r="L1" s="1"/>
      <c r="M1" s="1"/>
      <c r="N1" s="1"/>
      <c r="O1" s="1"/>
      <c r="P1" s="1"/>
      <c r="Q1" s="1"/>
      <c r="R1" s="1"/>
      <c r="S1" s="1"/>
    </row>
    <row r="2" customFormat="false" ht="15" hidden="false" customHeight="false" outlineLevel="0" collapsed="false">
      <c r="A2" s="2" t="s">
        <v>1</v>
      </c>
      <c r="B2" s="2"/>
      <c r="C2" s="2"/>
      <c r="D2" s="2"/>
      <c r="E2" s="2"/>
      <c r="F2" s="2"/>
      <c r="G2" s="2"/>
      <c r="H2" s="2"/>
      <c r="I2" s="2"/>
      <c r="J2" s="2"/>
      <c r="K2" s="2"/>
      <c r="L2" s="2"/>
      <c r="M2" s="2"/>
      <c r="N2" s="2"/>
      <c r="O2" s="2"/>
      <c r="P2" s="2"/>
      <c r="Q2" s="2"/>
      <c r="R2" s="2"/>
      <c r="S2" s="2"/>
    </row>
    <row r="4" customFormat="false" ht="15" hidden="false" customHeight="false" outlineLevel="0" collapsed="false">
      <c r="A4" s="3" t="s">
        <v>2</v>
      </c>
      <c r="B4" s="4" t="s">
        <v>3</v>
      </c>
      <c r="C4" s="5" t="n">
        <v>1860</v>
      </c>
      <c r="D4" s="5" t="n">
        <v>1870</v>
      </c>
      <c r="E4" s="5" t="n">
        <v>1880</v>
      </c>
      <c r="F4" s="5" t="n">
        <v>1890</v>
      </c>
      <c r="G4" s="5" t="n">
        <v>1900</v>
      </c>
      <c r="H4" s="5" t="n">
        <v>1910</v>
      </c>
      <c r="I4" s="5" t="n">
        <v>1920</v>
      </c>
      <c r="J4" s="5" t="n">
        <v>1930</v>
      </c>
      <c r="K4" s="5" t="n">
        <v>1940</v>
      </c>
      <c r="L4" s="5" t="n">
        <v>1950</v>
      </c>
      <c r="M4" s="5" t="n">
        <v>1960</v>
      </c>
      <c r="N4" s="5" t="n">
        <v>1970</v>
      </c>
      <c r="O4" s="5" t="n">
        <v>1980</v>
      </c>
      <c r="P4" s="5" t="n">
        <v>1990</v>
      </c>
      <c r="Q4" s="5" t="n">
        <v>2000</v>
      </c>
      <c r="R4" s="5" t="n">
        <v>2010</v>
      </c>
      <c r="S4" s="5" t="n">
        <v>2020</v>
      </c>
    </row>
    <row r="5" customFormat="false" ht="15" hidden="false" customHeight="false" outlineLevel="0" collapsed="false">
      <c r="A5" s="6" t="s">
        <v>4</v>
      </c>
      <c r="B5" s="7" t="n">
        <v>95.9</v>
      </c>
      <c r="C5" s="8" t="n">
        <f aca="false">IF($B5=0,0,Population!C5/$B5)</f>
        <v>55.9228362877998</v>
      </c>
      <c r="D5" s="8" t="n">
        <f aca="false">IF($B5=0,0,Population!D5/$B5)</f>
        <v>61.0010427528676</v>
      </c>
      <c r="E5" s="8" t="n">
        <f aca="false">IF($B5=0,0,Population!E5/$B5)</f>
        <v>73.7122002085506</v>
      </c>
      <c r="F5" s="8" t="n">
        <f aca="false">IF($B5=0,0,Population!F5/$B5)</f>
        <v>101.668404588113</v>
      </c>
      <c r="G5" s="8" t="n">
        <f aca="false">IF($B5=0,0,Population!G5/$B5)</f>
        <v>137.580813347237</v>
      </c>
      <c r="H5" s="8" t="n">
        <f aca="false">IF($B5=0,0,Population!H5/$B5)</f>
        <v>210.281543274244</v>
      </c>
      <c r="I5" s="8" t="n">
        <f aca="false">IF($B5=0,0,Population!I5/$B5)</f>
        <v>276.308654848801</v>
      </c>
      <c r="J5" s="8" t="n">
        <f aca="false">IF($B5=0,0,Population!J5/$B5)</f>
        <v>383.242961418144</v>
      </c>
      <c r="K5" s="8" t="n">
        <f aca="false">IF($B5=0,0,Population!K5/$B5)</f>
        <v>554.973931178311</v>
      </c>
      <c r="L5" s="8" t="n">
        <f aca="false">IF($B5=0,0,Population!L5/$B5)</f>
        <v>971.595411887383</v>
      </c>
      <c r="M5" s="8" t="n">
        <f aca="false">IF($B5=0,0,Population!M5/$B5)</f>
        <v>2294.17101147028</v>
      </c>
      <c r="N5" s="8" t="n">
        <f aca="false">IF($B5=0,0,Population!N5/$B5)</f>
        <v>4762.34619395203</v>
      </c>
      <c r="O5" s="8" t="n">
        <f aca="false">IF($B5=0,0,Population!O5/$B5)</f>
        <v>6665.41188738269</v>
      </c>
      <c r="P5" s="8" t="n">
        <f aca="false">IF($B5=0,0,Population!P5/$B5)</f>
        <v>6702.32533889468</v>
      </c>
      <c r="Q5" s="8" t="n">
        <f aca="false">IF($B5=0,0,Population!Q5/$B5)</f>
        <v>7163.92075078206</v>
      </c>
      <c r="R5" s="8" t="n">
        <f aca="false">IF($B5=0,0,Population!R5/$B5)</f>
        <v>7581.16788321168</v>
      </c>
      <c r="S5" s="8" t="n">
        <f aca="false">IF($B5=0,0,Population!S5/$B5)</f>
        <v>7915.9228362878</v>
      </c>
    </row>
    <row r="6" customFormat="false" ht="15" hidden="false" customHeight="false" outlineLevel="0" collapsed="false">
      <c r="A6" s="6" t="s">
        <v>5</v>
      </c>
      <c r="B6" s="7" t="n">
        <v>33.7</v>
      </c>
      <c r="C6" s="8" t="n">
        <f aca="false">IF($B6=0,0,Population!C6/$B6)</f>
        <v>145.875370919881</v>
      </c>
      <c r="D6" s="8" t="n">
        <f aca="false">IF($B6=0,0,Population!D6/$B6)</f>
        <v>159.139465875371</v>
      </c>
      <c r="E6" s="8" t="n">
        <f aca="false">IF($B6=0,0,Population!E6/$B6)</f>
        <v>192.284866468843</v>
      </c>
      <c r="F6" s="8" t="n">
        <f aca="false">IF($B6=0,0,Population!F6/$B6)</f>
        <v>265.222551928783</v>
      </c>
      <c r="G6" s="8" t="n">
        <f aca="false">IF($B6=0,0,Population!G6/$B6)</f>
        <v>358.902077151335</v>
      </c>
      <c r="H6" s="8" t="n">
        <f aca="false">IF($B6=0,0,Population!H6/$B6)</f>
        <v>968.486646884273</v>
      </c>
      <c r="I6" s="8" t="n">
        <f aca="false">IF($B6=0,0,Population!I6/$B6)</f>
        <v>1433.82789317507</v>
      </c>
      <c r="J6" s="8" t="n">
        <f aca="false">IF($B6=0,0,Population!J6/$B6)</f>
        <v>2095.40059347181</v>
      </c>
      <c r="K6" s="8" t="n">
        <f aca="false">IF($B6=0,0,Population!K6/$B6)</f>
        <v>3124.80712166172</v>
      </c>
      <c r="L6" s="8" t="n">
        <f aca="false">IF($B6=0,0,Population!L6/$B6)</f>
        <v>5574.59940652819</v>
      </c>
      <c r="M6" s="8" t="n">
        <f aca="false">IF($B6=0,0,Population!M6/$B6)</f>
        <v>11000.7121661721</v>
      </c>
      <c r="N6" s="8" t="n">
        <f aca="false">IF($B6=0,0,Population!N6/$B6)</f>
        <v>15862.1364985163</v>
      </c>
      <c r="O6" s="8" t="n">
        <f aca="false">IF($B6=0,0,Population!O6/$B6)</f>
        <v>17849.3768545994</v>
      </c>
      <c r="P6" s="8" t="n">
        <f aca="false">IF($B6=0,0,Population!P6/$B6)</f>
        <v>14085.6973293769</v>
      </c>
      <c r="Q6" s="8" t="n">
        <f aca="false">IF($B6=0,0,Population!Q6/$B6)</f>
        <v>13086.2908011869</v>
      </c>
      <c r="R6" s="8" t="n">
        <f aca="false">IF($B6=0,0,Population!R6/$B6)</f>
        <v>12305.9643916914</v>
      </c>
      <c r="S6" s="8" t="n">
        <f aca="false">IF($B6=0,0,Population!S6/$B6)</f>
        <v>12825.0741839763</v>
      </c>
    </row>
    <row r="7" customFormat="false" ht="15" hidden="false" customHeight="false" outlineLevel="0" collapsed="false">
      <c r="A7" s="6" t="s">
        <v>6</v>
      </c>
      <c r="B7" s="7" t="n">
        <v>26.5</v>
      </c>
      <c r="C7" s="8" t="n">
        <f aca="false">IF($B7=0,0,Population!C7/$B7)</f>
        <v>1180.49056603774</v>
      </c>
      <c r="D7" s="8" t="n">
        <f aca="false">IF($B7=0,0,Population!D7/$B7)</f>
        <v>1287.77358490566</v>
      </c>
      <c r="E7" s="8" t="n">
        <f aca="false">IF($B7=0,0,Population!E7/$B7)</f>
        <v>1556.07547169811</v>
      </c>
      <c r="F7" s="8" t="n">
        <f aca="false">IF($B7=0,0,Population!F7/$B7)</f>
        <v>2146.30188679245</v>
      </c>
      <c r="G7" s="8" t="n">
        <f aca="false">IF($B7=0,0,Population!G7/$B7)</f>
        <v>2904.41509433962</v>
      </c>
      <c r="H7" s="8" t="n">
        <f aca="false">IF($B7=0,0,Population!H7/$B7)</f>
        <v>4050.98113207547</v>
      </c>
      <c r="I7" s="8" t="n">
        <f aca="false">IF($B7=0,0,Population!I7/$B7)</f>
        <v>5174.15094339623</v>
      </c>
      <c r="J7" s="8" t="n">
        <f aca="false">IF($B7=0,0,Population!J7/$B7)</f>
        <v>7078.07547169811</v>
      </c>
      <c r="K7" s="8" t="n">
        <f aca="false">IF($B7=0,0,Population!K7/$B7)</f>
        <v>10166.1886792453</v>
      </c>
      <c r="L7" s="8" t="n">
        <f aca="false">IF($B7=0,0,Population!L7/$B7)</f>
        <v>17701.8867924528</v>
      </c>
      <c r="M7" s="8" t="n">
        <f aca="false">IF($B7=0,0,Population!M7/$B7)</f>
        <v>22433.3962264151</v>
      </c>
      <c r="N7" s="8" t="n">
        <f aca="false">IF($B7=0,0,Population!N7/$B7)</f>
        <v>22994.4905660377</v>
      </c>
      <c r="O7" s="8" t="n">
        <f aca="false">IF($B7=0,0,Population!O7/$B7)</f>
        <v>20561.5849056604</v>
      </c>
      <c r="P7" s="8" t="n">
        <f aca="false">IF($B7=0,0,Population!P7/$B7)</f>
        <v>15389.0943396226</v>
      </c>
      <c r="Q7" s="8" t="n">
        <f aca="false">IF($B7=0,0,Population!Q7/$B7)</f>
        <v>13602.9433962264</v>
      </c>
      <c r="R7" s="8" t="n">
        <f aca="false">IF($B7=0,0,Population!R7/$B7)</f>
        <v>14544.8679245283</v>
      </c>
      <c r="S7" s="8" t="n">
        <f aca="false">IF($B7=0,0,Population!S7/$B7)</f>
        <v>16383.1320754717</v>
      </c>
    </row>
    <row r="8" customFormat="false" ht="15" hidden="false" customHeight="false" outlineLevel="0" collapsed="false">
      <c r="A8" s="6" t="s">
        <v>7</v>
      </c>
      <c r="B8" s="7" t="n">
        <v>53.9</v>
      </c>
      <c r="C8" s="8" t="n">
        <f aca="false">IF($B8=0,0,Population!C8/$B8)</f>
        <v>74.6196660482375</v>
      </c>
      <c r="D8" s="8" t="n">
        <f aca="false">IF($B8=0,0,Population!D8/$B8)</f>
        <v>81.4100185528757</v>
      </c>
      <c r="E8" s="8" t="n">
        <f aca="false">IF($B8=0,0,Population!E8/$B8)</f>
        <v>98.3673469387755</v>
      </c>
      <c r="F8" s="8" t="n">
        <f aca="false">IF($B8=0,0,Population!F8/$B8)</f>
        <v>135.677179962894</v>
      </c>
      <c r="G8" s="8" t="n">
        <f aca="false">IF($B8=0,0,Population!G8/$B8)</f>
        <v>183.599257884972</v>
      </c>
      <c r="H8" s="8" t="n">
        <f aca="false">IF($B8=0,0,Population!H8/$B8)</f>
        <v>280.909090909091</v>
      </c>
      <c r="I8" s="8" t="n">
        <f aca="false">IF($B8=0,0,Population!I8/$B8)</f>
        <v>369.239332096475</v>
      </c>
      <c r="J8" s="8" t="n">
        <f aca="false">IF($B8=0,0,Population!J8/$B8)</f>
        <v>512.226345083488</v>
      </c>
      <c r="K8" s="8" t="n">
        <f aca="false">IF($B8=0,0,Population!K8/$B8)</f>
        <v>741.818181818182</v>
      </c>
      <c r="L8" s="8" t="n">
        <f aca="false">IF($B8=0,0,Population!L8/$B8)</f>
        <v>1298.79406307978</v>
      </c>
      <c r="M8" s="8" t="n">
        <f aca="false">IF($B8=0,0,Population!M8/$B8)</f>
        <v>3150.48237476809</v>
      </c>
      <c r="N8" s="8" t="n">
        <f aca="false">IF($B8=0,0,Population!N8/$B8)</f>
        <v>6297.69944341373</v>
      </c>
      <c r="O8" s="8" t="n">
        <f aca="false">IF($B8=0,0,Population!O8/$B8)</f>
        <v>11078.4601113173</v>
      </c>
      <c r="P8" s="8" t="n">
        <f aca="false">IF($B8=0,0,Population!P8/$B8)</f>
        <v>11875.0649350649</v>
      </c>
      <c r="Q8" s="8" t="n">
        <f aca="false">IF($B8=0,0,Population!Q8/$B8)</f>
        <v>11881.6883116883</v>
      </c>
      <c r="R8" s="8" t="n">
        <f aca="false">IF($B8=0,0,Population!R8/$B8)</f>
        <v>11510.5009276438</v>
      </c>
      <c r="S8" s="8" t="n">
        <f aca="false">IF($B8=0,0,Population!S8/$B8)</f>
        <v>11399.758812616</v>
      </c>
    </row>
    <row r="9" customFormat="false" ht="15" hidden="false" customHeight="false" outlineLevel="0" collapsed="false">
      <c r="A9" s="6" t="s">
        <v>8</v>
      </c>
      <c r="B9" s="7" t="n">
        <v>70.8</v>
      </c>
      <c r="C9" s="8" t="n">
        <f aca="false">IF($B9=0,0,Population!C9/$B9)</f>
        <v>31.5536723163842</v>
      </c>
      <c r="D9" s="8" t="n">
        <f aca="false">IF($B9=0,0,Population!D9/$B9)</f>
        <v>34.4350282485876</v>
      </c>
      <c r="E9" s="8" t="n">
        <f aca="false">IF($B9=0,0,Population!E9/$B9)</f>
        <v>41.5960451977401</v>
      </c>
      <c r="F9" s="8" t="n">
        <f aca="false">IF($B9=0,0,Population!F9/$B9)</f>
        <v>57.3870056497175</v>
      </c>
      <c r="G9" s="8" t="n">
        <f aca="false">IF($B9=0,0,Population!G9/$B9)</f>
        <v>77.6553672316384</v>
      </c>
      <c r="H9" s="8" t="n">
        <f aca="false">IF($B9=0,0,Population!H9/$B9)</f>
        <v>61.8079096045198</v>
      </c>
      <c r="I9" s="8" t="n">
        <f aca="false">IF($B9=0,0,Population!I9/$B9)</f>
        <v>59.3785310734463</v>
      </c>
      <c r="J9" s="8" t="n">
        <f aca="false">IF($B9=0,0,Population!J9/$B9)</f>
        <v>67.9237288135593</v>
      </c>
      <c r="K9" s="8" t="n">
        <f aca="false">IF($B9=0,0,Population!K9/$B9)</f>
        <v>86.1016949152542</v>
      </c>
      <c r="L9" s="8" t="n">
        <f aca="false">IF($B9=0,0,Population!L9/$B9)</f>
        <v>136.666666666667</v>
      </c>
      <c r="M9" s="8" t="n">
        <f aca="false">IF($B9=0,0,Population!M9/$B9)</f>
        <v>271.172316384181</v>
      </c>
      <c r="N9" s="8" t="n">
        <f aca="false">IF($B9=0,0,Population!N9/$B9)</f>
        <v>511.299435028249</v>
      </c>
      <c r="O9" s="8" t="n">
        <f aca="false">IF($B9=0,0,Population!O9/$B9)</f>
        <v>1288.13559322034</v>
      </c>
      <c r="P9" s="8" t="n">
        <f aca="false">IF($B9=0,0,Population!P9/$B9)</f>
        <v>1690.24011299435</v>
      </c>
      <c r="Q9" s="8" t="n">
        <f aca="false">IF($B9=0,0,Population!Q9/$B9)</f>
        <v>2135.90395480226</v>
      </c>
      <c r="R9" s="8" t="n">
        <f aca="false">IF($B9=0,0,Population!R9/$B9)</f>
        <v>2632.64124293785</v>
      </c>
      <c r="S9" s="8" t="n">
        <f aca="false">IF($B9=0,0,Population!S9/$B9)</f>
        <v>3074.66101694915</v>
      </c>
    </row>
    <row r="10" customFormat="false" ht="15" hidden="false" customHeight="false" outlineLevel="0" collapsed="false">
      <c r="A10" s="6" t="s">
        <v>9</v>
      </c>
      <c r="B10" s="7" t="n">
        <v>35.5</v>
      </c>
      <c r="C10" s="8" t="n">
        <f aca="false">IF($B10=0,0,Population!C10/$B10)</f>
        <v>2014.16901408451</v>
      </c>
      <c r="D10" s="8" t="n">
        <f aca="false">IF($B10=0,0,Population!D10/$B10)</f>
        <v>2197.2676056338</v>
      </c>
      <c r="E10" s="8" t="n">
        <f aca="false">IF($B10=0,0,Population!E10/$B10)</f>
        <v>2655.04225352113</v>
      </c>
      <c r="F10" s="8" t="n">
        <f aca="false">IF($B10=0,0,Population!F10/$B10)</f>
        <v>3662.11267605634</v>
      </c>
      <c r="G10" s="8" t="n">
        <f aca="false">IF($B10=0,0,Population!G10/$B10)</f>
        <v>4955.60563380282</v>
      </c>
      <c r="H10" s="8" t="n">
        <f aca="false">IF($B10=0,0,Population!H10/$B10)</f>
        <v>5469.83098591549</v>
      </c>
      <c r="I10" s="8" t="n">
        <f aca="false">IF($B10=0,0,Population!I10/$B10)</f>
        <v>6379.85915492958</v>
      </c>
      <c r="J10" s="8" t="n">
        <f aca="false">IF($B10=0,0,Population!J10/$B10)</f>
        <v>8314.47887323944</v>
      </c>
      <c r="K10" s="8" t="n">
        <f aca="false">IF($B10=0,0,Population!K10/$B10)</f>
        <v>11587.014084507</v>
      </c>
      <c r="L10" s="8" t="n">
        <f aca="false">IF($B10=0,0,Population!L10/$B10)</f>
        <v>19764.3661971831</v>
      </c>
      <c r="M10" s="8" t="n">
        <f aca="false">IF($B10=0,0,Population!M10/$B10)</f>
        <v>25047.1830985915</v>
      </c>
      <c r="N10" s="8" t="n">
        <f aca="false">IF($B10=0,0,Population!N10/$B10)</f>
        <v>25673.6338028169</v>
      </c>
      <c r="O10" s="8" t="n">
        <f aca="false">IF($B10=0,0,Population!O10/$B10)</f>
        <v>22957.2676056338</v>
      </c>
      <c r="P10" s="8" t="n">
        <f aca="false">IF($B10=0,0,Population!P10/$B10)</f>
        <v>16787.6056338028</v>
      </c>
      <c r="Q10" s="8" t="n">
        <f aca="false">IF($B10=0,0,Population!Q10/$B10)</f>
        <v>14542.3943661972</v>
      </c>
      <c r="R10" s="8" t="n">
        <f aca="false">IF($B10=0,0,Population!R10/$B10)</f>
        <v>14981.1549295775</v>
      </c>
      <c r="S10" s="8" t="n">
        <f aca="false">IF($B10=0,0,Population!S10/$B10)</f>
        <v>15377.014084507</v>
      </c>
    </row>
    <row r="11" customFormat="false" ht="15" hidden="false" customHeight="false" outlineLevel="0" collapsed="false">
      <c r="A11" s="6" t="s">
        <v>10</v>
      </c>
      <c r="B11" s="7" t="n">
        <v>88.1</v>
      </c>
      <c r="C11" s="8" t="n">
        <f aca="false">IF($B11=0,0,Population!C11/$B11)</f>
        <v>50.7264472190692</v>
      </c>
      <c r="D11" s="8" t="n">
        <f aca="false">IF($B11=0,0,Population!D11/$B11)</f>
        <v>55.3348467650397</v>
      </c>
      <c r="E11" s="8" t="n">
        <f aca="false">IF($B11=0,0,Population!E11/$B11)</f>
        <v>66.8671963677639</v>
      </c>
      <c r="F11" s="8" t="n">
        <f aca="false">IF($B11=0,0,Population!F11/$B11)</f>
        <v>92.2247446083996</v>
      </c>
      <c r="G11" s="8" t="n">
        <f aca="false">IF($B11=0,0,Population!G11/$B11)</f>
        <v>124.801362088536</v>
      </c>
      <c r="H11" s="8" t="n">
        <f aca="false">IF($B11=0,0,Population!H11/$B11)</f>
        <v>390.181611804767</v>
      </c>
      <c r="I11" s="8" t="n">
        <f aca="false">IF($B11=0,0,Population!I11/$B11)</f>
        <v>589.250851305335</v>
      </c>
      <c r="J11" s="8" t="n">
        <f aca="false">IF($B11=0,0,Population!J11/$B11)</f>
        <v>867.956867196368</v>
      </c>
      <c r="K11" s="8" t="n">
        <f aca="false">IF($B11=0,0,Population!K11/$B11)</f>
        <v>1299.84108967083</v>
      </c>
      <c r="L11" s="8" t="n">
        <f aca="false">IF($B11=0,0,Population!L11/$B11)</f>
        <v>2325.0056753689</v>
      </c>
      <c r="M11" s="8" t="n">
        <f aca="false">IF($B11=0,0,Population!M11/$B11)</f>
        <v>6574.12031782066</v>
      </c>
      <c r="N11" s="8" t="n">
        <f aca="false">IF($B11=0,0,Population!N11/$B11)</f>
        <v>13463.1895573212</v>
      </c>
      <c r="O11" s="8" t="n">
        <f aca="false">IF($B11=0,0,Population!O11/$B11)</f>
        <v>17177.752553916</v>
      </c>
      <c r="P11" s="8" t="n">
        <f aca="false">IF($B11=0,0,Population!P11/$B11)</f>
        <v>14393.5073779796</v>
      </c>
      <c r="Q11" s="8" t="n">
        <f aca="false">IF($B11=0,0,Population!Q11/$B11)</f>
        <v>14024.3132803632</v>
      </c>
      <c r="R11" s="8" t="n">
        <f aca="false">IF($B11=0,0,Population!R11/$B11)</f>
        <v>13459.3870601589</v>
      </c>
      <c r="S11" s="8" t="n">
        <f aca="false">IF($B11=0,0,Population!S11/$B11)</f>
        <v>13318.3995459705</v>
      </c>
    </row>
    <row r="12" customFormat="false" ht="15" hidden="false" customHeight="false" outlineLevel="0" collapsed="false">
      <c r="A12" s="6" t="s">
        <v>11</v>
      </c>
      <c r="B12" s="7" t="n">
        <v>23.2</v>
      </c>
      <c r="C12" s="8" t="n">
        <f aca="false">IF($B12=0,0,Population!C12/$B12)</f>
        <v>86.6810344827586</v>
      </c>
      <c r="D12" s="8" t="n">
        <f aca="false">IF($B12=0,0,Population!D12/$B12)</f>
        <v>94.5689655172414</v>
      </c>
      <c r="E12" s="8" t="n">
        <f aca="false">IF($B12=0,0,Population!E12/$B12)</f>
        <v>114.26724137931</v>
      </c>
      <c r="F12" s="8" t="n">
        <f aca="false">IF($B12=0,0,Population!F12/$B12)</f>
        <v>157.586206896552</v>
      </c>
      <c r="G12" s="8" t="n">
        <f aca="false">IF($B12=0,0,Population!G12/$B12)</f>
        <v>213.275862068966</v>
      </c>
      <c r="H12" s="8" t="n">
        <f aca="false">IF($B12=0,0,Population!H12/$B12)</f>
        <v>320</v>
      </c>
      <c r="I12" s="8" t="n">
        <f aca="false">IF($B12=0,0,Population!I12/$B12)</f>
        <v>418.23275862069</v>
      </c>
      <c r="J12" s="8" t="n">
        <f aca="false">IF($B12=0,0,Population!J12/$B12)</f>
        <v>578.577586206897</v>
      </c>
      <c r="K12" s="8" t="n">
        <f aca="false">IF($B12=0,0,Population!K12/$B12)</f>
        <v>836.594827586207</v>
      </c>
      <c r="L12" s="8" t="n">
        <f aca="false">IF($B12=0,0,Population!L12/$B12)</f>
        <v>1463.14655172414</v>
      </c>
      <c r="M12" s="8" t="n">
        <f aca="false">IF($B12=0,0,Population!M12/$B12)</f>
        <v>8573.44827586207</v>
      </c>
      <c r="N12" s="8" t="n">
        <f aca="false">IF($B12=0,0,Population!N12/$B12)</f>
        <v>20574.6120689655</v>
      </c>
      <c r="O12" s="8" t="n">
        <f aca="false">IF($B12=0,0,Population!O12/$B12)</f>
        <v>24585.2155172414</v>
      </c>
      <c r="P12" s="8" t="n">
        <f aca="false">IF($B12=0,0,Population!P12/$B12)</f>
        <v>19324.224137931</v>
      </c>
      <c r="Q12" s="8" t="n">
        <f aca="false">IF($B12=0,0,Population!Q12/$B12)</f>
        <v>17729.3534482759</v>
      </c>
      <c r="R12" s="8" t="n">
        <f aca="false">IF($B12=0,0,Population!R12/$B12)</f>
        <v>16565.775862069</v>
      </c>
      <c r="S12" s="8" t="n">
        <f aca="false">IF($B12=0,0,Population!S12/$B12)</f>
        <v>17443.75</v>
      </c>
    </row>
    <row r="13" customFormat="false" ht="15" hidden="false" customHeight="false" outlineLevel="0" collapsed="false">
      <c r="A13" s="6" t="s">
        <v>12</v>
      </c>
      <c r="B13" s="7" t="n">
        <v>113.5</v>
      </c>
      <c r="C13" s="8" t="n">
        <f aca="false">IF($B13=0,0,Population!C13/$B13)</f>
        <v>47.2511013215859</v>
      </c>
      <c r="D13" s="8" t="n">
        <f aca="false">IF($B13=0,0,Population!D13/$B13)</f>
        <v>51.5418502202643</v>
      </c>
      <c r="E13" s="8" t="n">
        <f aca="false">IF($B13=0,0,Population!E13/$B13)</f>
        <v>62.2819383259912</v>
      </c>
      <c r="F13" s="8" t="n">
        <f aca="false">IF($B13=0,0,Population!F13/$B13)</f>
        <v>85.9030837004405</v>
      </c>
      <c r="G13" s="8" t="n">
        <f aca="false">IF($B13=0,0,Population!G13/$B13)</f>
        <v>116.246696035242</v>
      </c>
      <c r="H13" s="8" t="n">
        <f aca="false">IF($B13=0,0,Population!H13/$B13)</f>
        <v>157.52422907489</v>
      </c>
      <c r="I13" s="8" t="n">
        <f aca="false">IF($B13=0,0,Population!I13/$B13)</f>
        <v>199.251101321586</v>
      </c>
      <c r="J13" s="8" t="n">
        <f aca="false">IF($B13=0,0,Population!J13/$B13)</f>
        <v>271.251101321586</v>
      </c>
      <c r="K13" s="8" t="n">
        <f aca="false">IF($B13=0,0,Population!K13/$B13)</f>
        <v>388.449339207048</v>
      </c>
      <c r="L13" s="8" t="n">
        <f aca="false">IF($B13=0,0,Population!L13/$B13)</f>
        <v>675.074889867841</v>
      </c>
      <c r="M13" s="8" t="n">
        <f aca="false">IF($B13=0,0,Population!M13/$B13)</f>
        <v>2241.01321585903</v>
      </c>
      <c r="N13" s="8" t="n">
        <f aca="false">IF($B13=0,0,Population!N13/$B13)</f>
        <v>4599.95594713656</v>
      </c>
      <c r="O13" s="8" t="n">
        <f aca="false">IF($B13=0,0,Population!O13/$B13)</f>
        <v>11122.0616740088</v>
      </c>
      <c r="P13" s="8" t="n">
        <f aca="false">IF($B13=0,0,Population!P13/$B13)</f>
        <v>13132.1497797357</v>
      </c>
      <c r="Q13" s="8" t="n">
        <f aca="false">IF($B13=0,0,Population!Q13/$B13)</f>
        <v>15624.1674008811</v>
      </c>
      <c r="R13" s="8" t="n">
        <f aca="false">IF($B13=0,0,Population!R13/$B13)</f>
        <v>15998.1145374449</v>
      </c>
      <c r="S13" s="8" t="n">
        <f aca="false">IF($B13=0,0,Population!S13/$B13)</f>
        <v>16171.6828193833</v>
      </c>
    </row>
    <row r="14" customFormat="false" ht="15" hidden="false" customHeight="false" outlineLevel="0" collapsed="false">
      <c r="A14" s="6" t="s">
        <v>13</v>
      </c>
      <c r="B14" s="7" t="n">
        <v>63.5</v>
      </c>
      <c r="C14" s="8" t="n">
        <f aca="false">IF($B14=0,0,Population!C14/$B14)</f>
        <v>24.6299212598425</v>
      </c>
      <c r="D14" s="8" t="n">
        <f aca="false">IF($B14=0,0,Population!D14/$B14)</f>
        <v>26.8661417322835</v>
      </c>
      <c r="E14" s="8" t="n">
        <f aca="false">IF($B14=0,0,Population!E14/$B14)</f>
        <v>32.4724409448819</v>
      </c>
      <c r="F14" s="8" t="n">
        <f aca="false">IF($B14=0,0,Population!F14/$B14)</f>
        <v>44.7874015748032</v>
      </c>
      <c r="G14" s="8" t="n">
        <f aca="false">IF($B14=0,0,Population!G14/$B14)</f>
        <v>60.5984251968504</v>
      </c>
      <c r="H14" s="8" t="n">
        <f aca="false">IF($B14=0,0,Population!H14/$B14)</f>
        <v>81.259842519685</v>
      </c>
      <c r="I14" s="8" t="n">
        <f aca="false">IF($B14=0,0,Population!I14/$B14)</f>
        <v>102.425196850394</v>
      </c>
      <c r="J14" s="8" t="n">
        <f aca="false">IF($B14=0,0,Population!J14/$B14)</f>
        <v>139.181102362205</v>
      </c>
      <c r="K14" s="8" t="n">
        <f aca="false">IF($B14=0,0,Population!K14/$B14)</f>
        <v>199.102362204724</v>
      </c>
      <c r="L14" s="8" t="n">
        <f aca="false">IF($B14=0,0,Population!L14/$B14)</f>
        <v>345.748031496063</v>
      </c>
      <c r="M14" s="8" t="n">
        <f aca="false">IF($B14=0,0,Population!M14/$B14)</f>
        <v>641.322834645669</v>
      </c>
      <c r="N14" s="8" t="n">
        <f aca="false">IF($B14=0,0,Population!N14/$B14)</f>
        <v>1187.85826771654</v>
      </c>
      <c r="O14" s="8" t="n">
        <f aca="false">IF($B14=0,0,Population!O14/$B14)</f>
        <v>2726.06299212598</v>
      </c>
      <c r="P14" s="8" t="n">
        <f aca="false">IF($B14=0,0,Population!P14/$B14)</f>
        <v>3071.51181102362</v>
      </c>
      <c r="Q14" s="8" t="n">
        <f aca="false">IF($B14=0,0,Population!Q14/$B14)</f>
        <v>3496.85039370079</v>
      </c>
      <c r="R14" s="8" t="n">
        <f aca="false">IF($B14=0,0,Population!R14/$B14)</f>
        <v>3765.13385826772</v>
      </c>
      <c r="S14" s="8" t="n">
        <f aca="false">IF($B14=0,0,Population!S14/$B14)</f>
        <v>3899.55905511811</v>
      </c>
    </row>
    <row r="15" customFormat="false" ht="15" hidden="false" customHeight="false" outlineLevel="0" collapsed="false">
      <c r="A15" s="6" t="s">
        <v>14</v>
      </c>
      <c r="B15" s="7" t="n">
        <v>46.3</v>
      </c>
      <c r="C15" s="8" t="n">
        <f aca="false">IF($B15=0,0,Population!C15/$B15)</f>
        <v>723.90928725702</v>
      </c>
      <c r="D15" s="8" t="n">
        <f aca="false">IF($B15=0,0,Population!D15/$B15)</f>
        <v>789.719222462203</v>
      </c>
      <c r="E15" s="8" t="n">
        <f aca="false">IF($B15=0,0,Population!E15/$B15)</f>
        <v>954.254859611231</v>
      </c>
      <c r="F15" s="8" t="n">
        <f aca="false">IF($B15=0,0,Population!F15/$B15)</f>
        <v>1316.19870410367</v>
      </c>
      <c r="G15" s="8" t="n">
        <f aca="false">IF($B15=0,0,Population!G15/$B15)</f>
        <v>1781.07991360691</v>
      </c>
      <c r="H15" s="8" t="n">
        <f aca="false">IF($B15=0,0,Population!H15/$B15)</f>
        <v>2379.56803455724</v>
      </c>
      <c r="I15" s="8" t="n">
        <f aca="false">IF($B15=0,0,Population!I15/$B15)</f>
        <v>2995.29157667387</v>
      </c>
      <c r="J15" s="8" t="n">
        <f aca="false">IF($B15=0,0,Population!J15/$B15)</f>
        <v>4067.5161987041</v>
      </c>
      <c r="K15" s="8" t="n">
        <f aca="false">IF($B15=0,0,Population!K15/$B15)</f>
        <v>5816.37149028078</v>
      </c>
      <c r="L15" s="8" t="n">
        <f aca="false">IF($B15=0,0,Population!L15/$B15)</f>
        <v>10097.9049676026</v>
      </c>
      <c r="M15" s="8" t="n">
        <f aca="false">IF($B15=0,0,Population!M15/$B15)</f>
        <v>12796.9546436285</v>
      </c>
      <c r="N15" s="8" t="n">
        <f aca="false">IF($B15=0,0,Population!N15/$B15)</f>
        <v>13117.0410367171</v>
      </c>
      <c r="O15" s="8" t="n">
        <f aca="false">IF($B15=0,0,Population!O15/$B15)</f>
        <v>11729.2008639309</v>
      </c>
      <c r="P15" s="8" t="n">
        <f aca="false">IF($B15=0,0,Population!P15/$B15)</f>
        <v>8787.64578833693</v>
      </c>
      <c r="Q15" s="8" t="n">
        <f aca="false">IF($B15=0,0,Population!Q15/$B15)</f>
        <v>7616.41468682506</v>
      </c>
      <c r="R15" s="8" t="n">
        <f aca="false">IF($B15=0,0,Population!R15/$B15)</f>
        <v>8053.75809935205</v>
      </c>
      <c r="S15" s="8" t="n">
        <f aca="false">IF($B15=0,0,Population!S15/$B15)</f>
        <v>8951.83585313175</v>
      </c>
    </row>
    <row r="16" customFormat="false" ht="15" hidden="false" customHeight="false" outlineLevel="0" collapsed="false">
      <c r="A16" s="6" t="s">
        <v>15</v>
      </c>
      <c r="B16" s="7" t="n">
        <v>287.5</v>
      </c>
      <c r="C16" s="8" t="n">
        <f aca="false">IF($B16=0,0,Population!C16/$B16)</f>
        <v>13.9895652173913</v>
      </c>
      <c r="D16" s="8" t="n">
        <f aca="false">IF($B16=0,0,Population!D16/$B16)</f>
        <v>15.2626086956522</v>
      </c>
      <c r="E16" s="8" t="n">
        <f aca="false">IF($B16=0,0,Population!E16/$B16)</f>
        <v>18.4417391304348</v>
      </c>
      <c r="F16" s="8" t="n">
        <f aca="false">IF($B16=0,0,Population!F16/$B16)</f>
        <v>25.4365217391304</v>
      </c>
      <c r="G16" s="8" t="n">
        <f aca="false">IF($B16=0,0,Population!G16/$B16)</f>
        <v>34.4208695652174</v>
      </c>
      <c r="H16" s="8" t="n">
        <f aca="false">IF($B16=0,0,Population!H16/$B16)</f>
        <v>27.7773913043478</v>
      </c>
      <c r="I16" s="8" t="n">
        <f aca="false">IF($B16=0,0,Population!I16/$B16)</f>
        <v>26.9739130434783</v>
      </c>
      <c r="J16" s="8" t="n">
        <f aca="false">IF($B16=0,0,Population!J16/$B16)</f>
        <v>31.1026086956522</v>
      </c>
      <c r="K16" s="8" t="n">
        <f aca="false">IF($B16=0,0,Population!K16/$B16)</f>
        <v>39.6939130434783</v>
      </c>
      <c r="L16" s="8" t="n">
        <f aca="false">IF($B16=0,0,Population!L16/$B16)</f>
        <v>63.3460869565217</v>
      </c>
      <c r="M16" s="8" t="n">
        <f aca="false">IF($B16=0,0,Population!M16/$B16)</f>
        <v>84.7965217391304</v>
      </c>
      <c r="N16" s="8" t="n">
        <f aca="false">IF($B16=0,0,Population!N16/$B16)</f>
        <v>117.19652173913</v>
      </c>
      <c r="O16" s="8" t="n">
        <f aca="false">IF($B16=0,0,Population!O16/$B16)</f>
        <v>186.490434782609</v>
      </c>
      <c r="P16" s="8" t="n">
        <f aca="false">IF($B16=0,0,Population!P16/$B16)</f>
        <v>221.405217391304</v>
      </c>
      <c r="Q16" s="8" t="n">
        <f aca="false">IF($B16=0,0,Population!Q16/$B16)</f>
        <v>336.601739130435</v>
      </c>
      <c r="R16" s="8" t="n">
        <f aca="false">IF($B16=0,0,Population!R16/$B16)</f>
        <v>454.198260869565</v>
      </c>
      <c r="S16" s="8" t="n">
        <f aca="false">IF($B16=0,0,Population!S16/$B16)</f>
        <v>531.078260869565</v>
      </c>
    </row>
    <row r="17" customFormat="false" ht="15" hidden="false" customHeight="false" outlineLevel="0" collapsed="false">
      <c r="A17" s="6" t="s">
        <v>16</v>
      </c>
      <c r="B17" s="7" t="n">
        <v>86.3</v>
      </c>
      <c r="C17" s="8" t="n">
        <f aca="false">IF($B17=0,0,Population!C17/$B17)</f>
        <v>18.1228273464658</v>
      </c>
      <c r="D17" s="8" t="n">
        <f aca="false">IF($B17=0,0,Population!D17/$B17)</f>
        <v>19.7682502896871</v>
      </c>
      <c r="E17" s="8" t="n">
        <f aca="false">IF($B17=0,0,Population!E17/$B17)</f>
        <v>23.8933951332561</v>
      </c>
      <c r="F17" s="8" t="n">
        <f aca="false">IF($B17=0,0,Population!F17/$B17)</f>
        <v>32.954808806489</v>
      </c>
      <c r="G17" s="8" t="n">
        <f aca="false">IF($B17=0,0,Population!G17/$B17)</f>
        <v>44.5886442641947</v>
      </c>
      <c r="H17" s="8" t="n">
        <f aca="false">IF($B17=0,0,Population!H17/$B17)</f>
        <v>55.8864426419467</v>
      </c>
      <c r="I17" s="8" t="n">
        <f aca="false">IF($B17=0,0,Population!I17/$B17)</f>
        <v>68.7253765932793</v>
      </c>
      <c r="J17" s="8" t="n">
        <f aca="false">IF($B17=0,0,Population!J17/$B17)</f>
        <v>92.2016222479722</v>
      </c>
      <c r="K17" s="8" t="n">
        <f aca="false">IF($B17=0,0,Population!K17/$B17)</f>
        <v>130.869061413673</v>
      </c>
      <c r="L17" s="8" t="n">
        <f aca="false">IF($B17=0,0,Population!L17/$B17)</f>
        <v>226.083429895713</v>
      </c>
      <c r="M17" s="8" t="n">
        <f aca="false">IF($B17=0,0,Population!M17/$B17)</f>
        <v>346.234067207416</v>
      </c>
      <c r="N17" s="8" t="n">
        <f aca="false">IF($B17=0,0,Population!N17/$B17)</f>
        <v>723.279258400927</v>
      </c>
      <c r="O17" s="8" t="n">
        <f aca="false">IF($B17=0,0,Population!O17/$B17)</f>
        <v>1702.46813441483</v>
      </c>
      <c r="P17" s="8" t="n">
        <f aca="false">IF($B17=0,0,Population!P17/$B17)</f>
        <v>2395.13325608343</v>
      </c>
      <c r="Q17" s="8" t="n">
        <f aca="false">IF($B17=0,0,Population!Q17/$B17)</f>
        <v>3508.57473928158</v>
      </c>
      <c r="R17" s="8" t="n">
        <f aca="false">IF($B17=0,0,Population!R17/$B17)</f>
        <v>4174.56546929316</v>
      </c>
      <c r="S17" s="8" t="n">
        <f aca="false">IF($B17=0,0,Population!S17/$B17)</f>
        <v>4545.92120509849</v>
      </c>
    </row>
    <row r="18" customFormat="false" ht="15" hidden="false" customHeight="false" outlineLevel="0" collapsed="false">
      <c r="A18" s="6" t="s">
        <v>17</v>
      </c>
      <c r="B18" s="7" t="n">
        <v>308.7</v>
      </c>
      <c r="C18" s="8" t="n">
        <f aca="false">IF($B18=0,0,Population!C18/$B18)</f>
        <v>8.68480725623583</v>
      </c>
      <c r="D18" s="8" t="n">
        <f aca="false">IF($B18=0,0,Population!D18/$B18)</f>
        <v>9.47521865889213</v>
      </c>
      <c r="E18" s="8" t="n">
        <f aca="false">IF($B18=0,0,Population!E18/$B18)</f>
        <v>11.4512471655329</v>
      </c>
      <c r="F18" s="8" t="n">
        <f aca="false">IF($B18=0,0,Population!F18/$B18)</f>
        <v>15.7920310981535</v>
      </c>
      <c r="G18" s="8" t="n">
        <f aca="false">IF($B18=0,0,Population!G18/$B18)</f>
        <v>21.3702623906706</v>
      </c>
      <c r="H18" s="8" t="n">
        <f aca="false">IF($B18=0,0,Population!H18/$B18)</f>
        <v>26.4787819889861</v>
      </c>
      <c r="I18" s="8" t="n">
        <f aca="false">IF($B18=0,0,Population!I18/$B18)</f>
        <v>32.4165856818918</v>
      </c>
      <c r="J18" s="8" t="n">
        <f aca="false">IF($B18=0,0,Population!J18/$B18)</f>
        <v>43.3916423712342</v>
      </c>
      <c r="K18" s="8" t="n">
        <f aca="false">IF($B18=0,0,Population!K18/$B18)</f>
        <v>61.5063168124393</v>
      </c>
      <c r="L18" s="8" t="n">
        <f aca="false">IF($B18=0,0,Population!L18/$B18)</f>
        <v>106.145124716553</v>
      </c>
      <c r="M18" s="8" t="n">
        <f aca="false">IF($B18=0,0,Population!M18/$B18)</f>
        <v>198.234531908001</v>
      </c>
      <c r="N18" s="8" t="n">
        <f aca="false">IF($B18=0,0,Population!N18/$B18)</f>
        <v>423.449951409135</v>
      </c>
      <c r="O18" s="8" t="n">
        <f aca="false">IF($B18=0,0,Population!O18/$B18)</f>
        <v>1195.25105280207</v>
      </c>
      <c r="P18" s="8" t="n">
        <f aca="false">IF($B18=0,0,Population!P18/$B18)</f>
        <v>1570.67055393586</v>
      </c>
      <c r="Q18" s="8" t="n">
        <f aca="false">IF($B18=0,0,Population!Q18/$B18)</f>
        <v>1884.61613216715</v>
      </c>
      <c r="R18" s="8" t="n">
        <f aca="false">IF($B18=0,0,Population!R18/$B18)</f>
        <v>2107.44088111435</v>
      </c>
      <c r="S18" s="8" t="n">
        <f aca="false">IF($B18=0,0,Population!S18/$B18)</f>
        <v>2267.34045999352</v>
      </c>
    </row>
    <row r="19" customFormat="false" ht="15" hidden="false" customHeight="false" outlineLevel="0" collapsed="false">
      <c r="A19" s="6" t="s">
        <v>18</v>
      </c>
      <c r="B19" s="7" t="n">
        <v>33.8</v>
      </c>
      <c r="C19" s="8" t="n">
        <f aca="false">IF($B19=0,0,Population!C19/$B19)</f>
        <v>1123.84615384615</v>
      </c>
      <c r="D19" s="8" t="n">
        <f aca="false">IF($B19=0,0,Population!D19/$B19)</f>
        <v>1226.00591715976</v>
      </c>
      <c r="E19" s="8" t="n">
        <f aca="false">IF($B19=0,0,Population!E19/$B19)</f>
        <v>1481.4201183432</v>
      </c>
      <c r="F19" s="8" t="n">
        <f aca="false">IF($B19=0,0,Population!F19/$B19)</f>
        <v>2043.34319526627</v>
      </c>
      <c r="G19" s="8" t="n">
        <f aca="false">IF($B19=0,0,Population!G19/$B19)</f>
        <v>2765.08875739645</v>
      </c>
      <c r="H19" s="8" t="n">
        <f aca="false">IF($B19=0,0,Population!H19/$B19)</f>
        <v>3966.62721893491</v>
      </c>
      <c r="I19" s="8" t="n">
        <f aca="false">IF($B19=0,0,Population!I19/$B19)</f>
        <v>5112.66272189349</v>
      </c>
      <c r="J19" s="8" t="n">
        <f aca="false">IF($B19=0,0,Population!J19/$B19)</f>
        <v>7025.44378698225</v>
      </c>
      <c r="K19" s="8" t="n">
        <f aca="false">IF($B19=0,0,Population!K19/$B19)</f>
        <v>10117.6627218935</v>
      </c>
      <c r="L19" s="8" t="n">
        <f aca="false">IF($B19=0,0,Population!L19/$B19)</f>
        <v>17648.7573964497</v>
      </c>
      <c r="M19" s="8" t="n">
        <f aca="false">IF($B19=0,0,Population!M19/$B19)</f>
        <v>22366.0946745562</v>
      </c>
      <c r="N19" s="8" t="n">
        <f aca="false">IF($B19=0,0,Population!N19/$B19)</f>
        <v>22925.5029585799</v>
      </c>
      <c r="O19" s="8" t="n">
        <f aca="false">IF($B19=0,0,Population!O19/$B19)</f>
        <v>20499.8816568047</v>
      </c>
      <c r="P19" s="8" t="n">
        <f aca="false">IF($B19=0,0,Population!P19/$B19)</f>
        <v>15373.6094674556</v>
      </c>
      <c r="Q19" s="8" t="n">
        <f aca="false">IF($B19=0,0,Population!Q19/$B19)</f>
        <v>13692.4852071006</v>
      </c>
      <c r="R19" s="8" t="n">
        <f aca="false">IF($B19=0,0,Population!R19/$B19)</f>
        <v>12750.8284023669</v>
      </c>
      <c r="S19" s="8" t="n">
        <f aca="false">IF($B19=0,0,Population!S19/$B19)</f>
        <v>13127.3372781065</v>
      </c>
    </row>
    <row r="20" customFormat="false" ht="15" hidden="false" customHeight="false" outlineLevel="0" collapsed="false">
      <c r="A20" s="6" t="s">
        <v>19</v>
      </c>
      <c r="B20" s="7" t="n">
        <v>119.2</v>
      </c>
      <c r="C20" s="8" t="n">
        <f aca="false">IF($B20=0,0,Population!C20/$B20)</f>
        <v>63.7332214765101</v>
      </c>
      <c r="D20" s="8" t="n">
        <f aca="false">IF($B20=0,0,Population!D20/$B20)</f>
        <v>69.5302013422819</v>
      </c>
      <c r="E20" s="8" t="n">
        <f aca="false">IF($B20=0,0,Population!E20/$B20)</f>
        <v>84.010067114094</v>
      </c>
      <c r="F20" s="8" t="n">
        <f aca="false">IF($B20=0,0,Population!F20/$B20)</f>
        <v>115.880872483221</v>
      </c>
      <c r="G20" s="8" t="n">
        <f aca="false">IF($B20=0,0,Population!G20/$B20)</f>
        <v>156.812080536913</v>
      </c>
      <c r="H20" s="8" t="n">
        <f aca="false">IF($B20=0,0,Population!H20/$B20)</f>
        <v>141.25</v>
      </c>
      <c r="I20" s="8" t="n">
        <f aca="false">IF($B20=0,0,Population!I20/$B20)</f>
        <v>147.835570469799</v>
      </c>
      <c r="J20" s="8" t="n">
        <f aca="false">IF($B20=0,0,Population!J20/$B20)</f>
        <v>180.05033557047</v>
      </c>
      <c r="K20" s="8" t="n">
        <f aca="false">IF($B20=0,0,Population!K20/$B20)</f>
        <v>239.530201342282</v>
      </c>
      <c r="L20" s="8" t="n">
        <f aca="false">IF($B20=0,0,Population!L20/$B20)</f>
        <v>394.98322147651</v>
      </c>
      <c r="M20" s="8" t="n">
        <f aca="false">IF($B20=0,0,Population!M20/$B20)</f>
        <v>590.444630872483</v>
      </c>
      <c r="N20" s="8" t="n">
        <f aca="false">IF($B20=0,0,Population!N20/$B20)</f>
        <v>977.290268456376</v>
      </c>
      <c r="O20" s="8" t="n">
        <f aca="false">IF($B20=0,0,Population!O20/$B20)</f>
        <v>1824.50503355705</v>
      </c>
      <c r="P20" s="8" t="n">
        <f aca="false">IF($B20=0,0,Population!P20/$B20)</f>
        <v>2274.7567114094</v>
      </c>
      <c r="Q20" s="8" t="n">
        <f aca="false">IF($B20=0,0,Population!Q20/$B20)</f>
        <v>3102.23993288591</v>
      </c>
      <c r="R20" s="8" t="n">
        <f aca="false">IF($B20=0,0,Population!R20/$B20)</f>
        <v>3481.60234899329</v>
      </c>
      <c r="S20" s="8" t="n">
        <f aca="false">IF($B20=0,0,Population!S20/$B20)</f>
        <v>3709.54697986577</v>
      </c>
    </row>
    <row r="22" customFormat="false" ht="15" hidden="false" customHeight="false" outlineLevel="0" collapsed="false">
      <c r="A22" s="3" t="s">
        <v>20</v>
      </c>
    </row>
    <row r="23" customFormat="false" ht="15" hidden="false" customHeight="false" outlineLevel="0" collapsed="false">
      <c r="A23" s="6" t="s">
        <v>21</v>
      </c>
      <c r="C23" s="9" t="n">
        <f aca="false">SUM(Population!C5:C20)/SUM($B$5:$B$20)</f>
        <v>148.072524219591</v>
      </c>
      <c r="D23" s="9" t="n">
        <f aca="false">SUM(Population!D5:D20)/SUM($B$5:$B$20)</f>
        <v>161.533234660926</v>
      </c>
      <c r="E23" s="9" t="n">
        <f aca="false">SUM(Population!E5:E20)/SUM($B$5:$B$20)</f>
        <v>195.187029063509</v>
      </c>
      <c r="F23" s="9" t="n">
        <f aca="false">SUM(Population!F5:F20)/SUM($B$5:$B$20)</f>
        <v>269.221609257266</v>
      </c>
      <c r="G23" s="9" t="n">
        <f aca="false">SUM(Population!G5:G20)/SUM($B$5:$B$20)</f>
        <v>364.313778256189</v>
      </c>
      <c r="H23" s="9" t="n">
        <f aca="false">SUM(Population!H5:H20)/SUM($B$5:$B$20)</f>
        <v>484.89975780409</v>
      </c>
      <c r="I23" s="9" t="n">
        <f aca="false">SUM(Population!I5:I20)/SUM($B$5:$B$20)</f>
        <v>609.56942949408</v>
      </c>
      <c r="J23" s="9" t="n">
        <f aca="false">SUM(Population!J5:J20)/SUM($B$5:$B$20)</f>
        <v>827.21743810549</v>
      </c>
      <c r="K23" s="9" t="n">
        <f aca="false">SUM(Population!K5:K20)/SUM($B$5:$B$20)</f>
        <v>1182.40581270183</v>
      </c>
      <c r="L23" s="9" t="n">
        <f aca="false">SUM(Population!L5:L20)/SUM($B$5:$B$20)</f>
        <v>2052.23560279871</v>
      </c>
      <c r="M23" s="9" t="n">
        <f aca="false">SUM(Population!M5:M20)/SUM($B$5:$B$20)</f>
        <v>3276.9617868676</v>
      </c>
      <c r="N23" s="9" t="n">
        <f aca="false">SUM(Population!N5:N20)/SUM($B$5:$B$20)</f>
        <v>4624.70734660926</v>
      </c>
      <c r="O23" s="9" t="n">
        <f aca="false">SUM(Population!O5:O20)/SUM($B$5:$B$20)</f>
        <v>5941.25336383208</v>
      </c>
      <c r="P23" s="9" t="n">
        <f aca="false">SUM(Population!P5:P20)/SUM($B$5:$B$20)</f>
        <v>5540.73196986006</v>
      </c>
      <c r="Q23" s="9" t="n">
        <f aca="false">SUM(Population!Q5:Q20)/SUM($B$5:$B$20)</f>
        <v>5789.31579655544</v>
      </c>
      <c r="R23" s="9" t="n">
        <f aca="false">SUM(Population!R5:R20)/SUM($B$5:$B$20)</f>
        <v>5954.7093649085</v>
      </c>
      <c r="S23" s="9" t="n">
        <f aca="false">SUM(Population!S5:S20)/SUM($B$5:$B$20)</f>
        <v>6196.14101184069</v>
      </c>
    </row>
    <row r="24" customFormat="false" ht="15" hidden="false" customHeight="false" outlineLevel="0" collapsed="false">
      <c r="A24" s="6" t="s">
        <v>22</v>
      </c>
      <c r="C24" s="9" t="n">
        <f aca="false">MAX(C5:C20)</f>
        <v>2014.16901408451</v>
      </c>
      <c r="D24" s="9" t="n">
        <f aca="false">MAX(D5:D20)</f>
        <v>2197.2676056338</v>
      </c>
      <c r="E24" s="9" t="n">
        <f aca="false">MAX(E5:E20)</f>
        <v>2655.04225352113</v>
      </c>
      <c r="F24" s="9" t="n">
        <f aca="false">MAX(F5:F20)</f>
        <v>3662.11267605634</v>
      </c>
      <c r="G24" s="9" t="n">
        <f aca="false">MAX(G5:G20)</f>
        <v>4955.60563380282</v>
      </c>
      <c r="H24" s="9" t="n">
        <f aca="false">MAX(H5:H20)</f>
        <v>5469.83098591549</v>
      </c>
      <c r="I24" s="9" t="n">
        <f aca="false">MAX(I5:I20)</f>
        <v>6379.85915492958</v>
      </c>
      <c r="J24" s="9" t="n">
        <f aca="false">MAX(J5:J20)</f>
        <v>8314.47887323944</v>
      </c>
      <c r="K24" s="9" t="n">
        <f aca="false">MAX(K5:K20)</f>
        <v>11587.014084507</v>
      </c>
      <c r="L24" s="9" t="n">
        <f aca="false">MAX(L5:L20)</f>
        <v>19764.3661971831</v>
      </c>
      <c r="M24" s="9" t="n">
        <f aca="false">MAX(M5:M20)</f>
        <v>25047.1830985915</v>
      </c>
      <c r="N24" s="9" t="n">
        <f aca="false">MAX(N5:N20)</f>
        <v>25673.6338028169</v>
      </c>
      <c r="O24" s="9" t="n">
        <f aca="false">MAX(O5:O20)</f>
        <v>24585.2155172414</v>
      </c>
      <c r="P24" s="9" t="n">
        <f aca="false">MAX(P5:P20)</f>
        <v>19324.224137931</v>
      </c>
      <c r="Q24" s="9" t="n">
        <f aca="false">MAX(Q5:Q20)</f>
        <v>17729.3534482759</v>
      </c>
      <c r="R24" s="9" t="n">
        <f aca="false">MAX(R5:R20)</f>
        <v>16565.775862069</v>
      </c>
      <c r="S24" s="9" t="n">
        <f aca="false">MAX(S5:S20)</f>
        <v>17443.75</v>
      </c>
    </row>
    <row r="25" customFormat="false" ht="15" hidden="false" customHeight="false" outlineLevel="0" collapsed="false">
      <c r="A25" s="6" t="s">
        <v>23</v>
      </c>
      <c r="C25" s="9" t="n">
        <f aca="false">MIN(C5:C20)</f>
        <v>8.68480725623583</v>
      </c>
      <c r="D25" s="9" t="n">
        <f aca="false">MIN(D5:D20)</f>
        <v>9.47521865889213</v>
      </c>
      <c r="E25" s="9" t="n">
        <f aca="false">MIN(E5:E20)</f>
        <v>11.4512471655329</v>
      </c>
      <c r="F25" s="9" t="n">
        <f aca="false">MIN(F5:F20)</f>
        <v>15.7920310981535</v>
      </c>
      <c r="G25" s="9" t="n">
        <f aca="false">MIN(G5:G20)</f>
        <v>21.3702623906706</v>
      </c>
      <c r="H25" s="9" t="n">
        <f aca="false">MIN(H5:H20)</f>
        <v>26.4787819889861</v>
      </c>
      <c r="I25" s="9" t="n">
        <f aca="false">MIN(I5:I20)</f>
        <v>26.9739130434783</v>
      </c>
      <c r="J25" s="9" t="n">
        <f aca="false">MIN(J5:J20)</f>
        <v>31.1026086956522</v>
      </c>
      <c r="K25" s="9" t="n">
        <f aca="false">MIN(K5:K20)</f>
        <v>39.6939130434783</v>
      </c>
      <c r="L25" s="9" t="n">
        <f aca="false">MIN(L5:L20)</f>
        <v>63.3460869565217</v>
      </c>
      <c r="M25" s="9" t="n">
        <f aca="false">MIN(M5:M20)</f>
        <v>84.7965217391304</v>
      </c>
      <c r="N25" s="9" t="n">
        <f aca="false">MIN(N5:N20)</f>
        <v>117.19652173913</v>
      </c>
      <c r="O25" s="9" t="n">
        <f aca="false">MIN(O5:O20)</f>
        <v>186.490434782609</v>
      </c>
      <c r="P25" s="9" t="n">
        <f aca="false">MIN(P5:P20)</f>
        <v>221.405217391304</v>
      </c>
      <c r="Q25" s="9" t="n">
        <f aca="false">MIN(Q5:Q20)</f>
        <v>336.601739130435</v>
      </c>
      <c r="R25" s="9" t="n">
        <f aca="false">MIN(R5:R20)</f>
        <v>454.198260869565</v>
      </c>
      <c r="S25" s="9" t="n">
        <f aca="false">MIN(S5:S20)</f>
        <v>531.078260869565</v>
      </c>
    </row>
    <row r="26" customFormat="false" ht="15" hidden="false" customHeight="false" outlineLevel="0" collapsed="false">
      <c r="A26" s="6" t="s">
        <v>24</v>
      </c>
      <c r="C26" s="10" t="n">
        <f aca="false">IF(C25=0,0,C24/C25)</f>
        <v>231.918677600853</v>
      </c>
      <c r="D26" s="10" t="n">
        <f aca="false">IF(D25=0,0,D24/D25)</f>
        <v>231.896242686891</v>
      </c>
      <c r="E26" s="10" t="n">
        <f aca="false">IF(E25=0,0,E24/E25)</f>
        <v>231.856165109469</v>
      </c>
      <c r="F26" s="10" t="n">
        <f aca="false">IF(F25=0,0,F24/F25)</f>
        <v>231.896242686891</v>
      </c>
      <c r="G26" s="10" t="n">
        <f aca="false">IF(G25=0,0,G24/G25)</f>
        <v>231.892596506735</v>
      </c>
      <c r="H26" s="10" t="n">
        <f aca="false">IF(H25=0,0,H24/H25)</f>
        <v>206.574116142906</v>
      </c>
      <c r="I26" s="10" t="n">
        <f aca="false">IF(I25=0,0,I24/I25)</f>
        <v>236.51960116599</v>
      </c>
      <c r="J26" s="10" t="n">
        <f aca="false">IF(J25=0,0,J24/J25)</f>
        <v>267.32416417539</v>
      </c>
      <c r="K26" s="10" t="n">
        <f aca="false">IF(K25=0,0,K24/K25)</f>
        <v>291.909091245687</v>
      </c>
      <c r="L26" s="10" t="n">
        <f aca="false">IF(L25=0,0,L24/L25)</f>
        <v>312.006110349777</v>
      </c>
      <c r="M26" s="10" t="n">
        <f aca="false">IF(M25=0,0,M24/M25)</f>
        <v>295.379840881294</v>
      </c>
      <c r="N26" s="10" t="n">
        <f aca="false">IF(N25=0,0,N24/N25)</f>
        <v>219.06481030183</v>
      </c>
      <c r="O26" s="10" t="n">
        <f aca="false">IF(O25=0,0,O24/O25)</f>
        <v>131.83097323946</v>
      </c>
      <c r="P26" s="10" t="n">
        <f aca="false">IF(P25=0,0,P24/P25)</f>
        <v>87.2798950522383</v>
      </c>
      <c r="Q26" s="10" t="n">
        <f aca="false">IF(Q25=0,0,Q24/Q25)</f>
        <v>52.6716038190333</v>
      </c>
      <c r="R26" s="10" t="n">
        <f aca="false">IF(R25=0,0,R24/R25)</f>
        <v>36.4725655936104</v>
      </c>
      <c r="S26" s="10" t="n">
        <f aca="false">IF(S25=0,0,S24/S25)</f>
        <v>32.8459123358549</v>
      </c>
    </row>
  </sheetData>
  <mergeCells count="2">
    <mergeCell ref="A1:S1"/>
    <mergeCell ref="A2:S2"/>
  </mergeCells>
  <conditionalFormatting sqref="C5:S20">
    <cfRule type="colorScale" priority="2">
      <colorScale>
        <cfvo type="min" val="0"/>
        <cfvo type="percentile" val="50"/>
        <cfvo type="max" val="0"/>
        <color rgb="FFFFFFFF"/>
        <color rgb="FFFFE4A0"/>
        <color rgb="FFC92C2C"/>
      </colorScale>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S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11"/>
    <col collapsed="false" customWidth="true" hidden="false" outlineLevel="0" max="19" min="3" style="0" width="10"/>
  </cols>
  <sheetData>
    <row r="1" customFormat="false" ht="17.35" hidden="false" customHeight="false" outlineLevel="0" collapsed="false">
      <c r="A1" s="1" t="s">
        <v>25</v>
      </c>
      <c r="B1" s="1"/>
      <c r="C1" s="1"/>
      <c r="D1" s="1"/>
      <c r="E1" s="1"/>
      <c r="F1" s="1"/>
      <c r="G1" s="1"/>
      <c r="H1" s="1"/>
      <c r="I1" s="1"/>
      <c r="J1" s="1"/>
      <c r="K1" s="1"/>
      <c r="L1" s="1"/>
      <c r="M1" s="1"/>
      <c r="N1" s="1"/>
      <c r="O1" s="1"/>
      <c r="P1" s="1"/>
      <c r="Q1" s="1"/>
      <c r="R1" s="1"/>
    </row>
    <row r="2" customFormat="false" ht="15" hidden="false" customHeight="false" outlineLevel="0" collapsed="false">
      <c r="A2" s="2" t="s">
        <v>26</v>
      </c>
      <c r="B2" s="2"/>
      <c r="C2" s="2"/>
      <c r="D2" s="2"/>
      <c r="E2" s="2"/>
      <c r="F2" s="2"/>
      <c r="G2" s="2"/>
      <c r="H2" s="2"/>
      <c r="I2" s="2"/>
      <c r="J2" s="2"/>
      <c r="K2" s="2"/>
      <c r="L2" s="2"/>
      <c r="M2" s="2"/>
      <c r="N2" s="2"/>
      <c r="O2" s="2"/>
      <c r="P2" s="2"/>
      <c r="Q2" s="2"/>
      <c r="R2" s="2"/>
    </row>
    <row r="4" customFormat="false" ht="15" hidden="false" customHeight="false" outlineLevel="0" collapsed="false">
      <c r="A4" s="3" t="s">
        <v>2</v>
      </c>
      <c r="B4" s="5" t="s">
        <v>27</v>
      </c>
      <c r="C4" s="5" t="n">
        <v>1860</v>
      </c>
      <c r="D4" s="5" t="n">
        <v>1870</v>
      </c>
      <c r="E4" s="5" t="n">
        <v>1880</v>
      </c>
      <c r="F4" s="5" t="n">
        <v>1890</v>
      </c>
      <c r="G4" s="5" t="n">
        <v>1900</v>
      </c>
      <c r="H4" s="5" t="n">
        <v>1910</v>
      </c>
      <c r="I4" s="5" t="n">
        <v>1920</v>
      </c>
      <c r="J4" s="5" t="n">
        <v>1930</v>
      </c>
      <c r="K4" s="5" t="n">
        <v>1940</v>
      </c>
      <c r="L4" s="5" t="n">
        <v>1950</v>
      </c>
      <c r="M4" s="5" t="n">
        <v>1960</v>
      </c>
      <c r="N4" s="5" t="n">
        <v>1970</v>
      </c>
      <c r="O4" s="5" t="n">
        <v>1980</v>
      </c>
      <c r="P4" s="5" t="n">
        <v>1990</v>
      </c>
      <c r="Q4" s="5" t="n">
        <v>2000</v>
      </c>
      <c r="R4" s="5" t="n">
        <v>2010</v>
      </c>
      <c r="S4" s="5" t="n">
        <v>2020</v>
      </c>
    </row>
    <row r="5" customFormat="false" ht="15" hidden="false" customHeight="false" outlineLevel="0" collapsed="false">
      <c r="A5" s="6" t="s">
        <v>4</v>
      </c>
      <c r="B5" s="7" t="n">
        <v>95.9</v>
      </c>
      <c r="C5" s="9" t="n">
        <v>5363</v>
      </c>
      <c r="D5" s="9" t="n">
        <v>5850</v>
      </c>
      <c r="E5" s="9" t="n">
        <v>7069</v>
      </c>
      <c r="F5" s="9" t="n">
        <v>9750</v>
      </c>
      <c r="G5" s="9" t="n">
        <v>13194</v>
      </c>
      <c r="H5" s="9" t="n">
        <v>20166</v>
      </c>
      <c r="I5" s="9" t="n">
        <v>26498</v>
      </c>
      <c r="J5" s="9" t="n">
        <v>36753</v>
      </c>
      <c r="K5" s="9" t="n">
        <v>53222</v>
      </c>
      <c r="L5" s="9" t="n">
        <v>93176</v>
      </c>
      <c r="M5" s="9" t="n">
        <v>220011</v>
      </c>
      <c r="N5" s="9" t="n">
        <v>456709</v>
      </c>
      <c r="O5" s="9" t="n">
        <v>639213</v>
      </c>
      <c r="P5" s="9" t="n">
        <v>642753</v>
      </c>
      <c r="Q5" s="9" t="n">
        <v>687020</v>
      </c>
      <c r="R5" s="9" t="n">
        <v>727034</v>
      </c>
      <c r="S5" s="9" t="n">
        <v>759137</v>
      </c>
    </row>
    <row r="6" customFormat="false" ht="15" hidden="false" customHeight="false" outlineLevel="0" collapsed="false">
      <c r="A6" s="6" t="s">
        <v>5</v>
      </c>
      <c r="B6" s="7" t="n">
        <v>33.7</v>
      </c>
      <c r="C6" s="9" t="n">
        <v>4916</v>
      </c>
      <c r="D6" s="9" t="n">
        <v>5363</v>
      </c>
      <c r="E6" s="9" t="n">
        <v>6480</v>
      </c>
      <c r="F6" s="9" t="n">
        <v>8938</v>
      </c>
      <c r="G6" s="9" t="n">
        <v>12095</v>
      </c>
      <c r="H6" s="9" t="n">
        <v>32638</v>
      </c>
      <c r="I6" s="9" t="n">
        <v>48320</v>
      </c>
      <c r="J6" s="9" t="n">
        <v>70615</v>
      </c>
      <c r="K6" s="9" t="n">
        <v>105306</v>
      </c>
      <c r="L6" s="9" t="n">
        <v>187864</v>
      </c>
      <c r="M6" s="9" t="n">
        <v>370724</v>
      </c>
      <c r="N6" s="9" t="n">
        <v>534554</v>
      </c>
      <c r="O6" s="9" t="n">
        <v>601524</v>
      </c>
      <c r="P6" s="9" t="n">
        <v>474688</v>
      </c>
      <c r="Q6" s="9" t="n">
        <v>441008</v>
      </c>
      <c r="R6" s="9" t="n">
        <v>414711</v>
      </c>
      <c r="S6" s="9" t="n">
        <v>432205</v>
      </c>
    </row>
    <row r="7" customFormat="false" ht="15" hidden="false" customHeight="false" outlineLevel="0" collapsed="false">
      <c r="A7" s="6" t="s">
        <v>6</v>
      </c>
      <c r="B7" s="7" t="n">
        <v>26.5</v>
      </c>
      <c r="C7" s="9" t="n">
        <v>31283</v>
      </c>
      <c r="D7" s="9" t="n">
        <v>34126</v>
      </c>
      <c r="E7" s="9" t="n">
        <v>41236</v>
      </c>
      <c r="F7" s="9" t="n">
        <v>56877</v>
      </c>
      <c r="G7" s="9" t="n">
        <v>76967</v>
      </c>
      <c r="H7" s="9" t="n">
        <v>107351</v>
      </c>
      <c r="I7" s="9" t="n">
        <v>137115</v>
      </c>
      <c r="J7" s="9" t="n">
        <v>187569</v>
      </c>
      <c r="K7" s="9" t="n">
        <v>269404</v>
      </c>
      <c r="L7" s="9" t="n">
        <v>469100</v>
      </c>
      <c r="M7" s="9" t="n">
        <v>594485</v>
      </c>
      <c r="N7" s="9" t="n">
        <v>609354</v>
      </c>
      <c r="O7" s="9" t="n">
        <v>544882</v>
      </c>
      <c r="P7" s="9" t="n">
        <v>407811</v>
      </c>
      <c r="Q7" s="9" t="n">
        <v>360478</v>
      </c>
      <c r="R7" s="9" t="n">
        <v>385439</v>
      </c>
      <c r="S7" s="9" t="n">
        <v>434153</v>
      </c>
    </row>
    <row r="8" customFormat="false" ht="15" hidden="false" customHeight="false" outlineLevel="0" collapsed="false">
      <c r="A8" s="6" t="s">
        <v>7</v>
      </c>
      <c r="B8" s="7" t="n">
        <v>53.9</v>
      </c>
      <c r="C8" s="9" t="n">
        <v>4022</v>
      </c>
      <c r="D8" s="9" t="n">
        <v>4388</v>
      </c>
      <c r="E8" s="9" t="n">
        <v>5302</v>
      </c>
      <c r="F8" s="9" t="n">
        <v>7313</v>
      </c>
      <c r="G8" s="9" t="n">
        <v>9896</v>
      </c>
      <c r="H8" s="9" t="n">
        <v>15141</v>
      </c>
      <c r="I8" s="9" t="n">
        <v>19902</v>
      </c>
      <c r="J8" s="9" t="n">
        <v>27609</v>
      </c>
      <c r="K8" s="9" t="n">
        <v>39984</v>
      </c>
      <c r="L8" s="9" t="n">
        <v>70005</v>
      </c>
      <c r="M8" s="9" t="n">
        <v>169811</v>
      </c>
      <c r="N8" s="9" t="n">
        <v>339446</v>
      </c>
      <c r="O8" s="9" t="n">
        <v>597129</v>
      </c>
      <c r="P8" s="9" t="n">
        <v>640066</v>
      </c>
      <c r="Q8" s="9" t="n">
        <v>640423</v>
      </c>
      <c r="R8" s="9" t="n">
        <v>620416</v>
      </c>
      <c r="S8" s="9" t="n">
        <v>614447</v>
      </c>
    </row>
    <row r="9" customFormat="false" ht="15" hidden="false" customHeight="false" outlineLevel="0" collapsed="false">
      <c r="A9" s="6" t="s">
        <v>8</v>
      </c>
      <c r="B9" s="7" t="n">
        <v>70.8</v>
      </c>
      <c r="C9" s="9" t="n">
        <v>2234</v>
      </c>
      <c r="D9" s="9" t="n">
        <v>2438</v>
      </c>
      <c r="E9" s="9" t="n">
        <v>2945</v>
      </c>
      <c r="F9" s="9" t="n">
        <v>4063</v>
      </c>
      <c r="G9" s="9" t="n">
        <v>5498</v>
      </c>
      <c r="H9" s="9" t="n">
        <v>4376</v>
      </c>
      <c r="I9" s="9" t="n">
        <v>4204</v>
      </c>
      <c r="J9" s="9" t="n">
        <v>4809</v>
      </c>
      <c r="K9" s="9" t="n">
        <v>6096</v>
      </c>
      <c r="L9" s="9" t="n">
        <v>9676</v>
      </c>
      <c r="M9" s="9" t="n">
        <v>19199</v>
      </c>
      <c r="N9" s="9" t="n">
        <v>36200</v>
      </c>
      <c r="O9" s="9" t="n">
        <v>91200</v>
      </c>
      <c r="P9" s="9" t="n">
        <v>119669</v>
      </c>
      <c r="Q9" s="9" t="n">
        <v>151222</v>
      </c>
      <c r="R9" s="9" t="n">
        <v>186391</v>
      </c>
      <c r="S9" s="9" t="n">
        <v>217686</v>
      </c>
    </row>
    <row r="10" customFormat="false" ht="15" hidden="false" customHeight="false" outlineLevel="0" collapsed="false">
      <c r="A10" s="6" t="s">
        <v>9</v>
      </c>
      <c r="B10" s="7" t="n">
        <v>35.5</v>
      </c>
      <c r="C10" s="9" t="n">
        <v>71503</v>
      </c>
      <c r="D10" s="9" t="n">
        <v>78003</v>
      </c>
      <c r="E10" s="9" t="n">
        <v>94254</v>
      </c>
      <c r="F10" s="9" t="n">
        <v>130005</v>
      </c>
      <c r="G10" s="9" t="n">
        <v>175924</v>
      </c>
      <c r="H10" s="9" t="n">
        <v>194179</v>
      </c>
      <c r="I10" s="9" t="n">
        <v>226485</v>
      </c>
      <c r="J10" s="9" t="n">
        <v>295164</v>
      </c>
      <c r="K10" s="9" t="n">
        <v>411339</v>
      </c>
      <c r="L10" s="9" t="n">
        <v>701635</v>
      </c>
      <c r="M10" s="9" t="n">
        <v>889175</v>
      </c>
      <c r="N10" s="9" t="n">
        <v>911414</v>
      </c>
      <c r="O10" s="9" t="n">
        <v>814983</v>
      </c>
      <c r="P10" s="9" t="n">
        <v>595960</v>
      </c>
      <c r="Q10" s="9" t="n">
        <v>516255</v>
      </c>
      <c r="R10" s="9" t="n">
        <v>531831</v>
      </c>
      <c r="S10" s="9" t="n">
        <v>545884</v>
      </c>
    </row>
    <row r="11" customFormat="false" ht="15" hidden="false" customHeight="false" outlineLevel="0" collapsed="false">
      <c r="A11" s="6" t="s">
        <v>10</v>
      </c>
      <c r="B11" s="7" t="n">
        <v>88.1</v>
      </c>
      <c r="C11" s="9" t="n">
        <v>4469</v>
      </c>
      <c r="D11" s="9" t="n">
        <v>4875</v>
      </c>
      <c r="E11" s="9" t="n">
        <v>5891</v>
      </c>
      <c r="F11" s="9" t="n">
        <v>8125</v>
      </c>
      <c r="G11" s="9" t="n">
        <v>10995</v>
      </c>
      <c r="H11" s="9" t="n">
        <v>34375</v>
      </c>
      <c r="I11" s="9" t="n">
        <v>51913</v>
      </c>
      <c r="J11" s="9" t="n">
        <v>76467</v>
      </c>
      <c r="K11" s="9" t="n">
        <v>114516</v>
      </c>
      <c r="L11" s="9" t="n">
        <v>204833</v>
      </c>
      <c r="M11" s="9" t="n">
        <v>579180</v>
      </c>
      <c r="N11" s="9" t="n">
        <v>1186107</v>
      </c>
      <c r="O11" s="9" t="n">
        <v>1513360</v>
      </c>
      <c r="P11" s="9" t="n">
        <v>1268068</v>
      </c>
      <c r="Q11" s="9" t="n">
        <v>1235542</v>
      </c>
      <c r="R11" s="9" t="n">
        <v>1185772</v>
      </c>
      <c r="S11" s="9" t="n">
        <v>1173351</v>
      </c>
    </row>
    <row r="12" customFormat="false" ht="15" hidden="false" customHeight="false" outlineLevel="0" collapsed="false">
      <c r="A12" s="6" t="s">
        <v>11</v>
      </c>
      <c r="B12" s="7" t="n">
        <v>23.2</v>
      </c>
      <c r="C12" s="9" t="n">
        <v>2011</v>
      </c>
      <c r="D12" s="9" t="n">
        <v>2194</v>
      </c>
      <c r="E12" s="9" t="n">
        <v>2651</v>
      </c>
      <c r="F12" s="9" t="n">
        <v>3656</v>
      </c>
      <c r="G12" s="9" t="n">
        <v>4948</v>
      </c>
      <c r="H12" s="9" t="n">
        <v>7424</v>
      </c>
      <c r="I12" s="9" t="n">
        <v>9703</v>
      </c>
      <c r="J12" s="9" t="n">
        <v>13423</v>
      </c>
      <c r="K12" s="9" t="n">
        <v>19409</v>
      </c>
      <c r="L12" s="9" t="n">
        <v>33945</v>
      </c>
      <c r="M12" s="9" t="n">
        <v>198904</v>
      </c>
      <c r="N12" s="9" t="n">
        <v>477331</v>
      </c>
      <c r="O12" s="9" t="n">
        <v>570377</v>
      </c>
      <c r="P12" s="9" t="n">
        <v>448322</v>
      </c>
      <c r="Q12" s="9" t="n">
        <v>411321</v>
      </c>
      <c r="R12" s="9" t="n">
        <v>384326</v>
      </c>
      <c r="S12" s="9" t="n">
        <v>404695</v>
      </c>
    </row>
    <row r="13" customFormat="false" ht="15" hidden="false" customHeight="false" outlineLevel="0" collapsed="false">
      <c r="A13" s="6" t="s">
        <v>12</v>
      </c>
      <c r="B13" s="7" t="n">
        <v>113.5</v>
      </c>
      <c r="C13" s="9" t="n">
        <v>5363</v>
      </c>
      <c r="D13" s="9" t="n">
        <v>5850</v>
      </c>
      <c r="E13" s="9" t="n">
        <v>7069</v>
      </c>
      <c r="F13" s="9" t="n">
        <v>9750</v>
      </c>
      <c r="G13" s="9" t="n">
        <v>13194</v>
      </c>
      <c r="H13" s="9" t="n">
        <v>17879</v>
      </c>
      <c r="I13" s="9" t="n">
        <v>22615</v>
      </c>
      <c r="J13" s="9" t="n">
        <v>30787</v>
      </c>
      <c r="K13" s="9" t="n">
        <v>44089</v>
      </c>
      <c r="L13" s="9" t="n">
        <v>76621</v>
      </c>
      <c r="M13" s="9" t="n">
        <v>254355</v>
      </c>
      <c r="N13" s="9" t="n">
        <v>522095</v>
      </c>
      <c r="O13" s="9" t="n">
        <v>1262354</v>
      </c>
      <c r="P13" s="9" t="n">
        <v>1490499</v>
      </c>
      <c r="Q13" s="9" t="n">
        <v>1773343</v>
      </c>
      <c r="R13" s="9" t="n">
        <v>1815786</v>
      </c>
      <c r="S13" s="9" t="n">
        <v>1835486</v>
      </c>
    </row>
    <row r="14" customFormat="false" ht="15" hidden="false" customHeight="false" outlineLevel="0" collapsed="false">
      <c r="A14" s="6" t="s">
        <v>13</v>
      </c>
      <c r="B14" s="7" t="n">
        <v>63.5</v>
      </c>
      <c r="C14" s="9" t="n">
        <v>1564</v>
      </c>
      <c r="D14" s="9" t="n">
        <v>1706</v>
      </c>
      <c r="E14" s="9" t="n">
        <v>2062</v>
      </c>
      <c r="F14" s="9" t="n">
        <v>2844</v>
      </c>
      <c r="G14" s="9" t="n">
        <v>3848</v>
      </c>
      <c r="H14" s="9" t="n">
        <v>5160</v>
      </c>
      <c r="I14" s="9" t="n">
        <v>6504</v>
      </c>
      <c r="J14" s="9" t="n">
        <v>8838</v>
      </c>
      <c r="K14" s="9" t="n">
        <v>12643</v>
      </c>
      <c r="L14" s="9" t="n">
        <v>21955</v>
      </c>
      <c r="M14" s="9" t="n">
        <v>40724</v>
      </c>
      <c r="N14" s="9" t="n">
        <v>75429</v>
      </c>
      <c r="O14" s="9" t="n">
        <v>173105</v>
      </c>
      <c r="P14" s="9" t="n">
        <v>195041</v>
      </c>
      <c r="Q14" s="9" t="n">
        <v>222050</v>
      </c>
      <c r="R14" s="9" t="n">
        <v>239086</v>
      </c>
      <c r="S14" s="9" t="n">
        <v>247622</v>
      </c>
    </row>
    <row r="15" customFormat="false" ht="15" hidden="false" customHeight="false" outlineLevel="0" collapsed="false">
      <c r="A15" s="6" t="s">
        <v>14</v>
      </c>
      <c r="B15" s="7" t="n">
        <v>46.3</v>
      </c>
      <c r="C15" s="9" t="n">
        <v>33517</v>
      </c>
      <c r="D15" s="9" t="n">
        <v>36564</v>
      </c>
      <c r="E15" s="9" t="n">
        <v>44182</v>
      </c>
      <c r="F15" s="9" t="n">
        <v>60940</v>
      </c>
      <c r="G15" s="9" t="n">
        <v>82464</v>
      </c>
      <c r="H15" s="9" t="n">
        <v>110174</v>
      </c>
      <c r="I15" s="9" t="n">
        <v>138682</v>
      </c>
      <c r="J15" s="9" t="n">
        <v>188326</v>
      </c>
      <c r="K15" s="9" t="n">
        <v>269298</v>
      </c>
      <c r="L15" s="9" t="n">
        <v>467533</v>
      </c>
      <c r="M15" s="9" t="n">
        <v>592499</v>
      </c>
      <c r="N15" s="9" t="n">
        <v>607319</v>
      </c>
      <c r="O15" s="9" t="n">
        <v>543062</v>
      </c>
      <c r="P15" s="9" t="n">
        <v>406868</v>
      </c>
      <c r="Q15" s="9" t="n">
        <v>352640</v>
      </c>
      <c r="R15" s="9" t="n">
        <v>372889</v>
      </c>
      <c r="S15" s="9" t="n">
        <v>414470</v>
      </c>
    </row>
    <row r="16" customFormat="false" ht="15" hidden="false" customHeight="false" outlineLevel="0" collapsed="false">
      <c r="A16" s="6" t="s">
        <v>15</v>
      </c>
      <c r="B16" s="7" t="n">
        <v>287.5</v>
      </c>
      <c r="C16" s="9" t="n">
        <v>4022</v>
      </c>
      <c r="D16" s="9" t="n">
        <v>4388</v>
      </c>
      <c r="E16" s="9" t="n">
        <v>5302</v>
      </c>
      <c r="F16" s="9" t="n">
        <v>7313</v>
      </c>
      <c r="G16" s="9" t="n">
        <v>9896</v>
      </c>
      <c r="H16" s="9" t="n">
        <v>7986</v>
      </c>
      <c r="I16" s="9" t="n">
        <v>7755</v>
      </c>
      <c r="J16" s="9" t="n">
        <v>8942</v>
      </c>
      <c r="K16" s="9" t="n">
        <v>11412</v>
      </c>
      <c r="L16" s="9" t="n">
        <v>18212</v>
      </c>
      <c r="M16" s="9" t="n">
        <v>24379</v>
      </c>
      <c r="N16" s="9" t="n">
        <v>33694</v>
      </c>
      <c r="O16" s="9" t="n">
        <v>53616</v>
      </c>
      <c r="P16" s="9" t="n">
        <v>63654</v>
      </c>
      <c r="Q16" s="9" t="n">
        <v>96773</v>
      </c>
      <c r="R16" s="9" t="n">
        <v>130582</v>
      </c>
      <c r="S16" s="9" t="n">
        <v>152685</v>
      </c>
    </row>
    <row r="17" customFormat="false" ht="15" hidden="false" customHeight="false" outlineLevel="0" collapsed="false">
      <c r="A17" s="6" t="s">
        <v>16</v>
      </c>
      <c r="B17" s="7" t="n">
        <v>86.3</v>
      </c>
      <c r="C17" s="9" t="n">
        <v>1564</v>
      </c>
      <c r="D17" s="9" t="n">
        <v>1706</v>
      </c>
      <c r="E17" s="9" t="n">
        <v>2062</v>
      </c>
      <c r="F17" s="9" t="n">
        <v>2844</v>
      </c>
      <c r="G17" s="9" t="n">
        <v>3848</v>
      </c>
      <c r="H17" s="9" t="n">
        <v>4823</v>
      </c>
      <c r="I17" s="9" t="n">
        <v>5931</v>
      </c>
      <c r="J17" s="9" t="n">
        <v>7957</v>
      </c>
      <c r="K17" s="9" t="n">
        <v>11294</v>
      </c>
      <c r="L17" s="9" t="n">
        <v>19511</v>
      </c>
      <c r="M17" s="9" t="n">
        <v>29880</v>
      </c>
      <c r="N17" s="9" t="n">
        <v>62419</v>
      </c>
      <c r="O17" s="9" t="n">
        <v>146923</v>
      </c>
      <c r="P17" s="9" t="n">
        <v>206700</v>
      </c>
      <c r="Q17" s="9" t="n">
        <v>302790</v>
      </c>
      <c r="R17" s="9" t="n">
        <v>360265</v>
      </c>
      <c r="S17" s="9" t="n">
        <v>392313</v>
      </c>
    </row>
    <row r="18" customFormat="false" ht="15" hidden="false" customHeight="false" outlineLevel="0" collapsed="false">
      <c r="A18" s="6" t="s">
        <v>17</v>
      </c>
      <c r="B18" s="7" t="n">
        <v>308.7</v>
      </c>
      <c r="C18" s="9" t="n">
        <v>2681</v>
      </c>
      <c r="D18" s="9" t="n">
        <v>2925</v>
      </c>
      <c r="E18" s="9" t="n">
        <v>3535</v>
      </c>
      <c r="F18" s="9" t="n">
        <v>4875</v>
      </c>
      <c r="G18" s="9" t="n">
        <v>6597</v>
      </c>
      <c r="H18" s="9" t="n">
        <v>8174</v>
      </c>
      <c r="I18" s="9" t="n">
        <v>10007</v>
      </c>
      <c r="J18" s="9" t="n">
        <v>13395</v>
      </c>
      <c r="K18" s="9" t="n">
        <v>18987</v>
      </c>
      <c r="L18" s="9" t="n">
        <v>32767</v>
      </c>
      <c r="M18" s="9" t="n">
        <v>61195</v>
      </c>
      <c r="N18" s="9" t="n">
        <v>130719</v>
      </c>
      <c r="O18" s="9" t="n">
        <v>368974</v>
      </c>
      <c r="P18" s="9" t="n">
        <v>484866</v>
      </c>
      <c r="Q18" s="9" t="n">
        <v>581781</v>
      </c>
      <c r="R18" s="9" t="n">
        <v>650567</v>
      </c>
      <c r="S18" s="9" t="n">
        <v>699928</v>
      </c>
    </row>
    <row r="19" customFormat="false" ht="15" hidden="false" customHeight="false" outlineLevel="0" collapsed="false">
      <c r="A19" s="6" t="s">
        <v>18</v>
      </c>
      <c r="B19" s="7" t="n">
        <v>33.8</v>
      </c>
      <c r="C19" s="9" t="n">
        <v>37986</v>
      </c>
      <c r="D19" s="9" t="n">
        <v>41439</v>
      </c>
      <c r="E19" s="9" t="n">
        <v>50072</v>
      </c>
      <c r="F19" s="9" t="n">
        <v>69065</v>
      </c>
      <c r="G19" s="9" t="n">
        <v>93460</v>
      </c>
      <c r="H19" s="9" t="n">
        <v>134072</v>
      </c>
      <c r="I19" s="9" t="n">
        <v>172808</v>
      </c>
      <c r="J19" s="9" t="n">
        <v>237460</v>
      </c>
      <c r="K19" s="9" t="n">
        <v>341977</v>
      </c>
      <c r="L19" s="9" t="n">
        <v>596528</v>
      </c>
      <c r="M19" s="9" t="n">
        <v>755974</v>
      </c>
      <c r="N19" s="9" t="n">
        <v>774882</v>
      </c>
      <c r="O19" s="9" t="n">
        <v>692896</v>
      </c>
      <c r="P19" s="9" t="n">
        <v>519628</v>
      </c>
      <c r="Q19" s="9" t="n">
        <v>462806</v>
      </c>
      <c r="R19" s="9" t="n">
        <v>430978</v>
      </c>
      <c r="S19" s="9" t="n">
        <v>443704</v>
      </c>
    </row>
    <row r="20" customFormat="false" ht="15" hidden="false" customHeight="false" outlineLevel="0" collapsed="false">
      <c r="A20" s="6" t="s">
        <v>19</v>
      </c>
      <c r="B20" s="7" t="n">
        <v>119.2</v>
      </c>
      <c r="C20" s="9" t="n">
        <v>7597</v>
      </c>
      <c r="D20" s="9" t="n">
        <v>8288</v>
      </c>
      <c r="E20" s="9" t="n">
        <v>10014</v>
      </c>
      <c r="F20" s="9" t="n">
        <v>13813</v>
      </c>
      <c r="G20" s="9" t="n">
        <v>18692</v>
      </c>
      <c r="H20" s="9" t="n">
        <v>16837</v>
      </c>
      <c r="I20" s="9" t="n">
        <v>17622</v>
      </c>
      <c r="J20" s="9" t="n">
        <v>21462</v>
      </c>
      <c r="K20" s="9" t="n">
        <v>28552</v>
      </c>
      <c r="L20" s="9" t="n">
        <v>47082</v>
      </c>
      <c r="M20" s="9" t="n">
        <v>70381</v>
      </c>
      <c r="N20" s="9" t="n">
        <v>116493</v>
      </c>
      <c r="O20" s="9" t="n">
        <v>217481</v>
      </c>
      <c r="P20" s="9" t="n">
        <v>271151</v>
      </c>
      <c r="Q20" s="9" t="n">
        <v>369787</v>
      </c>
      <c r="R20" s="9" t="n">
        <v>415007</v>
      </c>
      <c r="S20" s="9" t="n">
        <v>442178</v>
      </c>
    </row>
  </sheetData>
  <mergeCells count="2">
    <mergeCell ref="A1:R1"/>
    <mergeCell ref="A2:R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10"/>
  </cols>
  <sheetData>
    <row r="1" customFormat="false" ht="18" hidden="false" customHeight="true" outlineLevel="0" collapsed="false">
      <c r="A1" s="11" t="s">
        <v>28</v>
      </c>
    </row>
    <row r="2" customFormat="false" ht="31.5" hidden="false" customHeight="true" outlineLevel="0" collapsed="false">
      <c r="A2" s="12" t="s">
        <v>29</v>
      </c>
    </row>
    <row r="3" customFormat="false" ht="18" hidden="false" customHeight="true" outlineLevel="0" collapsed="false"/>
    <row r="4" customFormat="false" ht="18" hidden="false" customHeight="true" outlineLevel="0" collapsed="false">
      <c r="A4" s="13" t="s">
        <v>30</v>
      </c>
    </row>
    <row r="5" customFormat="false" ht="18" hidden="false" customHeight="true" outlineLevel="0" collapsed="false">
      <c r="A5" s="12" t="s">
        <v>31</v>
      </c>
    </row>
    <row r="6" customFormat="false" ht="31.5" hidden="false" customHeight="true" outlineLevel="0" collapsed="false">
      <c r="A6" s="12" t="s">
        <v>32</v>
      </c>
    </row>
    <row r="7" customFormat="false" ht="18" hidden="false" customHeight="true" outlineLevel="0" collapsed="false"/>
    <row r="8" customFormat="false" ht="18" hidden="false" customHeight="true" outlineLevel="0" collapsed="false">
      <c r="A8" s="13" t="s">
        <v>33</v>
      </c>
    </row>
    <row r="9" customFormat="false" ht="31.5" hidden="false" customHeight="true" outlineLevel="0" collapsed="false">
      <c r="A9" s="12" t="s">
        <v>34</v>
      </c>
    </row>
    <row r="10" customFormat="false" ht="18" hidden="false" customHeight="true" outlineLevel="0" collapsed="false"/>
    <row r="11" customFormat="false" ht="18" hidden="false" customHeight="true" outlineLevel="0" collapsed="false">
      <c r="A11" s="13" t="s">
        <v>35</v>
      </c>
    </row>
    <row r="12" customFormat="false" ht="31.5" hidden="false" customHeight="true" outlineLevel="0" collapsed="false">
      <c r="A12" s="12" t="s">
        <v>36</v>
      </c>
    </row>
    <row r="13" customFormat="false" ht="18" hidden="false" customHeight="true" outlineLevel="0" collapsed="false">
      <c r="A13" s="12" t="s">
        <v>37</v>
      </c>
    </row>
    <row r="14" customFormat="false" ht="18" hidden="false" customHeight="true" outlineLevel="0" collapsed="false">
      <c r="A14" s="12" t="s">
        <v>38</v>
      </c>
    </row>
    <row r="15" customFormat="false" ht="18" hidden="false" customHeight="true" outlineLevel="0" collapsed="false">
      <c r="A15" s="12" t="s">
        <v>39</v>
      </c>
    </row>
    <row r="16" customFormat="false" ht="18" hidden="false" customHeight="true" outlineLevel="0" collapsed="false">
      <c r="A16" s="12" t="s">
        <v>40</v>
      </c>
    </row>
    <row r="17" customFormat="false" ht="18" hidden="false" customHeight="true" outlineLevel="0" collapsed="false">
      <c r="A17" s="12" t="s">
        <v>41</v>
      </c>
    </row>
    <row r="18" customFormat="false" ht="18" hidden="false" customHeight="true" outlineLevel="0" collapsed="false">
      <c r="A18" s="12" t="s">
        <v>42</v>
      </c>
    </row>
    <row r="19" customFormat="false" ht="18" hidden="false" customHeight="true" outlineLevel="0" collapsed="false">
      <c r="A19" s="12" t="s">
        <v>43</v>
      </c>
    </row>
    <row r="20" customFormat="false" ht="18" hidden="false" customHeight="true" outlineLevel="0" collapsed="false">
      <c r="A20" s="12" t="s">
        <v>44</v>
      </c>
    </row>
    <row r="21" customFormat="false" ht="18" hidden="false" customHeight="true" outlineLevel="0" collapsed="false">
      <c r="A21" s="12" t="s">
        <v>45</v>
      </c>
    </row>
    <row r="22" customFormat="false" ht="18" hidden="false" customHeight="true" outlineLevel="0" collapsed="false">
      <c r="A22" s="12" t="s">
        <v>46</v>
      </c>
    </row>
    <row r="23" customFormat="false" ht="18" hidden="false" customHeight="true" outlineLevel="0" collapsed="false">
      <c r="A23" s="12" t="s">
        <v>47</v>
      </c>
    </row>
    <row r="24" customFormat="false" ht="18" hidden="false" customHeight="true" outlineLevel="0" collapsed="false">
      <c r="A24" s="12" t="s">
        <v>48</v>
      </c>
    </row>
    <row r="25" customFormat="false" ht="18" hidden="false" customHeight="true" outlineLevel="0" collapsed="false">
      <c r="A25" s="12" t="s">
        <v>49</v>
      </c>
    </row>
    <row r="26" customFormat="false" ht="18" hidden="false" customHeight="true" outlineLevel="0" collapsed="false">
      <c r="A26" s="12" t="s">
        <v>50</v>
      </c>
    </row>
    <row r="27" customFormat="false" ht="18" hidden="false" customHeight="true" outlineLevel="0" collapsed="false">
      <c r="A27" s="12" t="s">
        <v>51</v>
      </c>
    </row>
    <row r="28" customFormat="false" ht="18" hidden="false" customHeight="true" outlineLevel="0" collapsed="false">
      <c r="A28" s="12" t="s">
        <v>52</v>
      </c>
    </row>
    <row r="29" customFormat="false" ht="31.5" hidden="false" customHeight="true" outlineLevel="0" collapsed="false">
      <c r="A29" s="12" t="s">
        <v>53</v>
      </c>
    </row>
    <row r="30" customFormat="false" ht="18" hidden="false" customHeight="true" outlineLevel="0" collapsed="false"/>
    <row r="31" customFormat="false" ht="18" hidden="false" customHeight="true" outlineLevel="0" collapsed="false">
      <c r="A31" s="13" t="s">
        <v>54</v>
      </c>
    </row>
    <row r="32" customFormat="false" ht="31.5" hidden="false" customHeight="true" outlineLevel="0" collapsed="false">
      <c r="A32" s="12" t="s">
        <v>55</v>
      </c>
    </row>
    <row r="33" customFormat="false" ht="31.5" hidden="false" customHeight="true" outlineLevel="0" collapsed="false">
      <c r="A33" s="12" t="s">
        <v>56</v>
      </c>
    </row>
    <row r="34" customFormat="false" ht="18" hidden="false" customHeight="true" outlineLevel="0" collapsed="false"/>
    <row r="35" customFormat="false" ht="18" hidden="false" customHeight="true" outlineLevel="0" collapsed="false">
      <c r="A35" s="13" t="s">
        <v>57</v>
      </c>
    </row>
    <row r="36" customFormat="false" ht="31.5" hidden="false" customHeight="true" outlineLevel="0" collapsed="false">
      <c r="A36" s="12" t="s">
        <v>58</v>
      </c>
    </row>
    <row r="37" customFormat="false" ht="18" hidden="false" customHeight="true" outlineLevel="0" collapsed="false"/>
    <row r="38" customFormat="false" ht="18" hidden="false" customHeight="true" outlineLevel="0" collapsed="false">
      <c r="A38" s="13" t="s">
        <v>59</v>
      </c>
    </row>
    <row r="39" customFormat="false" ht="31.5" hidden="false" customHeight="true" outlineLevel="0" collapsed="false">
      <c r="A39" s="12" t="s">
        <v>60</v>
      </c>
    </row>
    <row r="40" customFormat="false" ht="31.5" hidden="false" customHeight="true" outlineLevel="0" collapsed="false">
      <c r="A40" s="12" t="s">
        <v>61</v>
      </c>
    </row>
    <row r="41" customFormat="false" ht="31.5" hidden="false" customHeight="true" outlineLevel="0" collapsed="false">
      <c r="A41" s="12" t="s">
        <v>62</v>
      </c>
    </row>
    <row r="42" customFormat="false" ht="31.5" hidden="false" customHeight="true" outlineLevel="0" collapsed="false">
      <c r="A42" s="12" t="s">
        <v>63</v>
      </c>
    </row>
    <row r="43" customFormat="false" ht="18" hidden="false" customHeight="true" outlineLevel="0" collapsed="false"/>
    <row r="44" customFormat="false" ht="18" hidden="false" customHeight="true" outlineLevel="0" collapsed="false">
      <c r="A44" s="13" t="s">
        <v>64</v>
      </c>
    </row>
    <row r="45" customFormat="false" ht="31.5" hidden="false" customHeight="true" outlineLevel="0" collapsed="false">
      <c r="A45" s="12" t="s">
        <v>65</v>
      </c>
    </row>
    <row r="46" customFormat="false" ht="31.5" hidden="false" customHeight="true" outlineLevel="0" collapsed="false">
      <c r="A46" s="12" t="s">
        <v>66</v>
      </c>
    </row>
    <row r="47" customFormat="false" ht="31.5" hidden="false" customHeight="true" outlineLevel="0" collapsed="false">
      <c r="A47" s="12" t="s">
        <v>67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2026-05-25T20:29:57Z</dcterms:created>
  <dc:creator>openpyxl</dc:creator>
  <dc:description/>
  <dc:language>en-US</dc:language>
  <cp:lastModifiedBy/>
  <dcterms:modified xsi:type="dcterms:W3CDTF">2026-05-25T20:29:57Z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