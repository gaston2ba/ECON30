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 alcaldía" sheetId="1" state="visible" r:id="rId3"/>
    <sheet name="Por categoría (CDMX total)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<sst xmlns="http://schemas.openxmlformats.org/spreadsheetml/2006/main" count="48" uniqueCount="48">
  <si>
    <t xml:space="preserve">Inventario de Áreas Verdes Urbanas de la Ciudad de México — por alcaldía (2017)</t>
  </si>
  <si>
    <t xml:space="preserve">Fuente: SEDEMA (2020), Actualización del Inventario de Áreas Verdes Urbanas de la CDMX, Inventario 2017 · Habitantes: INEGI Encuesta Intercensal 2015 · Compilado en Núñez (2021), Cuadro 3, Econ. Soc. Territ. 21(67).</t>
  </si>
  <si>
    <t xml:space="preserve">Alcaldía</t>
  </si>
  <si>
    <t xml:space="preserve">Habitantes (2015)</t>
  </si>
  <si>
    <t xml:space="preserve">Superficie áreas verdes (m²)</t>
  </si>
  <si>
    <t xml:space="preserve">Superficie áreas verdes (ha)</t>
  </si>
  <si>
    <t xml:space="preserve">Superficie por habitante (m²/hab)</t>
  </si>
  <si>
    <t xml:space="preserve">Álvaro Obregón</t>
  </si>
  <si>
    <t xml:space="preserve">Azcapotzalco</t>
  </si>
  <si>
    <t xml:space="preserve">Benito Juárez</t>
  </si>
  <si>
    <t xml:space="preserve">Coyoacán</t>
  </si>
  <si>
    <t xml:space="preserve">Cuajimalpa de Morelos</t>
  </si>
  <si>
    <t xml:space="preserve">Cuauhtémoc</t>
  </si>
  <si>
    <t xml:space="preserve">Gustavo A. Madero</t>
  </si>
  <si>
    <t xml:space="preserve">Iztacalco</t>
  </si>
  <si>
    <t xml:space="preserve">Iztapalapa</t>
  </si>
  <si>
    <t xml:space="preserve">La Magdalena Contreras</t>
  </si>
  <si>
    <t xml:space="preserve">Miguel Hidalgo</t>
  </si>
  <si>
    <t xml:space="preserve">Milpa Alta</t>
  </si>
  <si>
    <t xml:space="preserve">Tláhuac</t>
  </si>
  <si>
    <t xml:space="preserve">Tlalpan</t>
  </si>
  <si>
    <t xml:space="preserve">Venustiano Carranza</t>
  </si>
  <si>
    <t xml:space="preserve">Xochimilco</t>
  </si>
  <si>
    <t xml:space="preserve">TOTAL Ciudad de México</t>
  </si>
  <si>
    <t xml:space="preserve">Notes:</t>
  </si>
  <si>
    <t xml:space="preserve">• Surface is the total of all green areas inventoried in 2017 (urban green only — does not include all of the Suelo de Conservación).</t>
  </si>
  <si>
    <t xml:space="preserve">• The 2017 inventory includes 11 categories: protected areas, road-linked green (camellones), parks/arboledas/alamedas, plazas y jardines, urban-equipment vegetation, reminiscent vegetation, fragmented urban green, urban forestation, complementary green, viveros, and protected-characteristics areas. See the second sheet for the city-wide breakdown.</t>
  </si>
  <si>
    <t xml:space="preserve">• The 9 m²/habitant figure is the WHO minimum standard for public green space per inhabitant. Alcaldías below that line by 2017: Álvaro Obregón, Benito Juárez, Cuauhtémoc, Gustavo A. Madero, Iztacalco, Iztapalapa, La Magdalena Contreras, Milpa Alta, Tláhuac, and Xochimilco.</t>
  </si>
  <si>
    <t xml:space="preserve">• Source dashboard: proyectos.sedema.cdmx.gob.mx/datos/inventario-por-alcaldia</t>
  </si>
  <si>
    <t xml:space="preserve">Áreas verdes de la CDMX — desglose por categoría de manejo (2017)</t>
  </si>
  <si>
    <t xml:space="preserve">Fuente: SEDEMA (2020), Inventario de Áreas Verdes — Cuadro 4 en Núñez (2021). Total = 67,311,573.82 m² distribuidos en 11,739 áreas verdes.</t>
  </si>
  <si>
    <t xml:space="preserve">Categoría</t>
  </si>
  <si>
    <t xml:space="preserve">Clave</t>
  </si>
  <si>
    <t xml:space="preserve">Superficie (m²)</t>
  </si>
  <si>
    <t xml:space="preserve">Número de áreas verdes</t>
  </si>
  <si>
    <t xml:space="preserve">% del total</t>
  </si>
  <si>
    <t xml:space="preserve">Áreas con características de protección</t>
  </si>
  <si>
    <t xml:space="preserve">Áreas con categoría de protección</t>
  </si>
  <si>
    <t xml:space="preserve">Áreas con vegetación reminiscente</t>
  </si>
  <si>
    <t xml:space="preserve">Áreas verdes complementarias o ligadas a la red vial</t>
  </si>
  <si>
    <t xml:space="preserve">Áreas verdes con estructura urbana</t>
  </si>
  <si>
    <t xml:space="preserve">Áreas verdes urbanas fragmentadas</t>
  </si>
  <si>
    <t xml:space="preserve">Equipamientos urbanos con vegetación</t>
  </si>
  <si>
    <t xml:space="preserve">Forestación urbana</t>
  </si>
  <si>
    <t xml:space="preserve">Parques, arboledas y alamedas</t>
  </si>
  <si>
    <t xml:space="preserve">Plazas y jardines</t>
  </si>
  <si>
    <t xml:space="preserve">Vivero</t>
  </si>
  <si>
    <t xml:space="preserve">TOTAL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</si>
</sst>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#,##0.0"/>
    <numFmt numFmtId="167" formatCode="#,##0.00"/>
    <numFmt numFmtId="168" formatCode="0.00"/>
    <numFmt numFmtId="169" formatCode="0"/>
    <numFmt numFmtId="170" formatCode="0.0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B5D4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D5A3D"/>
        <bgColor rgb="FF4A3F30"/>
      </patternFill>
    </fill>
    <fill>
      <patternFill patternType="solid">
        <fgColor rgb="FF4A3F30"/>
        <bgColor rgb="FF2D5A3D"/>
      </patternFill>
    </fill>
    <fill>
      <patternFill patternType="solid">
        <fgColor rgb="FFE6DCC4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6DCC4"/>
      <rgbColor rgb="FF3366FF"/>
      <rgbColor rgb="FF33CCCC"/>
      <rgbColor rgb="FF99CC00"/>
      <rgbColor rgb="FFFFCC00"/>
      <rgbColor rgb="FFFF9900"/>
      <rgbColor rgb="FFFF6600"/>
      <rgbColor rgb="FF6B5D48"/>
      <rgbColor rgb="FF999999"/>
      <rgbColor rgb="FF003366"/>
      <rgbColor rgb="FF339966"/>
      <rgbColor rgb="FF003300"/>
      <rgbColor rgb="FF2D5A3D"/>
      <rgbColor rgb="FF993300"/>
      <rgbColor rgb="FF993366"/>
      <rgbColor rgb="FF333399"/>
      <rgbColor rgb="FF4A3F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5" min="3" style="0" width="26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</row>
    <row r="4" customFormat="false" ht="36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n">
        <v>749982</v>
      </c>
      <c r="C5" s="6" t="n">
        <v>4913463.7</v>
      </c>
      <c r="D5" s="7" t="n">
        <f aca="false">C5/10000</f>
        <v>491.34637</v>
      </c>
      <c r="E5" s="8" t="n">
        <f aca="false">C5/B5</f>
        <v>6.55144216794536</v>
      </c>
    </row>
    <row r="6" customFormat="false" ht="15" hidden="false" customHeight="false" outlineLevel="0" collapsed="false">
      <c r="A6" s="4" t="s">
        <v>8</v>
      </c>
      <c r="B6" s="5" t="n">
        <v>400161</v>
      </c>
      <c r="C6" s="6" t="n">
        <v>3980866.7</v>
      </c>
      <c r="D6" s="7" t="n">
        <f aca="false">C6/10000</f>
        <v>398.08667</v>
      </c>
      <c r="E6" s="8" t="n">
        <f aca="false">C6/B6</f>
        <v>9.94816261454765</v>
      </c>
    </row>
    <row r="7" customFormat="false" ht="15" hidden="false" customHeight="false" outlineLevel="0" collapsed="false">
      <c r="A7" s="4" t="s">
        <v>9</v>
      </c>
      <c r="B7" s="5" t="n">
        <v>417416</v>
      </c>
      <c r="C7" s="6" t="n">
        <v>929230.8</v>
      </c>
      <c r="D7" s="7" t="n">
        <f aca="false">C7/10000</f>
        <v>92.92308</v>
      </c>
      <c r="E7" s="8" t="n">
        <f aca="false">C7/B7</f>
        <v>2.22615041110068</v>
      </c>
    </row>
    <row r="8" customFormat="false" ht="15" hidden="false" customHeight="false" outlineLevel="0" collapsed="false">
      <c r="A8" s="4" t="s">
        <v>10</v>
      </c>
      <c r="B8" s="5" t="n">
        <v>608479</v>
      </c>
      <c r="C8" s="6" t="n">
        <v>9157547.7</v>
      </c>
      <c r="D8" s="7" t="n">
        <f aca="false">C8/10000</f>
        <v>915.75477</v>
      </c>
      <c r="E8" s="8" t="n">
        <f aca="false">C8/B8</f>
        <v>15.0498993391719</v>
      </c>
    </row>
    <row r="9" customFormat="false" ht="15" hidden="false" customHeight="false" outlineLevel="0" collapsed="false">
      <c r="A9" s="4" t="s">
        <v>11</v>
      </c>
      <c r="B9" s="5" t="n">
        <v>199224</v>
      </c>
      <c r="C9" s="6" t="n">
        <v>2048957.7</v>
      </c>
      <c r="D9" s="7" t="n">
        <f aca="false">C9/10000</f>
        <v>204.89577</v>
      </c>
      <c r="E9" s="8" t="n">
        <f aca="false">C9/B9</f>
        <v>10.2846931092639</v>
      </c>
    </row>
    <row r="10" customFormat="false" ht="15" hidden="false" customHeight="false" outlineLevel="0" collapsed="false">
      <c r="A10" s="4" t="s">
        <v>12</v>
      </c>
      <c r="B10" s="5" t="n">
        <v>532553</v>
      </c>
      <c r="C10" s="6" t="n">
        <v>1915961</v>
      </c>
      <c r="D10" s="7" t="n">
        <f aca="false">C10/10000</f>
        <v>191.5961</v>
      </c>
      <c r="E10" s="8" t="n">
        <f aca="false">C10/B10</f>
        <v>3.59769074627314</v>
      </c>
    </row>
    <row r="11" customFormat="false" ht="15" hidden="false" customHeight="false" outlineLevel="0" collapsed="false">
      <c r="A11" s="4" t="s">
        <v>13</v>
      </c>
      <c r="B11" s="5" t="n">
        <v>1164477</v>
      </c>
      <c r="C11" s="6" t="n">
        <v>7851619.6</v>
      </c>
      <c r="D11" s="7" t="n">
        <f aca="false">C11/10000</f>
        <v>785.16196</v>
      </c>
      <c r="E11" s="8" t="n">
        <f aca="false">C11/B11</f>
        <v>6.74261458148164</v>
      </c>
    </row>
    <row r="12" customFormat="false" ht="15" hidden="false" customHeight="false" outlineLevel="0" collapsed="false">
      <c r="A12" s="4" t="s">
        <v>14</v>
      </c>
      <c r="B12" s="5" t="n">
        <v>390348</v>
      </c>
      <c r="C12" s="6" t="n">
        <v>1944289</v>
      </c>
      <c r="D12" s="7" t="n">
        <f aca="false">C12/10000</f>
        <v>194.4289</v>
      </c>
      <c r="E12" s="8" t="n">
        <f aca="false">C12/B12</f>
        <v>4.98091190424954</v>
      </c>
    </row>
    <row r="13" customFormat="false" ht="15" hidden="false" customHeight="false" outlineLevel="0" collapsed="false">
      <c r="A13" s="4" t="s">
        <v>15</v>
      </c>
      <c r="B13" s="5" t="n">
        <v>1827868</v>
      </c>
      <c r="C13" s="6" t="n">
        <v>9834858.6</v>
      </c>
      <c r="D13" s="7" t="n">
        <f aca="false">C13/10000</f>
        <v>983.48586</v>
      </c>
      <c r="E13" s="8" t="n">
        <f aca="false">C13/B13</f>
        <v>5.38050811108898</v>
      </c>
    </row>
    <row r="14" customFormat="false" ht="15" hidden="false" customHeight="false" outlineLevel="0" collapsed="false">
      <c r="A14" s="4" t="s">
        <v>16</v>
      </c>
      <c r="B14" s="5" t="n">
        <v>243886</v>
      </c>
      <c r="C14" s="6" t="n">
        <v>1335114.4</v>
      </c>
      <c r="D14" s="7" t="n">
        <f aca="false">C14/10000</f>
        <v>133.51144</v>
      </c>
      <c r="E14" s="8" t="n">
        <f aca="false">C14/B14</f>
        <v>5.4743380103819</v>
      </c>
    </row>
    <row r="15" customFormat="false" ht="15" hidden="false" customHeight="false" outlineLevel="0" collapsed="false">
      <c r="A15" s="4" t="s">
        <v>17</v>
      </c>
      <c r="B15" s="5" t="n">
        <v>364439</v>
      </c>
      <c r="C15" s="6" t="n">
        <v>5607701.5</v>
      </c>
      <c r="D15" s="7" t="n">
        <f aca="false">C15/10000</f>
        <v>560.77015</v>
      </c>
      <c r="E15" s="8" t="n">
        <f aca="false">C15/B15</f>
        <v>15.3872156931613</v>
      </c>
    </row>
    <row r="16" customFormat="false" ht="15" hidden="false" customHeight="false" outlineLevel="0" collapsed="false">
      <c r="A16" s="4" t="s">
        <v>18</v>
      </c>
      <c r="B16" s="5" t="n">
        <v>137927</v>
      </c>
      <c r="C16" s="6" t="n">
        <v>309724</v>
      </c>
      <c r="D16" s="7" t="n">
        <f aca="false">C16/10000</f>
        <v>30.9724</v>
      </c>
      <c r="E16" s="8" t="n">
        <f aca="false">C16/B16</f>
        <v>2.24556468276697</v>
      </c>
    </row>
    <row r="17" customFormat="false" ht="15" hidden="false" customHeight="false" outlineLevel="0" collapsed="false">
      <c r="A17" s="4" t="s">
        <v>19</v>
      </c>
      <c r="B17" s="5" t="n">
        <v>361593</v>
      </c>
      <c r="C17" s="6" t="n">
        <v>3054084.7</v>
      </c>
      <c r="D17" s="7" t="n">
        <f aca="false">C17/10000</f>
        <v>305.40847</v>
      </c>
      <c r="E17" s="8" t="n">
        <f aca="false">C17/B17</f>
        <v>8.44619420176829</v>
      </c>
    </row>
    <row r="18" customFormat="false" ht="15" hidden="false" customHeight="false" outlineLevel="0" collapsed="false">
      <c r="A18" s="4" t="s">
        <v>20</v>
      </c>
      <c r="B18" s="5" t="n">
        <v>677104</v>
      </c>
      <c r="C18" s="6" t="n">
        <v>6530744.7</v>
      </c>
      <c r="D18" s="7" t="n">
        <f aca="false">C18/10000</f>
        <v>653.07447</v>
      </c>
      <c r="E18" s="8" t="n">
        <f aca="false">C18/B18</f>
        <v>9.64511315839221</v>
      </c>
    </row>
    <row r="19" customFormat="false" ht="15" hidden="false" customHeight="false" outlineLevel="0" collapsed="false">
      <c r="A19" s="4" t="s">
        <v>21</v>
      </c>
      <c r="B19" s="5" t="n">
        <v>427263</v>
      </c>
      <c r="C19" s="6" t="n">
        <v>5805150.1</v>
      </c>
      <c r="D19" s="7" t="n">
        <f aca="false">C19/10000</f>
        <v>580.51501</v>
      </c>
      <c r="E19" s="8" t="n">
        <f aca="false">C19/B19</f>
        <v>13.5868308278508</v>
      </c>
    </row>
    <row r="20" customFormat="false" ht="15" hidden="false" customHeight="false" outlineLevel="0" collapsed="false">
      <c r="A20" s="4" t="s">
        <v>22</v>
      </c>
      <c r="B20" s="5" t="n">
        <v>415933</v>
      </c>
      <c r="C20" s="6" t="n">
        <v>2092259.6</v>
      </c>
      <c r="D20" s="7" t="n">
        <f aca="false">C20/10000</f>
        <v>209.22596</v>
      </c>
      <c r="E20" s="8" t="n">
        <f aca="false">C20/B20</f>
        <v>5.03028035765376</v>
      </c>
    </row>
    <row r="21" customFormat="false" ht="15" hidden="false" customHeight="false" outlineLevel="0" collapsed="false">
      <c r="A21" s="9" t="s">
        <v>23</v>
      </c>
      <c r="B21" s="10" t="n">
        <f aca="false">SUM(B5:B20)</f>
        <v>8918653</v>
      </c>
      <c r="C21" s="11" t="n">
        <f aca="false">SUM(C5:C20)</f>
        <v>67311573.8</v>
      </c>
      <c r="D21" s="12" t="n">
        <f aca="false">C21/10000</f>
        <v>6731.15738</v>
      </c>
      <c r="E21" s="13" t="n">
        <f aca="false">C21/B21</f>
        <v>7.54728026754713</v>
      </c>
    </row>
    <row r="23" customFormat="false" ht="15" hidden="false" customHeight="false" outlineLevel="0" collapsed="false">
      <c r="A23" s="14" t="s">
        <v>24</v>
      </c>
      <c r="B23" s="14"/>
      <c r="C23" s="14"/>
      <c r="D23" s="14"/>
      <c r="E23" s="14"/>
    </row>
    <row r="24" customFormat="false" ht="30" hidden="false" customHeight="true" outlineLevel="0" collapsed="false">
      <c r="A24" s="15" t="s">
        <v>25</v>
      </c>
      <c r="B24" s="15"/>
      <c r="C24" s="15"/>
      <c r="D24" s="15"/>
      <c r="E24" s="15"/>
    </row>
    <row r="25" customFormat="false" ht="30" hidden="false" customHeight="true" outlineLevel="0" collapsed="false">
      <c r="A25" s="15" t="s">
        <v>26</v>
      </c>
      <c r="B25" s="15"/>
      <c r="C25" s="15"/>
      <c r="D25" s="15"/>
      <c r="E25" s="15"/>
    </row>
    <row r="26" customFormat="false" ht="30" hidden="false" customHeight="true" outlineLevel="0" collapsed="false">
      <c r="A26" s="15" t="s">
        <v>27</v>
      </c>
      <c r="B26" s="15"/>
      <c r="C26" s="15"/>
      <c r="D26" s="15"/>
      <c r="E26" s="15"/>
    </row>
    <row r="27" customFormat="false" ht="30" hidden="false" customHeight="true" outlineLevel="0" collapsed="false">
      <c r="A27" s="15" t="s">
        <v>28</v>
      </c>
      <c r="B27" s="15"/>
      <c r="C27" s="15"/>
      <c r="D27" s="15"/>
      <c r="E27" s="15"/>
    </row>
  </sheetData>
  <mergeCells count="7">
    <mergeCell ref="A1:E1"/>
    <mergeCell ref="A2:E2"/>
    <mergeCell ref="A23:E23"/>
    <mergeCell ref="A24:E24"/>
    <mergeCell ref="A25:E25"/>
    <mergeCell ref="A26:E26"/>
    <mergeCell ref="A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0"/>
    <col collapsed="false" customWidth="true" hidden="false" outlineLevel="0" max="4" min="3" style="0" width="22"/>
    <col collapsed="false" customWidth="true" hidden="false" outlineLevel="0" max="5" min="5" style="0" width="14"/>
  </cols>
  <sheetData>
    <row r="1" customFormat="false" ht="25.5" hidden="false" customHeight="true" outlineLevel="0" collapsed="false">
      <c r="A1" s="1" t="s">
        <v>29</v>
      </c>
      <c r="B1" s="1"/>
      <c r="C1" s="1"/>
      <c r="D1" s="1"/>
    </row>
    <row r="2" customFormat="false" ht="30" hidden="false" customHeight="true" outlineLevel="0" collapsed="false">
      <c r="A2" s="2" t="s">
        <v>30</v>
      </c>
      <c r="B2" s="2"/>
      <c r="C2" s="2"/>
      <c r="D2" s="2"/>
    </row>
    <row r="4" customFormat="false" ht="36" hidden="false" customHeight="true" outlineLevel="0" collapsed="false">
      <c r="A4" s="3" t="s">
        <v>31</v>
      </c>
      <c r="B4" s="3" t="s">
        <v>32</v>
      </c>
      <c r="C4" s="3" t="s">
        <v>33</v>
      </c>
      <c r="D4" s="3" t="s">
        <v>34</v>
      </c>
      <c r="E4" s="3" t="s">
        <v>35</v>
      </c>
    </row>
    <row r="5" customFormat="false" ht="15" hidden="false" customHeight="false" outlineLevel="0" collapsed="false">
      <c r="A5" s="4" t="s">
        <v>36</v>
      </c>
      <c r="B5" s="16" t="n">
        <v>900</v>
      </c>
      <c r="C5" s="7" t="n">
        <v>9746.9</v>
      </c>
      <c r="D5" s="5" t="n">
        <v>1</v>
      </c>
      <c r="E5" s="17" t="n">
        <f aca="false">C5/$C$16</f>
        <v>0.000144802735246698</v>
      </c>
    </row>
    <row r="6" customFormat="false" ht="15" hidden="false" customHeight="false" outlineLevel="0" collapsed="false">
      <c r="A6" s="4" t="s">
        <v>37</v>
      </c>
      <c r="B6" s="16" t="n">
        <v>500</v>
      </c>
      <c r="C6" s="7" t="n">
        <v>7178264.9</v>
      </c>
      <c r="D6" s="5" t="n">
        <v>31</v>
      </c>
      <c r="E6" s="17" t="n">
        <f aca="false">C6/$C$16</f>
        <v>0.106642357246444</v>
      </c>
    </row>
    <row r="7" customFormat="false" ht="15" hidden="false" customHeight="false" outlineLevel="0" collapsed="false">
      <c r="A7" s="4" t="s">
        <v>38</v>
      </c>
      <c r="B7" s="16" t="n">
        <v>800</v>
      </c>
      <c r="C7" s="7" t="n">
        <v>1964257.97</v>
      </c>
      <c r="D7" s="5" t="n">
        <v>68</v>
      </c>
      <c r="E7" s="17" t="n">
        <f aca="false">C7/$C$16</f>
        <v>0.0291815784286416</v>
      </c>
    </row>
    <row r="8" customFormat="false" ht="15" hidden="false" customHeight="false" outlineLevel="0" collapsed="false">
      <c r="A8" s="4" t="s">
        <v>39</v>
      </c>
      <c r="B8" s="16" t="n">
        <v>200</v>
      </c>
      <c r="C8" s="7" t="n">
        <v>9530119.78</v>
      </c>
      <c r="D8" s="5" t="n">
        <v>5776</v>
      </c>
      <c r="E8" s="17" t="n">
        <f aca="false">C8/$C$16</f>
        <v>0.141582186271806</v>
      </c>
    </row>
    <row r="9" customFormat="false" ht="15" hidden="false" customHeight="false" outlineLevel="0" collapsed="false">
      <c r="A9" s="4" t="s">
        <v>40</v>
      </c>
      <c r="B9" s="16" t="n">
        <v>1000</v>
      </c>
      <c r="C9" s="7" t="n">
        <v>23511.05</v>
      </c>
      <c r="D9" s="5" t="n">
        <v>36</v>
      </c>
      <c r="E9" s="17" t="n">
        <f aca="false">C9/$C$16</f>
        <v>0.000349286885935209</v>
      </c>
    </row>
    <row r="10" customFormat="false" ht="15" hidden="false" customHeight="false" outlineLevel="0" collapsed="false">
      <c r="A10" s="4" t="s">
        <v>41</v>
      </c>
      <c r="B10" s="16" t="n">
        <v>700</v>
      </c>
      <c r="C10" s="7" t="n">
        <v>3354209.66</v>
      </c>
      <c r="D10" s="5" t="n">
        <v>312</v>
      </c>
      <c r="E10" s="17" t="n">
        <f aca="false">C10/$C$16</f>
        <v>0.0498310984373389</v>
      </c>
    </row>
    <row r="11" customFormat="false" ht="15" hidden="false" customHeight="false" outlineLevel="0" collapsed="false">
      <c r="A11" s="4" t="s">
        <v>42</v>
      </c>
      <c r="B11" s="16" t="n">
        <v>600</v>
      </c>
      <c r="C11" s="7" t="n">
        <v>28479055.09</v>
      </c>
      <c r="D11" s="5" t="n">
        <v>3653</v>
      </c>
      <c r="E11" s="17" t="n">
        <f aca="false">C11/$C$16</f>
        <v>0.423092991030318</v>
      </c>
    </row>
    <row r="12" customFormat="false" ht="15" hidden="false" customHeight="false" outlineLevel="0" collapsed="false">
      <c r="A12" s="4" t="s">
        <v>43</v>
      </c>
      <c r="B12" s="16" t="n">
        <v>100</v>
      </c>
      <c r="C12" s="7" t="n">
        <v>25317.63</v>
      </c>
      <c r="D12" s="5" t="n">
        <v>4</v>
      </c>
      <c r="E12" s="17" t="n">
        <f aca="false">C12/$C$16</f>
        <v>0.00037612595532568</v>
      </c>
    </row>
    <row r="13" customFormat="false" ht="15" hidden="false" customHeight="false" outlineLevel="0" collapsed="false">
      <c r="A13" s="4" t="s">
        <v>44</v>
      </c>
      <c r="B13" s="16" t="n">
        <v>400</v>
      </c>
      <c r="C13" s="7" t="n">
        <v>12669913.43</v>
      </c>
      <c r="D13" s="5" t="n">
        <v>1538</v>
      </c>
      <c r="E13" s="17" t="n">
        <f aca="false">C13/$C$16</f>
        <v>0.188227859114475</v>
      </c>
    </row>
    <row r="14" customFormat="false" ht="15" hidden="false" customHeight="false" outlineLevel="0" collapsed="false">
      <c r="A14" s="4" t="s">
        <v>45</v>
      </c>
      <c r="B14" s="16" t="n">
        <v>300</v>
      </c>
      <c r="C14" s="7" t="n">
        <v>3649563.53</v>
      </c>
      <c r="D14" s="5" t="n">
        <v>315</v>
      </c>
      <c r="E14" s="17" t="n">
        <f aca="false">C14/$C$16</f>
        <v>0.0542189600386375</v>
      </c>
    </row>
    <row r="15" customFormat="false" ht="15" hidden="false" customHeight="false" outlineLevel="0" collapsed="false">
      <c r="A15" s="4" t="s">
        <v>46</v>
      </c>
      <c r="B15" s="16" t="n">
        <v>1100</v>
      </c>
      <c r="C15" s="7" t="n">
        <v>427613.86</v>
      </c>
      <c r="D15" s="5" t="n">
        <v>5</v>
      </c>
      <c r="E15" s="17" t="n">
        <f aca="false">C15/$C$16</f>
        <v>0.00635275385583096</v>
      </c>
    </row>
    <row r="16" customFormat="false" ht="15" hidden="false" customHeight="false" outlineLevel="0" collapsed="false">
      <c r="A16" s="9" t="s">
        <v>47</v>
      </c>
      <c r="B16" s="9"/>
      <c r="C16" s="12" t="n">
        <f aca="false">SUM(C5:C15)</f>
        <v>67311573.8</v>
      </c>
      <c r="D16" s="10" t="n">
        <f aca="false">SUM(D5:D15)</f>
        <v>11739</v>
      </c>
      <c r="E16" s="18" t="n">
        <f aca="false">SUM(E5:E15)</f>
        <v>1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2026-05-25T19:42:44Z</dcterms:created>
  <dc:creator>openpyxl</dc:creator>
  <dc:description/>
  <dc:language>en-US</dc:language>
  <cp:lastModifiedBy/>
  <dcterms:modified xsi:type="dcterms:W3CDTF">2026-05-25T19:42:44Z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