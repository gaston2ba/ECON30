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1e43e59f0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ology" sheetId="1" r:id="Rb6cc52e2ddf54a75"/>
    <x:sheet xmlns:r="http://schemas.openxmlformats.org/officeDocument/2006/relationships" name="Hospital Catalog" sheetId="2" r:id="R03165b455de1432f"/>
    <x:sheet xmlns:r="http://schemas.openxmlformats.org/officeDocument/2006/relationships" name="Decade Metric" sheetId="3" r:id="Rcd71993372ce40ef"/>
    <x:sheet xmlns:r="http://schemas.openxmlformats.org/officeDocument/2006/relationships" name="Wide Metric" sheetId="4" r:id="Ree953a098e604f5c"/>
    <x:sheet xmlns:r="http://schemas.openxmlformats.org/officeDocument/2006/relationships" name="Population" sheetId="5" r:id="Rb41f4d390aa64ffd"/>
    <x:sheet xmlns:r="http://schemas.openxmlformats.org/officeDocument/2006/relationships" name="Sources" sheetId="6" r:id="R2d64754f60e4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55E75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886ca2d13479c" /><Relationship Type="http://schemas.openxmlformats.org/officeDocument/2006/relationships/theme" Target="/xl/theme/theme1.xml" Id="Rd7ff25db7a3648e8" /><Relationship Type="http://schemas.openxmlformats.org/officeDocument/2006/relationships/sharedStrings" Target="/xl/sharedStrings.xml" Id="Rf0ddb49d461040b8" /><Relationship Type="http://schemas.openxmlformats.org/officeDocument/2006/relationships/worksheet" Target="/xl/worksheets/sheet1.xml" Id="Rb6cc52e2ddf54a75" /><Relationship Type="http://schemas.openxmlformats.org/officeDocument/2006/relationships/worksheet" Target="/xl/worksheets/sheet2.xml" Id="R03165b455de1432f" /><Relationship Type="http://schemas.openxmlformats.org/officeDocument/2006/relationships/worksheet" Target="/xl/worksheets/sheet3.xml" Id="Rcd71993372ce40ef" /><Relationship Type="http://schemas.openxmlformats.org/officeDocument/2006/relationships/worksheet" Target="/xl/worksheets/sheet4.xml" Id="Ree953a098e604f5c" /><Relationship Type="http://schemas.openxmlformats.org/officeDocument/2006/relationships/worksheet" Target="/xl/worksheets/sheet5.xml" Id="Rb41f4d390aa64ffd" /><Relationship Type="http://schemas.openxmlformats.org/officeDocument/2006/relationships/worksheet" Target="/xl/worksheets/sheet6.xml" Id="R2d64754f60e44d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30de824f9c42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Hospitals per 100,000 residents by current alcaldía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Álvaro Obregón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Metric'!$B$2:$B$18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Azcapotzalco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Metric'!$C$2:$C$18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Benito Juárez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Metric'!$D$2:$D$18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Coyoacán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Metric'!$E$2:$E$18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Cuajimalpa de Morelos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Metric'!$F$2:$F$18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Cuauhtémoc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Metric'!$G$2:$G$18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Gustavo A. Madero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Metric'!$H$2:$H$18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Iztacalco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Metric'!$I$2:$I$18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8"/>
          <c:order val="8"/>
          <c:tx>
            <c:v>Iztapalapa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Metric'!$J$2:$J$18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9"/>
          <c:order val="9"/>
          <c:tx>
            <c:v>La Magdalena Contreras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Metric'!$K$2:$K$18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Miguel Hidalgo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Metric'!$L$2:$L$18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Milpa Alta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Metric'!$M$2:$M$18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2"/>
          <c:order val="12"/>
          <c:tx>
            <c:v>Tláhuac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Metric'!$N$2:$N$18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3"/>
          <c:order val="13"/>
          <c:tx>
            <c:v>Tlalpan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Metric'!$O$2:$O$18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4"/>
          <c:order val="14"/>
          <c:tx>
            <c:v>Venustiano Carranza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Metric'!$P$2:$P$18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5"/>
          <c:order val="15"/>
          <c:tx>
            <c:v>Xochimilco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Metric'!$Q$2:$Q$18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6"/>
          <c:order val="16"/>
          <c:tx>
            <c:v>Series 17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Metric'!$R$2:$R$18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19</xdr:col>
      <xdr:colOff>0</xdr:colOff>
      <xdr:row>1</xdr:row>
      <xdr:rowOff>0</xdr:rowOff>
    </xdr:from>
    <xdr:to>
      <xdr:col>30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30de824f9c42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ospitalCatalog" displayName="HospitalCatalog" ref="A1:L53" headerRowCount="1">
  <x:tableColumns count="12">
    <x:tableColumn id="1" name="ID"/>
    <x:tableColumn id="2" name="Hospital / institution"/>
    <x:tableColumn id="3" name="Type"/>
    <x:tableColumn id="4" name="Sector"/>
    <x:tableColumn id="5" name="Current alcaldía"/>
    <x:tableColumn id="6" name="Opening year used"/>
    <x:tableColumn id="7" name="Opening decade"/>
    <x:tableColumn id="8" name="Include in metric"/>
    <x:tableColumn id="9" name="Source URL"/>
    <x:tableColumn id="10" name="Source note"/>
    <x:tableColumn id="11" name="Confidence"/>
    <x:tableColumn id="12" name="Caveat"/>
  </x:tableColumns>
  <x:tableStyleInfo name="TableStyleMedium2" showRowStripes="1"/>
</x:table>
</file>

<file path=xl/tables/table2.xml><?xml version="1.0" encoding="utf-8"?>
<x:table xmlns:x="http://schemas.openxmlformats.org/spreadsheetml/2006/main" id="2" name="DecadeMetric" displayName="DecadeMetric" ref="A1:J273" headerRowCount="1">
  <x:tableColumns count="10">
    <x:tableColumn id="1" name="Decade"/>
    <x:tableColumn id="2" name="Alcaldía"/>
    <x:tableColumn id="3" name="Population"/>
    <x:tableColumn id="4" name="Cumulative hospital count"/>
    <x:tableColumn id="5" name="Hospitals per 100k residents"/>
    <x:tableColumn id="6" name="Cumulative public-sector hospitals"/>
    <x:tableColumn id="7" name="Public-sector hospitals per 100k"/>
    <x:tableColumn id="8" name="High/Medium-confidence included hospitals"/>
    <x:tableColumn id="9" name="High/Medium-confidence per 100k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opulationTable" displayName="PopulationTable" ref="A1:R17" headerRowCount="1">
  <x:tableColumns count="18">
    <x:tableColumn id="1" name="Alcaldía"/>
    <x:tableColumn id="2" name="1860"/>
    <x:tableColumn id="3" name="1870"/>
    <x:tableColumn id="4" name="1880"/>
    <x:tableColumn id="5" name="1890"/>
    <x:tableColumn id="6" name="1900"/>
    <x:tableColumn id="7" name="1910"/>
    <x:tableColumn id="8" name="1920"/>
    <x:tableColumn id="9" name="1930"/>
    <x:tableColumn id="10" name="1940"/>
    <x:tableColumn id="11" name="1950"/>
    <x:tableColumn id="12" name="1960"/>
    <x:tableColumn id="13" name="1970"/>
    <x:tableColumn id="14" name="1980"/>
    <x:tableColumn id="15" name="1990"/>
    <x:tableColumn id="16" name="2000"/>
    <x:tableColumn id="17" name="2010"/>
    <x:tableColumn id="18" name="2020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2c3f62a4ea44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52d3b127ac49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b891dd9dbd249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481cd89fb76440b" /></Relationships>
</file>

<file path=xl/worksheets/sheet1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26" customHeight="1">
      <x:c r="A1" s="13" t="str">
        <x:v>CDMX hospital access by current alcaldía, 1860–2020</x:v>
      </x:c>
    </x:row>
    <x:row r="2">
      <x:c r="A2" s="16" t="str">
        <x:v>Final metric: cumulative hospital-level institutions per 100,000 residents, by decade and current alcaldía.</x:v>
      </x:c>
    </x:row>
    <x:row r="3">
      <x:c r="A3" s="16" t="str">
        <x:v>Scope: major hospital-level institutions in Mexico City: public/federal/IMSS/ISSSTE hospitals, national institutes with hospital functions, and major private/nonprofit hospitals. Small clinics, centros de salud, consultation offices, and internal units inside a hospital complex are generally excluded.</x:v>
      </x:c>
    </x:row>
    <x:row r="4">
      <x:c r="A4" s="16" t="str">
        <x:v>Important caveat: opening-year data is not uniformly published. Rows include a confidence field. For some institutions, the year is the institutional founding year rather than current-campus opening year; this is flagged in the catalog caveat column.</x:v>
      </x:c>
    </x:row>
    <x:row r="5">
      <x:c r="A5" s="16" t="str">
        <x:v>Counting rule: Include In Metric = Yes. Medical-center complexes are counted once unless an internal hospital is explicitly toggled to Yes.</x:v>
      </x:c>
    </x:row>
    <x:row r="6">
      <x:c r="A6" s="16" t="str">
        <x:v>Population denominator: copied from the provided PopulationPerAlcaldia.xlsx workbook; these are current-alcaldía decadal population estimates/observations from 1860–2020.</x:v>
      </x:c>
    </x:row>
    <x:row r="7">
      <x:c r="A7" s="16" t="str">
        <x:v>Formula: Hospitals per 100k = cumulative included hospitals in alcaldía with Opening Year &lt;= decade / population in that alcaldía-decade * 100,000.</x:v>
      </x:c>
    </x:row>
    <x:row r="8">
      <x:c r="A8" s="16" t="str">
        <x:v>Suggested robustness checks: (1) public-only hospitals, (2) excluding low-confidence rows, (3) counting individual hospitals within large complexes, (4) using current-only hospital counts from official hospital-geography datasets as a benchmark.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2" hidden="0" customWidth="1"/>
    <x:col min="4" max="4" width="18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54" hidden="0" customWidth="1"/>
    <x:col min="10" max="10" width="46" hidden="0" customWidth="1"/>
    <x:col min="11" max="11" width="13" hidden="0" customWidth="1"/>
    <x:col min="12" max="12" width="46" hidden="0" customWidth="1"/>
  </x:cols>
  <x:sheetData>
    <x:row r="1">
      <x:c r="A1" s="6" t="str">
        <x:v>ID</x:v>
      </x:c>
      <x:c r="B1" s="6" t="str">
        <x:v>Hospital / institution</x:v>
      </x:c>
      <x:c r="C1" s="6" t="str">
        <x:v>Type</x:v>
      </x:c>
      <x:c r="D1" s="6" t="str">
        <x:v>Sector</x:v>
      </x:c>
      <x:c r="E1" s="6" t="str">
        <x:v>Current alcaldía</x:v>
      </x:c>
      <x:c r="F1" s="6" t="str">
        <x:v>Opening year used</x:v>
      </x:c>
      <x:c r="G1" s="6" t="str">
        <x:v>Opening decade</x:v>
      </x:c>
      <x:c r="H1" s="6" t="str">
        <x:v>Include in metric</x:v>
      </x:c>
      <x:c r="I1" s="6" t="str">
        <x:v>Source URL</x:v>
      </x:c>
      <x:c r="J1" s="6" t="str">
        <x:v>Source note</x:v>
      </x:c>
      <x:c r="K1" s="6" t="str">
        <x:v>Confidence</x:v>
      </x:c>
      <x:c r="L1" s="6" t="str">
        <x:v>Caveat</x:v>
      </x:c>
    </x:row>
    <x:row r="2">
      <x:c r="A2" s="16" t="n">
        <x:v>1</x:v>
      </x:c>
      <x:c r="B2" s="16" t="str">
        <x:v>Hospital de Jesús Nazareno</x:v>
      </x:c>
      <x:c r="C2" s="16" t="str">
        <x:v>General hospital</x:v>
      </x:c>
      <x:c r="D2" s="16" t="str">
        <x:v>Private/nonprofit historical</x:v>
      </x:c>
      <x:c r="E2" s="16" t="str">
        <x:v>Cuauhtémoc</x:v>
      </x:c>
      <x:c r="F2" s="18" t="n">
        <x:v>1524</x:v>
      </x:c>
      <x:c r="G2" s="18" t="n">
        <x:v>1520</x:v>
      </x:c>
      <x:c r="H2" s="16" t="str">
        <x:v>Yes</x:v>
      </x:c>
      <x:c r="I2" s="16" t="str">
        <x:v>https://hospitaldejesus.com.mx/</x:v>
      </x:c>
      <x:c r="J2" s="16" t="str">
        <x:v>Historic hospital founded by Hernán Cortés; included as pre-1860 baseline.</x:v>
      </x:c>
      <x:c r="K2" s="16" t="str">
        <x:v>Medium</x:v>
      </x:c>
      <x:c r="L2" s="16" t="str">
        <x:v>Institution is a historical hospital; verify current role/capacity for access analysis.</x:v>
      </x:c>
    </x:row>
    <x:row r="3">
      <x:c r="A3" s="16" t="n">
        <x:v>2</x:v>
      </x:c>
      <x:c r="B3" s="16" t="str">
        <x:v>Hospital General de México Dr. Eduardo Liceaga</x:v>
      </x:c>
      <x:c r="C3" s="16" t="str">
        <x:v>General / teaching hospital</x:v>
      </x:c>
      <x:c r="D3" s="16" t="str">
        <x:v>Federal public</x:v>
      </x:c>
      <x:c r="E3" s="16" t="str">
        <x:v>Cuauhtémoc</x:v>
      </x:c>
      <x:c r="F3" s="18" t="n">
        <x:v>1905</x:v>
      </x:c>
      <x:c r="G3" s="18" t="n">
        <x:v>1900</x:v>
      </x:c>
      <x:c r="H3" s="16" t="str">
        <x:v>Yes</x:v>
      </x:c>
      <x:c r="I3" s="16" t="str">
        <x:v>https://hgm.salud.gob.mx/interna/dirgral/antecedentes.html</x:v>
      </x:c>
      <x:c r="J3" s="16" t="str">
        <x:v>Official history states inauguration on Feb. 5, 1905.</x:v>
      </x:c>
      <x:c r="K3" s="16" t="str">
        <x:v>High</x:v>
      </x:c>
      <x:c r="L3" s="16" t="str">
        <x:v>Major federal hospital; counted from opening year.</x:v>
      </x:c>
    </x:row>
    <x:row r="4">
      <x:c r="A4" s="16" t="n">
        <x:v>3</x:v>
      </x:c>
      <x:c r="B4" s="16" t="str">
        <x:v>Hospital Infantil de México Federico Gómez</x:v>
      </x:c>
      <x:c r="C4" s="16" t="str">
        <x:v>Pediatric national institute</x:v>
      </x:c>
      <x:c r="D4" s="16" t="str">
        <x:v>Federal public</x:v>
      </x:c>
      <x:c r="E4" s="16" t="str">
        <x:v>Cuauhtémoc</x:v>
      </x:c>
      <x:c r="F4" s="18" t="n">
        <x:v>1943</x:v>
      </x:c>
      <x:c r="G4" s="18" t="n">
        <x:v>1940</x:v>
      </x:c>
      <x:c r="H4" s="16" t="str">
        <x:v>Yes</x:v>
      </x:c>
      <x:c r="I4" s="16" t="str">
        <x:v>https://www.himfg.edu.mx/interior/el_instituto.html</x:v>
      </x:c>
      <x:c r="J4" s="16" t="str">
        <x:v>Official history states inauguration on Apr. 30, 1943.</x:v>
      </x:c>
      <x:c r="K4" s="16" t="str">
        <x:v>High</x:v>
      </x:c>
      <x:c r="L4" s="16" t="str">
        <x:v>Hospital/institute counted as hospital-level pediatric institution.</x:v>
      </x:c>
    </x:row>
    <x:row r="5">
      <x:c r="A5" s="16" t="n">
        <x:v>4</x:v>
      </x:c>
      <x:c r="B5" s="16" t="str">
        <x:v>Centro Médico Nacional Siglo XXI</x:v>
      </x:c>
      <x:c r="C5" s="16" t="str">
        <x:v>Medical center complex</x:v>
      </x:c>
      <x:c r="D5" s="16" t="str">
        <x:v>IMSS public</x:v>
      </x:c>
      <x:c r="E5" s="16" t="str">
        <x:v>Cuauhtémoc</x:v>
      </x:c>
      <x:c r="F5" s="18" t="n">
        <x:v>1963</x:v>
      </x:c>
      <x:c r="G5" s="18" t="n">
        <x:v>1960</x:v>
      </x:c>
      <x:c r="H5" s="16" t="str">
        <x:v>Yes</x:v>
      </x:c>
      <x:c r="I5" s="16" t="str">
        <x:v>https://revistamedica.imss.gob.mx/index.php/revista_medica/article/view/175/1589</x:v>
      </x:c>
      <x:c r="J5" s="16" t="str">
        <x:v>IMSS history states the full Centro Médico Nacional opened in 1963.</x:v>
      </x:c>
      <x:c r="K5" s="16" t="str">
        <x:v>High</x:v>
      </x:c>
      <x:c r="L5" s="16" t="str">
        <x:v>Counted as one complex to avoid inflating multiple hospitals in one campus.</x:v>
      </x:c>
    </x:row>
    <x:row r="6">
      <x:c r="A6" s="16" t="n">
        <x:v>5</x:v>
      </x:c>
      <x:c r="B6" s="16" t="str">
        <x:v>Hospital de Especialidades CMN Siglo XXI</x:v>
      </x:c>
      <x:c r="C6" s="16" t="str">
        <x:v>Specialty hospital</x:v>
      </x:c>
      <x:c r="D6" s="16" t="str">
        <x:v>IMSS public</x:v>
      </x:c>
      <x:c r="E6" s="16" t="str">
        <x:v>Cuauhtémoc</x:v>
      </x:c>
      <x:c r="F6" s="18" t="n">
        <x:v>1963</x:v>
      </x:c>
      <x:c r="G6" s="18" t="n">
        <x:v>1960</x:v>
      </x:c>
      <x:c r="H6" s="16" t="str">
        <x:v>No</x:v>
      </x:c>
      <x:c r="I6" s="16" t="str">
        <x:v>https://pubmed.ncbi.nlm.nih.gov/39601647/</x:v>
      </x:c>
      <x:c r="J6" s="16" t="str">
        <x:v>Specialties hospital inaugurated in 1963; excluded because CMN Siglo XXI complex is already counted.</x:v>
      </x:c>
      <x:c r="K6" s="16" t="str">
        <x:v>High</x:v>
      </x:c>
      <x:c r="L6" s="16" t="str">
        <x:v>Set Include to Yes if you prefer to count individual hospitals within the complex.</x:v>
      </x:c>
    </x:row>
    <x:row r="7">
      <x:c r="A7" s="16" t="n">
        <x:v>6</x:v>
      </x:c>
      <x:c r="B7" s="16" t="str">
        <x:v>Hospital General Dr. Rubén Leñero</x:v>
      </x:c>
      <x:c r="C7" s="16" t="str">
        <x:v>General / trauma hospital</x:v>
      </x:c>
      <x:c r="D7" s="16" t="str">
        <x:v>CDMX public</x:v>
      </x:c>
      <x:c r="E7" s="16" t="str">
        <x:v>Miguel Hidalgo</x:v>
      </x:c>
      <x:c r="F7" s="18" t="n">
        <x:v>1943</x:v>
      </x:c>
      <x:c r="G7" s="18" t="n">
        <x:v>1940</x:v>
      </x:c>
      <x:c r="H7" s="16" t="str">
        <x:v>Yes</x:v>
      </x:c>
      <x:c r="I7" s="16" t="str">
        <x:v>https://www.gob.mx/lotenal/articulos/80-anos-del-hospital-general-dr-ruben-lenero-se-distinguen-en-billete-de-loteria</x:v>
      </x:c>
      <x:c r="J7" s="16" t="str">
        <x:v>Government note says the Cruz Verde hospital was inaugurated in 1943.</x:v>
      </x:c>
      <x:c r="K7" s="16" t="str">
        <x:v>High</x:v>
      </x:c>
      <x:c r="L7" s="16" t="str">
        <x:v>Current hospital counted from original inauguration.</x:v>
      </x:c>
    </x:row>
    <x:row r="8">
      <x:c r="A8" s="16" t="n">
        <x:v>7</x:v>
      </x:c>
      <x:c r="B8" s="16" t="str">
        <x:v>Hospital Pediátrico Legaria</x:v>
      </x:c>
      <x:c r="C8" s="16" t="str">
        <x:v>Pediatric hospital</x:v>
      </x:c>
      <x:c r="D8" s="16" t="str">
        <x:v>CDMX public</x:v>
      </x:c>
      <x:c r="E8" s="16" t="str">
        <x:v>Miguel Hidalgo</x:v>
      </x:c>
      <x:c r="F8" s="18" t="n">
        <x:v>1963</x:v>
      </x:c>
      <x:c r="G8" s="18" t="n">
        <x:v>1960</x:v>
      </x:c>
      <x:c r="H8" s="16" t="str">
        <x:v>Yes</x:v>
      </x:c>
      <x:c r="I8" s="16" t="str">
        <x:v>https://salud.cdmx.gob.mx/boletines/19abr2022-hospital-pediatrico-de-legaria-unico-en-sedesa-especializado-en-neurologia-y-neurocirugia</x:v>
      </x:c>
      <x:c r="J8" s="16" t="str">
        <x:v>SEDESA says it was inaugurated Sept. 18, 1963.</x:v>
      </x:c>
      <x:c r="K8" s="16" t="str">
        <x:v>High</x:v>
      </x:c>
      <x:c r="L8" s="16" t="str">
        <x:v>Hospital-level pediatric facility.</x:v>
      </x:c>
    </x:row>
    <x:row r="9">
      <x:c r="A9" s="16" t="n">
        <x:v>8</x:v>
      </x:c>
      <x:c r="B9" s="16" t="str">
        <x:v>Hospital Español</x:v>
      </x:c>
      <x:c r="C9" s="16" t="str">
        <x:v>General hospital</x:v>
      </x:c>
      <x:c r="D9" s="16" t="str">
        <x:v>Private/nonprofit</x:v>
      </x:c>
      <x:c r="E9" s="16" t="str">
        <x:v>Miguel Hidalgo</x:v>
      </x:c>
      <x:c r="F9" s="18" t="n">
        <x:v>1886</x:v>
      </x:c>
      <x:c r="G9" s="18" t="n">
        <x:v>1880</x:v>
      </x:c>
      <x:c r="H9" s="16" t="str">
        <x:v>Yes</x:v>
      </x:c>
      <x:c r="I9" s="16" t="str">
        <x:v>https://www.hespanol.com/</x:v>
      </x:c>
      <x:c r="J9" s="16" t="str">
        <x:v>Hospital institutional history dates origin to 1886.</x:v>
      </x:c>
      <x:c r="K9" s="16" t="str">
        <x:v>Medium</x:v>
      </x:c>
      <x:c r="L9" s="16" t="str">
        <x:v>Institution-founding date; verify campus opening if using for strict spatial history.</x:v>
      </x:c>
    </x:row>
    <x:row r="10">
      <x:c r="A10" s="16" t="n">
        <x:v>9</x:v>
      </x:c>
      <x:c r="B10" s="16" t="str">
        <x:v>Hospital Ángeles Mocel</x:v>
      </x:c>
      <x:c r="C10" s="16" t="str">
        <x:v>General hospital</x:v>
      </x:c>
      <x:c r="D10" s="16" t="str">
        <x:v>Private</x:v>
      </x:c>
      <x:c r="E10" s="16" t="str">
        <x:v>Miguel Hidalgo</x:v>
      </x:c>
      <x:c r="F10" s="18" t="n">
        <x:v>1973</x:v>
      </x:c>
      <x:c r="G10" s="18" t="n">
        <x:v>1970</x:v>
      </x:c>
      <x:c r="H10" s="16" t="str">
        <x:v>Yes</x:v>
      </x:c>
      <x:c r="I10" s="16" t="str">
        <x:v>https://hospitalesangeles.com/mocel/</x:v>
      </x:c>
      <x:c r="J10" s="16" t="str">
        <x:v>Institutional historical/anniversary sources report 1973 origin.</x:v>
      </x:c>
      <x:c r="K10" s="16" t="str">
        <x:v>Medium</x:v>
      </x:c>
      <x:c r="L10" s="16" t="str">
        <x:v>Private hospital; included because metric counts hospital-level institutions.</x:v>
      </x:c>
    </x:row>
    <x:row r="11">
      <x:c r="A11" s="16" t="n">
        <x:v>10</x:v>
      </x:c>
      <x:c r="B11" s="16" t="str">
        <x:v>Centro Médico ABC Observatorio</x:v>
      </x:c>
      <x:c r="C11" s="16" t="str">
        <x:v>General hospital</x:v>
      </x:c>
      <x:c r="D11" s="16" t="str">
        <x:v>Private/nonprofit</x:v>
      </x:c>
      <x:c r="E11" s="16" t="str">
        <x:v>Álvaro Obregón</x:v>
      </x:c>
      <x:c r="F11" s="18" t="n">
        <x:v>1886</x:v>
      </x:c>
      <x:c r="G11" s="18" t="n">
        <x:v>1880</x:v>
      </x:c>
      <x:c r="H11" s="16" t="str">
        <x:v>Yes</x:v>
      </x:c>
      <x:c r="I11" s="16" t="str">
        <x:v>https://centromedicoabc.com/</x:v>
      </x:c>
      <x:c r="J11" s="16" t="str">
        <x:v>ABC institutional history traces hospital to 1886; Observatorio is current campus.</x:v>
      </x:c>
      <x:c r="K11" s="16" t="str">
        <x:v>Medium</x:v>
      </x:c>
      <x:c r="L11" s="16" t="str">
        <x:v>Founding year rather than current-campus opening; review if using only public access.</x:v>
      </x:c>
    </x:row>
    <x:row r="12">
      <x:c r="A12" s="16" t="n">
        <x:v>11</x:v>
      </x:c>
      <x:c r="B12" s="16" t="str">
        <x:v>Hospital Regional Lic. Adolfo López Mateos ISSSTE</x:v>
      </x:c>
      <x:c r="C12" s="16" t="str">
        <x:v>Regional hospital</x:v>
      </x:c>
      <x:c r="D12" s="16" t="str">
        <x:v>ISSSTE public</x:v>
      </x:c>
      <x:c r="E12" s="16" t="str">
        <x:v>Álvaro Obregón</x:v>
      </x:c>
      <x:c r="F12" s="18" t="n">
        <x:v>1970</x:v>
      </x:c>
      <x:c r="G12" s="18" t="n">
        <x:v>1970</x:v>
      </x:c>
      <x:c r="H12" s="16" t="str">
        <x:v>Yes</x:v>
      </x:c>
      <x:c r="I12" s="16" t="str">
        <x:v>https://www.gob.mx/issste/videos/50-aniversario-del-hospital-regional-lic-adolfo-lopez-mateos-257444</x:v>
      </x:c>
      <x:c r="J12" s="16" t="str">
        <x:v>ISSSTE source states inauguration on Nov. 17, 1970.</x:v>
      </x:c>
      <x:c r="K12" s="16" t="str">
        <x:v>High</x:v>
      </x:c>
      <x:c r="L12" s="16" t="str">
        <x:v>Hospital-level public institution.</x:v>
      </x:c>
    </x:row>
    <x:row r="13">
      <x:c r="A13" s="16" t="n">
        <x:v>12</x:v>
      </x:c>
      <x:c r="B13" s="16" t="str">
        <x:v>Hospital General Dr. Enrique Cabrera</x:v>
      </x:c>
      <x:c r="C13" s="16" t="str">
        <x:v>General hospital</x:v>
      </x:c>
      <x:c r="D13" s="16" t="str">
        <x:v>CDMX public</x:v>
      </x:c>
      <x:c r="E13" s="16" t="str">
        <x:v>Álvaro Obregón</x:v>
      </x:c>
      <x:c r="F13" s="18" t="n">
        <x:v>2007</x:v>
      </x:c>
      <x:c r="G13" s="18" t="n">
        <x:v>2000</x:v>
      </x:c>
      <x:c r="H13" s="16" t="str">
        <x:v>Yes</x:v>
      </x:c>
      <x:c r="I13" s="16" t="str">
        <x:v>https://www.defe.mx/mexico-df/hospitales-centros-medicos/hospital-general-enrique-cabrera</x:v>
      </x:c>
      <x:c r="J13" s="16" t="str">
        <x:v>Source gives inauguration year 2007 and 114 beds.</x:v>
      </x:c>
      <x:c r="K13" s="16" t="str">
        <x:v>Medium</x:v>
      </x:c>
      <x:c r="L13" s="16" t="str">
        <x:v>Secondary directory source; verify with SEDESA if used in final publication.</x:v>
      </x:c>
    </x:row>
    <x:row r="14">
      <x:c r="A14" s="16" t="n">
        <x:v>13</x:v>
      </x:c>
      <x:c r="B14" s="16" t="str">
        <x:v>Centro Médico Nacional La Raza</x:v>
      </x:c>
      <x:c r="C14" s="16" t="str">
        <x:v>Medical center complex</x:v>
      </x:c>
      <x:c r="D14" s="16" t="str">
        <x:v>IMSS public</x:v>
      </x:c>
      <x:c r="E14" s="16" t="str">
        <x:v>Azcapotzalco</x:v>
      </x:c>
      <x:c r="F14" s="18" t="n">
        <x:v>1954</x:v>
      </x:c>
      <x:c r="G14" s="18" t="n">
        <x:v>1950</x:v>
      </x:c>
      <x:c r="H14" s="16" t="str">
        <x:v>Yes</x:v>
      </x:c>
      <x:c r="I14" s="16" t="str">
        <x:v>https://revistamedica.imss.gob.mx/index.php/revista_medica/article/view/47/187</x:v>
      </x:c>
      <x:c r="J14" s="16" t="str">
        <x:v>IMSS medical journal states Hospital de La Raza inaugurated at beginning of 1954.</x:v>
      </x:c>
      <x:c r="K14" s="16" t="str">
        <x:v>High</x:v>
      </x:c>
      <x:c r="L14" s="16" t="str">
        <x:v>Counted as one complex to avoid double-counting its hospitals.</x:v>
      </x:c>
    </x:row>
    <x:row r="15">
      <x:c r="A15" s="16" t="n">
        <x:v>14</x:v>
      </x:c>
      <x:c r="B15" s="16" t="str">
        <x:v>Hospital Pediátrico Azcapotzalco</x:v>
      </x:c>
      <x:c r="C15" s="16" t="str">
        <x:v>Pediatric hospital</x:v>
      </x:c>
      <x:c r="D15" s="16" t="str">
        <x:v>CDMX public</x:v>
      </x:c>
      <x:c r="E15" s="16" t="str">
        <x:v>Azcapotzalco</x:v>
      </x:c>
      <x:c r="F15" s="18" t="n">
        <x:v>1958</x:v>
      </x:c>
      <x:c r="G15" s="18" t="n">
        <x:v>1950</x:v>
      </x:c>
      <x:c r="H15" s="16" t="str">
        <x:v>Yes</x:v>
      </x:c>
      <x:c r="I15" s="16" t="str">
        <x:v>https://www.jefaturadegobierno.cdmx.gob.mx/comunicacion/nota/revisa-jefa-de-gobierno-instalaciones-medicas-del-hospital-pediatrico-azcapotzalco</x:v>
      </x:c>
      <x:c r="J15" s="16" t="str">
        <x:v>CDMX note says it was inaugurated in 1958.</x:v>
      </x:c>
      <x:c r="K15" s="16" t="str">
        <x:v>High</x:v>
      </x:c>
      <x:c r="L15" s="16" t="str">
        <x:v>Hospital-level pediatric facility.</x:v>
      </x:c>
    </x:row>
    <x:row r="16">
      <x:c r="A16" s="16" t="n">
        <x:v>15</x:v>
      </x:c>
      <x:c r="B16" s="16" t="str">
        <x:v>Hospital General de Xoco</x:v>
      </x:c>
      <x:c r="C16" s="16" t="str">
        <x:v>General / trauma hospital</x:v>
      </x:c>
      <x:c r="D16" s="16" t="str">
        <x:v>CDMX public</x:v>
      </x:c>
      <x:c r="E16" s="16" t="str">
        <x:v>Benito Juárez</x:v>
      </x:c>
      <x:c r="F16" s="18" t="n">
        <x:v>1962</x:v>
      </x:c>
      <x:c r="G16" s="18" t="n">
        <x:v>1960</x:v>
      </x:c>
      <x:c r="H16" s="16" t="str">
        <x:v>Yes</x:v>
      </x:c>
      <x:c r="I16" s="16" t="str">
        <x:v>https://www.imbiomed.com.mx/articulo.php?id=67034</x:v>
      </x:c>
      <x:c r="J16" s="16" t="str">
        <x:v>Medical article states origin on Jan. 26, 1962.</x:v>
      </x:c>
      <x:c r="K16" s="16" t="str">
        <x:v>High</x:v>
      </x:c>
      <x:c r="L16" s="16" t="str">
        <x:v>Major trauma/general hospital.</x:v>
      </x:c>
    </x:row>
    <x:row r="17">
      <x:c r="A17" s="16" t="n">
        <x:v>16</x:v>
      </x:c>
      <x:c r="B17" s="16" t="str">
        <x:v>Centro Médico Nacional 20 de Noviembre</x:v>
      </x:c>
      <x:c r="C17" s="16" t="str">
        <x:v>National medical center</x:v>
      </x:c>
      <x:c r="D17" s="16" t="str">
        <x:v>ISSSTE public</x:v>
      </x:c>
      <x:c r="E17" s="16" t="str">
        <x:v>Benito Juárez</x:v>
      </x:c>
      <x:c r="F17" s="18" t="n">
        <x:v>1961</x:v>
      </x:c>
      <x:c r="G17" s="18" t="n">
        <x:v>1960</x:v>
      </x:c>
      <x:c r="H17" s="16" t="str">
        <x:v>Yes</x:v>
      </x:c>
      <x:c r="I17" s="16" t="str">
        <x:v>https://www.gob.mx/issste/</x:v>
      </x:c>
      <x:c r="J17" s="16" t="str">
        <x:v>Commonly dated to early 1960s; official source needed for exact inauguration.</x:v>
      </x:c>
      <x:c r="K17" s="16" t="str">
        <x:v>Low</x:v>
      </x:c>
      <x:c r="L17" s="16" t="str">
        <x:v>Included with low confidence; verify exact opening year.</x:v>
      </x:c>
    </x:row>
    <x:row r="18">
      <x:c r="A18" s="16" t="n">
        <x:v>17</x:v>
      </x:c>
      <x:c r="B18" s="16" t="str">
        <x:v>Hospital San Ángel Inn Universidad</x:v>
      </x:c>
      <x:c r="C18" s="16" t="str">
        <x:v>General hospital</x:v>
      </x:c>
      <x:c r="D18" s="16" t="str">
        <x:v>Private</x:v>
      </x:c>
      <x:c r="E18" s="16" t="str">
        <x:v>Benito Juárez</x:v>
      </x:c>
      <x:c r="F18" s="18" t="n">
        <x:v>1986</x:v>
      </x:c>
      <x:c r="G18" s="18" t="n">
        <x:v>1980</x:v>
      </x:c>
      <x:c r="H18" s="16" t="str">
        <x:v>Yes</x:v>
      </x:c>
      <x:c r="I18" s="16" t="str">
        <x:v>https://hospitalesangeles.com/</x:v>
      </x:c>
      <x:c r="J18" s="16" t="str">
        <x:v>Private hospital; year based on institutional history/directories.</x:v>
      </x:c>
      <x:c r="K18" s="16" t="str">
        <x:v>Low</x:v>
      </x:c>
      <x:c r="L18" s="16" t="str">
        <x:v>Verify year and current hospital classification.</x:v>
      </x:c>
    </x:row>
    <x:row r="19">
      <x:c r="A19" s="16" t="n">
        <x:v>18</x:v>
      </x:c>
      <x:c r="B19" s="16" t="str">
        <x:v>Instituto Nacional de Pediatría</x:v>
      </x:c>
      <x:c r="C19" s="16" t="str">
        <x:v>Pediatric national institute</x:v>
      </x:c>
      <x:c r="D19" s="16" t="str">
        <x:v>Federal public</x:v>
      </x:c>
      <x:c r="E19" s="16" t="str">
        <x:v>Coyoacán</x:v>
      </x:c>
      <x:c r="F19" s="18" t="n">
        <x:v>1970</x:v>
      </x:c>
      <x:c r="G19" s="18" t="n">
        <x:v>1970</x:v>
      </x:c>
      <x:c r="H19" s="16" t="str">
        <x:v>Yes</x:v>
      </x:c>
      <x:c r="I19" s="16" t="str">
        <x:v>https://www.pediatria.gob.mx/interna/historia_inp.html</x:v>
      </x:c>
      <x:c r="J19" s="16" t="str">
        <x:v>Official INP history states inauguration Nov. 6, 1970.</x:v>
      </x:c>
      <x:c r="K19" s="16" t="str">
        <x:v>High</x:v>
      </x:c>
      <x:c r="L19" s="16" t="str">
        <x:v>Current location in Coyoacán; counted from institution opening.</x:v>
      </x:c>
    </x:row>
    <x:row r="20">
      <x:c r="A20" s="16" t="n">
        <x:v>19</x:v>
      </x:c>
      <x:c r="B20" s="16" t="str">
        <x:v>Shriners Children’s México</x:v>
      </x:c>
      <x:c r="C20" s="16" t="str">
        <x:v>Pediatric specialty hospital</x:v>
      </x:c>
      <x:c r="D20" s="16" t="str">
        <x:v>Private/nonprofit</x:v>
      </x:c>
      <x:c r="E20" s="16" t="str">
        <x:v>Coyoacán</x:v>
      </x:c>
      <x:c r="F20" s="18" t="n">
        <x:v>1945</x:v>
      </x:c>
      <x:c r="G20" s="18" t="n">
        <x:v>1940</x:v>
      </x:c>
      <x:c r="H20" s="16" t="str">
        <x:v>Yes</x:v>
      </x:c>
      <x:c r="I20" s="16" t="str">
        <x:v>https://www.shrinerschildrens.org/es/locations/mexico/about-us/our-history</x:v>
      </x:c>
      <x:c r="J20" s="16" t="str">
        <x:v>Shriners history says Mexico facilities were inaugurated in 1945.</x:v>
      </x:c>
      <x:c r="K20" s="16" t="str">
        <x:v>High</x:v>
      </x:c>
      <x:c r="L20" s="16" t="str">
        <x:v>Current Coyoacán site has later facility history; included by institutional start.</x:v>
      </x:c>
    </x:row>
    <x:row r="21">
      <x:c r="A21" s="16" t="n">
        <x:v>20</x:v>
      </x:c>
      <x:c r="B21" s="16" t="str">
        <x:v>Centro Médico Naval / Hospital General Naval de Alta Especialidad</x:v>
      </x:c>
      <x:c r="C21" s="16" t="str">
        <x:v>Specialty hospital</x:v>
      </x:c>
      <x:c r="D21" s="16" t="str">
        <x:v>Federal public / SEMAR</x:v>
      </x:c>
      <x:c r="E21" s="16" t="str">
        <x:v>Coyoacán</x:v>
      </x:c>
      <x:c r="F21" s="18" t="n">
        <x:v>2008</x:v>
      </x:c>
      <x:c r="G21" s="18" t="n">
        <x:v>2000</x:v>
      </x:c>
      <x:c r="H21" s="16" t="str">
        <x:v>Yes</x:v>
      </x:c>
      <x:c r="I21" s="16" t="str">
        <x:v>https://www.gob.mx/semar/acciones-y-programas/centro-medico-naval-cemenav</x:v>
      </x:c>
      <x:c r="J21" s="16" t="str">
        <x:v>SEMAR says Hospital General Naval de Alta Especialidad inaugurated in 2008.</x:v>
      </x:c>
      <x:c r="K21" s="16" t="str">
        <x:v>High</x:v>
      </x:c>
      <x:c r="L21" s="16" t="str">
        <x:v>Current facility counted from 2008.</x:v>
      </x:c>
    </x:row>
    <x:row r="22">
      <x:c r="A22" s="16" t="n">
        <x:v>21</x:v>
      </x:c>
      <x:c r="B22" s="16" t="str">
        <x:v>Hospital ABC Santa Fe</x:v>
      </x:c>
      <x:c r="C22" s="16" t="str">
        <x:v>General hospital</x:v>
      </x:c>
      <x:c r="D22" s="16" t="str">
        <x:v>Private/nonprofit</x:v>
      </x:c>
      <x:c r="E22" s="16" t="str">
        <x:v>Cuajimalpa de Morelos</x:v>
      </x:c>
      <x:c r="F22" s="18" t="n">
        <x:v>2004</x:v>
      </x:c>
      <x:c r="G22" s="18" t="n">
        <x:v>2000</x:v>
      </x:c>
      <x:c r="H22" s="16" t="str">
        <x:v>Yes</x:v>
      </x:c>
      <x:c r="I22" s="16" t="str">
        <x:v>https://centromedicoabc.com/</x:v>
      </x:c>
      <x:c r="J22" s="16" t="str">
        <x:v>ABC Santa Fe campus widely dated to 2004.</x:v>
      </x:c>
      <x:c r="K22" s="16" t="str">
        <x:v>Medium</x:v>
      </x:c>
      <x:c r="L22" s="16" t="str">
        <x:v>Private hospital; campus opening date.</x:v>
      </x:c>
    </x:row>
    <x:row r="23">
      <x:c r="A23" s="16" t="n">
        <x:v>22</x:v>
      </x:c>
      <x:c r="B23" s="16" t="str">
        <x:v>Hospital Ángeles Lomas</x:v>
      </x:c>
      <x:c r="C23" s="16" t="str">
        <x:v>General hospital</x:v>
      </x:c>
      <x:c r="D23" s="16" t="str">
        <x:v>Private</x:v>
      </x:c>
      <x:c r="E23" s="16" t="str">
        <x:v>Cuajimalpa de Morelos</x:v>
      </x:c>
      <x:c r="F23" s="18" t="n">
        <x:v>2005</x:v>
      </x:c>
      <x:c r="G23" s="18" t="n">
        <x:v>2000</x:v>
      </x:c>
      <x:c r="H23" s="16" t="str">
        <x:v>Yes</x:v>
      </x:c>
      <x:c r="I23" s="16" t="str">
        <x:v>https://hospitalesangeles.com/lomas/</x:v>
      </x:c>
      <x:c r="J23" s="16" t="str">
        <x:v>Institutional directory; opening year from hospital history/directories.</x:v>
      </x:c>
      <x:c r="K23" s="16" t="str">
        <x:v>Low</x:v>
      </x:c>
      <x:c r="L23" s="16" t="str">
        <x:v>Verify exact opening year.</x:v>
      </x:c>
    </x:row>
    <x:row r="24">
      <x:c r="A24" s="16" t="n">
        <x:v>23</x:v>
      </x:c>
      <x:c r="B24" s="16" t="str">
        <x:v>Hospital Pediátrico Coyoacán</x:v>
      </x:c>
      <x:c r="C24" s="16" t="str">
        <x:v>Pediatric hospital</x:v>
      </x:c>
      <x:c r="D24" s="16" t="str">
        <x:v>CDMX public</x:v>
      </x:c>
      <x:c r="E24" s="16" t="str">
        <x:v>Coyoacán</x:v>
      </x:c>
      <x:c r="F24" s="18" t="n">
        <x:v>1962</x:v>
      </x:c>
      <x:c r="G24" s="18" t="n">
        <x:v>1960</x:v>
      </x:c>
      <x:c r="H24" s="16" t="str">
        <x:v>Yes</x:v>
      </x:c>
      <x:c r="I24" s="16" t="str">
        <x:v>https://data.salud.cdmx.gob.mx/portal/media/Agenda2011/Paginas/series%20historicas.pdf</x:v>
      </x:c>
      <x:c r="J24" s="16" t="str">
        <x:v>SEDESA historical series notes 1962 inauguration of Hospital Infantil Coyoacán.</x:v>
      </x:c>
      <x:c r="K24" s="16" t="str">
        <x:v>Medium</x:v>
      </x:c>
      <x:c r="L24" s="16" t="str">
        <x:v>Name/history changed; verify whether current hospital function matches.</x:v>
      </x:c>
    </x:row>
    <x:row r="25">
      <x:c r="A25" s="16" t="n">
        <x:v>24</x:v>
      </x:c>
      <x:c r="B25" s="16" t="str">
        <x:v>Hospital General La Villa</x:v>
      </x:c>
      <x:c r="C25" s="16" t="str">
        <x:v>General hospital</x:v>
      </x:c>
      <x:c r="D25" s="16" t="str">
        <x:v>CDMX public</x:v>
      </x:c>
      <x:c r="E25" s="16" t="str">
        <x:v>Gustavo A. Madero</x:v>
      </x:c>
      <x:c r="F25" s="18" t="n">
        <x:v>1946</x:v>
      </x:c>
      <x:c r="G25" s="18" t="n">
        <x:v>1940</x:v>
      </x:c>
      <x:c r="H25" s="16" t="str">
        <x:v>Yes</x:v>
      </x:c>
      <x:c r="I25" s="16" t="str">
        <x:v>https://www.salud.cdmx.gob.mx/secretaria/estructura</x:v>
      </x:c>
      <x:c r="J25" s="16" t="str">
        <x:v>SEDESA structure lists Hospital General La Villa; opening year from institutional histories.</x:v>
      </x:c>
      <x:c r="K25" s="16" t="str">
        <x:v>Low</x:v>
      </x:c>
      <x:c r="L25" s="16" t="str">
        <x:v>Verify exact inauguration year.</x:v>
      </x:c>
    </x:row>
    <x:row r="26">
      <x:c r="A26" s="16" t="n">
        <x:v>25</x:v>
      </x:c>
      <x:c r="B26" s="16" t="str">
        <x:v>Hospital Juárez de México</x:v>
      </x:c>
      <x:c r="C26" s="16" t="str">
        <x:v>General / federal hospital</x:v>
      </x:c>
      <x:c r="D26" s="16" t="str">
        <x:v>Federal public</x:v>
      </x:c>
      <x:c r="E26" s="16" t="str">
        <x:v>Gustavo A. Madero</x:v>
      </x:c>
      <x:c r="F26" s="18" t="n">
        <x:v>1989</x:v>
      </x:c>
      <x:c r="G26" s="18" t="n">
        <x:v>1980</x:v>
      </x:c>
      <x:c r="H26" s="16" t="str">
        <x:v>Yes</x:v>
      </x:c>
      <x:c r="I26" s="16" t="str">
        <x:v>https://www.gob.mx/salud/</x:v>
      </x:c>
      <x:c r="J26" s="16" t="str">
        <x:v>Current GAM campus opened after 1985 earthquake; exact source should be verified.</x:v>
      </x:c>
      <x:c r="K26" s="16" t="str">
        <x:v>Medium</x:v>
      </x:c>
      <x:c r="L26" s="16" t="str">
        <x:v>Counts current campus, not the historic Juárez hospital origin.</x:v>
      </x:c>
    </x:row>
    <x:row r="27">
      <x:c r="A27" s="16" t="n">
        <x:v>26</x:v>
      </x:c>
      <x:c r="B27" s="16" t="str">
        <x:v>Hospital General Dr. Gaudencio González Garza, CMN La Raza</x:v>
      </x:c>
      <x:c r="C27" s="16" t="str">
        <x:v>General hospital</x:v>
      </x:c>
      <x:c r="D27" s="16" t="str">
        <x:v>IMSS public</x:v>
      </x:c>
      <x:c r="E27" s="16" t="str">
        <x:v>Azcapotzalco</x:v>
      </x:c>
      <x:c r="F27" s="18" t="n">
        <x:v>1954</x:v>
      </x:c>
      <x:c r="G27" s="18" t="n">
        <x:v>1950</x:v>
      </x:c>
      <x:c r="H27" s="16" t="str">
        <x:v>No</x:v>
      </x:c>
      <x:c r="I27" s="16" t="str">
        <x:v>https://es.wikipedia.org/wiki/Centro_M%C3%A9dico_Nacional_La_Raza</x:v>
      </x:c>
      <x:c r="J27" s="16" t="str">
        <x:v>One of La Raza hospitals, inaugurated with complex. Excluded because CMN La Raza is counted as one complex.</x:v>
      </x:c>
      <x:c r="K27" s="16" t="str">
        <x:v>Medium</x:v>
      </x:c>
      <x:c r="L27" s="16" t="str">
        <x:v>Set Include to Yes to count internal hospitals separately.</x:v>
      </x:c>
    </x:row>
    <x:row r="28">
      <x:c r="A28" s="16" t="n">
        <x:v>27</x:v>
      </x:c>
      <x:c r="B28" s="16" t="str">
        <x:v>Hospital de Especialidades Dr. Antonio Fraga Mouret, CMN La Raza</x:v>
      </x:c>
      <x:c r="C28" s="16" t="str">
        <x:v>Specialty hospital</x:v>
      </x:c>
      <x:c r="D28" s="16" t="str">
        <x:v>IMSS public</x:v>
      </x:c>
      <x:c r="E28" s="16" t="str">
        <x:v>Azcapotzalco</x:v>
      </x:c>
      <x:c r="F28" s="18" t="n">
        <x:v>1979</x:v>
      </x:c>
      <x:c r="G28" s="18" t="n">
        <x:v>1970</x:v>
      </x:c>
      <x:c r="H28" s="16" t="str">
        <x:v>No</x:v>
      </x:c>
      <x:c r="I28" s="16" t="str">
        <x:v>https://revistamedica.imss.gob.mx/index.php/revista_medica/article/view/47/187</x:v>
      </x:c>
      <x:c r="J28" s="16" t="str">
        <x:v>La Raza specialty hospital inaugurated in 1979; excluded because CMN La Raza complex is counted.</x:v>
      </x:c>
      <x:c r="K28" s="16" t="str">
        <x:v>High</x:v>
      </x:c>
      <x:c r="L28" s="16" t="str">
        <x:v>Set Include to Yes to count internal hospitals separately.</x:v>
      </x:c>
    </x:row>
    <x:row r="29">
      <x:c r="A29" s="16" t="n">
        <x:v>28</x:v>
      </x:c>
      <x:c r="B29" s="16" t="str">
        <x:v>Hospital Pediátrico Iztacalco</x:v>
      </x:c>
      <x:c r="C29" s="16" t="str">
        <x:v>Pediatric hospital</x:v>
      </x:c>
      <x:c r="D29" s="16" t="str">
        <x:v>CDMX public</x:v>
      </x:c>
      <x:c r="E29" s="16" t="str">
        <x:v>Iztacalco</x:v>
      </x:c>
      <x:c r="F29" s="18" t="n">
        <x:v>1966</x:v>
      </x:c>
      <x:c r="G29" s="18" t="n">
        <x:v>1960</x:v>
      </x:c>
      <x:c r="H29" s="16" t="str">
        <x:v>Yes</x:v>
      </x:c>
      <x:c r="I29" s="16" t="str">
        <x:v>https://www.salud.cdmx.gob.mx/secretaria/estructura</x:v>
      </x:c>
      <x:c r="J29" s="16" t="str">
        <x:v>SEDESA structure lists Hospital Pediátrico Iztacalco; anniversary posts suggest mid-1960s.</x:v>
      </x:c>
      <x:c r="K29" s="16" t="str">
        <x:v>Low</x:v>
      </x:c>
      <x:c r="L29" s="16" t="str">
        <x:v>Verify exact year.</x:v>
      </x:c>
    </x:row>
    <x:row r="30">
      <x:c r="A30" s="16" t="n">
        <x:v>29</x:v>
      </x:c>
      <x:c r="B30" s="16" t="str">
        <x:v>Hospital General Regional No. 2 Villa Coapa / IMSS</x:v>
      </x:c>
      <x:c r="C30" s="16" t="str">
        <x:v>General hospital</x:v>
      </x:c>
      <x:c r="D30" s="16" t="str">
        <x:v>IMSS public</x:v>
      </x:c>
      <x:c r="E30" s="16" t="str">
        <x:v>Tlalpan</x:v>
      </x:c>
      <x:c r="F30" s="18" t="n">
        <x:v>1980</x:v>
      </x:c>
      <x:c r="G30" s="18" t="n">
        <x:v>1980</x:v>
      </x:c>
      <x:c r="H30" s="16" t="str">
        <x:v>Yes</x:v>
      </x:c>
      <x:c r="I30" s="16" t="str">
        <x:v>https://www.imss.gob.mx/</x:v>
      </x:c>
      <x:c r="J30" s="16" t="str">
        <x:v>IMSS hospital-level facility; opening year needs verification.</x:v>
      </x:c>
      <x:c r="K30" s="16" t="str">
        <x:v>Low</x:v>
      </x:c>
      <x:c r="L30" s="16" t="str">
        <x:v>Included as low-confidence current hospital.</x:v>
      </x:c>
    </x:row>
    <x:row r="31">
      <x:c r="A31" s="16" t="n">
        <x:v>30</x:v>
      </x:c>
      <x:c r="B31" s="16" t="str">
        <x:v>Instituto Nacional de Enfermedades Respiratorias Ismael Cosío Villegas</x:v>
      </x:c>
      <x:c r="C31" s="16" t="str">
        <x:v>National institute / hospital</x:v>
      </x:c>
      <x:c r="D31" s="16" t="str">
        <x:v>Federal public</x:v>
      </x:c>
      <x:c r="E31" s="16" t="str">
        <x:v>Tlalpan</x:v>
      </x:c>
      <x:c r="F31" s="18" t="n">
        <x:v>1936</x:v>
      </x:c>
      <x:c r="G31" s="18" t="n">
        <x:v>1930</x:v>
      </x:c>
      <x:c r="H31" s="16" t="str">
        <x:v>Yes</x:v>
      </x:c>
      <x:c r="I31" s="16" t="str">
        <x:v>https://www.iner.salud.gob.mx/</x:v>
      </x:c>
      <x:c r="J31" s="16" t="str">
        <x:v>Institution history generally traces origin to 1936 tuberculosis sanatorium.</x:v>
      </x:c>
      <x:c r="K31" s="16" t="str">
        <x:v>Medium</x:v>
      </x:c>
      <x:c r="L31" s="16" t="str">
        <x:v>Use institutional origin; verify current-campus continuity.</x:v>
      </x:c>
    </x:row>
    <x:row r="32">
      <x:c r="A32" s="16" t="n">
        <x:v>31</x:v>
      </x:c>
      <x:c r="B32" s="16" t="str">
        <x:v>Instituto Nacional de Ciencias Médicas y Nutrición Salvador Zubirán</x:v>
      </x:c>
      <x:c r="C32" s="16" t="str">
        <x:v>National institute / hospital</x:v>
      </x:c>
      <x:c r="D32" s="16" t="str">
        <x:v>Federal public</x:v>
      </x:c>
      <x:c r="E32" s="16" t="str">
        <x:v>Tlalpan</x:v>
      </x:c>
      <x:c r="F32" s="18" t="n">
        <x:v>1946</x:v>
      </x:c>
      <x:c r="G32" s="18" t="n">
        <x:v>1940</x:v>
      </x:c>
      <x:c r="H32" s="16" t="str">
        <x:v>Yes</x:v>
      </x:c>
      <x:c r="I32" s="16" t="str">
        <x:v>https://incmnsz.mx/opencms/contenido/conoce/historia_instituto.html</x:v>
      </x:c>
      <x:c r="J32" s="16" t="str">
        <x:v>Official history says inaugurated Oct. 12, 1946.</x:v>
      </x:c>
      <x:c r="K32" s="16" t="str">
        <x:v>High</x:v>
      </x:c>
      <x:c r="L32" s="16" t="str">
        <x:v>Founding location was not necessarily current Tlalpan campus; caveat for spatial history.</x:v>
      </x:c>
    </x:row>
    <x:row r="33">
      <x:c r="A33" s="16" t="n">
        <x:v>32</x:v>
      </x:c>
      <x:c r="B33" s="16" t="str">
        <x:v>Instituto Nacional de Cancerología</x:v>
      </x:c>
      <x:c r="C33" s="16" t="str">
        <x:v>National institute / hospital</x:v>
      </x:c>
      <x:c r="D33" s="16" t="str">
        <x:v>Federal public</x:v>
      </x:c>
      <x:c r="E33" s="16" t="str">
        <x:v>Tlalpan</x:v>
      </x:c>
      <x:c r="F33" s="18" t="n">
        <x:v>1946</x:v>
      </x:c>
      <x:c r="G33" s="18" t="n">
        <x:v>1940</x:v>
      </x:c>
      <x:c r="H33" s="16" t="str">
        <x:v>Yes</x:v>
      </x:c>
      <x:c r="I33" s="16" t="str">
        <x:v>https://www.gob.mx/salud/en/articulos/instituto-de-cancerologia-incan-es-el-centro-oncologico-mejor-equipado-de-america-latina</x:v>
      </x:c>
      <x:c r="J33" s="16" t="str">
        <x:v>Gob.mx notes INCan was born by decree on Nov. 25, 1946.</x:v>
      </x:c>
      <x:c r="K33" s="16" t="str">
        <x:v>High</x:v>
      </x:c>
      <x:c r="L33" s="16" t="str">
        <x:v>Founding year used; verify current-campus opening for strict spatial history.</x:v>
      </x:c>
    </x:row>
    <x:row r="34">
      <x:c r="A34" s="16" t="n">
        <x:v>33</x:v>
      </x:c>
      <x:c r="B34" s="16" t="str">
        <x:v>Instituto Nacional de Cardiología Ignacio Chávez</x:v>
      </x:c>
      <x:c r="C34" s="16" t="str">
        <x:v>National institute / hospital</x:v>
      </x:c>
      <x:c r="D34" s="16" t="str">
        <x:v>Federal public</x:v>
      </x:c>
      <x:c r="E34" s="16" t="str">
        <x:v>Tlalpan</x:v>
      </x:c>
      <x:c r="F34" s="18" t="n">
        <x:v>1944</x:v>
      </x:c>
      <x:c r="G34" s="18" t="n">
        <x:v>1940</x:v>
      </x:c>
      <x:c r="H34" s="16" t="str">
        <x:v>Yes</x:v>
      </x:c>
      <x:c r="I34" s="16" t="str">
        <x:v>https://pubmed.ncbi.nlm.nih.gov/39622018/</x:v>
      </x:c>
      <x:c r="J34" s="16" t="str">
        <x:v>PubMed abstract states the institute was inaugurated Apr. 18, 1944.</x:v>
      </x:c>
      <x:c r="K34" s="16" t="str">
        <x:v>High</x:v>
      </x:c>
      <x:c r="L34" s="16" t="str">
        <x:v>Original site was Colonia Doctores; current Tlalpan campus later. Caveat.</x:v>
      </x:c>
    </x:row>
    <x:row r="35">
      <x:c r="A35" s="16" t="n">
        <x:v>34</x:v>
      </x:c>
      <x:c r="B35" s="16" t="str">
        <x:v>Instituto Nacional de Neurología y Neurocirugía Manuel Velasco Suárez</x:v>
      </x:c>
      <x:c r="C35" s="16" t="str">
        <x:v>National institute / hospital</x:v>
      </x:c>
      <x:c r="D35" s="16" t="str">
        <x:v>Federal public</x:v>
      </x:c>
      <x:c r="E35" s="16" t="str">
        <x:v>Tlalpan</x:v>
      </x:c>
      <x:c r="F35" s="18" t="n">
        <x:v>1964</x:v>
      </x:c>
      <x:c r="G35" s="18" t="n">
        <x:v>1960</x:v>
      </x:c>
      <x:c r="H35" s="16" t="str">
        <x:v>Yes</x:v>
      </x:c>
      <x:c r="I35" s="16" t="str">
        <x:v>https://dialnet.unirioja.es/servlet/articulo?codigo=4383036</x:v>
      </x:c>
      <x:c r="J35" s="16" t="str">
        <x:v>Historical article states inauguration on Feb. 28, 1964 in Tlalpan.</x:v>
      </x:c>
      <x:c r="K35" s="16" t="str">
        <x:v>High</x:v>
      </x:c>
      <x:c r="L35" s="16" t="str">
        <x:v>Current-location opening date.</x:v>
      </x:c>
    </x:row>
    <x:row r="36">
      <x:c r="A36" s="16" t="n">
        <x:v>35</x:v>
      </x:c>
      <x:c r="B36" s="16" t="str">
        <x:v>Instituto Nacional de Psiquiatría Ramón de la Fuente Muñiz</x:v>
      </x:c>
      <x:c r="C36" s="16" t="str">
        <x:v>National institute / hospital</x:v>
      </x:c>
      <x:c r="D36" s="16" t="str">
        <x:v>Federal public</x:v>
      </x:c>
      <x:c r="E36" s="16" t="str">
        <x:v>Tlalpan</x:v>
      </x:c>
      <x:c r="F36" s="18" t="n">
        <x:v>1979</x:v>
      </x:c>
      <x:c r="G36" s="18" t="n">
        <x:v>1970</x:v>
      </x:c>
      <x:c r="H36" s="16" t="str">
        <x:v>Yes</x:v>
      </x:c>
      <x:c r="I36" s="16" t="str">
        <x:v>https://www.inprf.gob.mx/</x:v>
      </x:c>
      <x:c r="J36" s="16" t="str">
        <x:v>Institutional history dates creation to 1979.</x:v>
      </x:c>
      <x:c r="K36" s="16" t="str">
        <x:v>Medium</x:v>
      </x:c>
      <x:c r="L36" s="16" t="str">
        <x:v>Verify whether to classify as hospital for your access metric.</x:v>
      </x:c>
    </x:row>
    <x:row r="37">
      <x:c r="A37" s="16" t="n">
        <x:v>36</x:v>
      </x:c>
      <x:c r="B37" s="16" t="str">
        <x:v>Hospital General Ajusco Medio Dra. Obdulia Rodríguez Rodríguez</x:v>
      </x:c>
      <x:c r="C37" s="16" t="str">
        <x:v>General hospital</x:v>
      </x:c>
      <x:c r="D37" s="16" t="str">
        <x:v>CDMX public</x:v>
      </x:c>
      <x:c r="E37" s="16" t="str">
        <x:v>Tlalpan</x:v>
      </x:c>
      <x:c r="F37" s="18" t="n">
        <x:v>2010</x:v>
      </x:c>
      <x:c r="G37" s="18" t="n">
        <x:v>2010</x:v>
      </x:c>
      <x:c r="H37" s="16" t="str">
        <x:v>Yes</x:v>
      </x:c>
      <x:c r="I37" s="16" t="str">
        <x:v>https://www.facebook.com/SSaludCdMx/posts/el-hospital-general-ajusco-medio-dra-obdulia-rodr%C3%ADguez-rodr%C3%ADguez-celebra-su-1%EF%B8%8F%E2%83%A34/829659462527583/</x:v>
      </x:c>
      <x:c r="J37" s="16" t="str">
        <x:v>2024 anniversary posts suggest 14 years, implying 2010 opening.</x:v>
      </x:c>
      <x:c r="K37" s="16" t="str">
        <x:v>Low</x:v>
      </x:c>
      <x:c r="L37" s="16" t="str">
        <x:v>Social-media source; verify with SEDESA.</x:v>
      </x:c>
    </x:row>
    <x:row r="38">
      <x:c r="A38" s="16" t="n">
        <x:v>37</x:v>
      </x:c>
      <x:c r="B38" s="16" t="str">
        <x:v>Hospital General Iztapalapa Dr. Juan Ramón de la Fuente</x:v>
      </x:c>
      <x:c r="C38" s="16" t="str">
        <x:v>General hospital</x:v>
      </x:c>
      <x:c r="D38" s="16" t="str">
        <x:v>CDMX public</x:v>
      </x:c>
      <x:c r="E38" s="16" t="str">
        <x:v>Iztapalapa</x:v>
      </x:c>
      <x:c r="F38" s="18" t="n">
        <x:v>1986</x:v>
      </x:c>
      <x:c r="G38" s="18" t="n">
        <x:v>1980</x:v>
      </x:c>
      <x:c r="H38" s="16" t="str">
        <x:v>Yes</x:v>
      </x:c>
      <x:c r="I38" s="16" t="str">
        <x:v>https://www.studocu.com/es-mx/document/universidad-nacional-autonoma-de-mexico/enfermeria-clinica/antecedentes-historicos/108280165</x:v>
      </x:c>
      <x:c r="J38" s="16" t="str">
        <x:v>Historical notes link origin to post-1985 earthquake hospital response.</x:v>
      </x:c>
      <x:c r="K38" s="16" t="str">
        <x:v>Low</x:v>
      </x:c>
      <x:c r="L38" s="16" t="str">
        <x:v>Secondary source; verify exact inauguration year.</x:v>
      </x:c>
    </x:row>
    <x:row r="39">
      <x:c r="A39" s="16" t="n">
        <x:v>38</x:v>
      </x:c>
      <x:c r="B39" s="16" t="str">
        <x:v>Hospital de Especialidades Dr. Belisario Domínguez</x:v>
      </x:c>
      <x:c r="C39" s="16" t="str">
        <x:v>Specialty hospital</x:v>
      </x:c>
      <x:c r="D39" s="16" t="str">
        <x:v>CDMX public</x:v>
      </x:c>
      <x:c r="E39" s="16" t="str">
        <x:v>Iztapalapa</x:v>
      </x:c>
      <x:c r="F39" s="18" t="n">
        <x:v>2005</x:v>
      </x:c>
      <x:c r="G39" s="18" t="n">
        <x:v>2000</x:v>
      </x:c>
      <x:c r="H39" s="16" t="str">
        <x:v>Yes</x:v>
      </x:c>
      <x:c r="I39" s="16" t="str">
        <x:v>https://www.salud.cdmx.gob.mx/conoce-mas/aniversarios/hace-16-anos-nace-el-hospital-de-especialidades-dr-belisario-dominguez-primero-de-su-tipo-de-la-red-de-salud-de-la-ciudad-de-mexico</x:v>
      </x:c>
      <x:c r="J39" s="16" t="str">
        <x:v>SEDESA anniversary page states it was inaugurated 16 years before the page date; secondary sources give 2005.</x:v>
      </x:c>
      <x:c r="K39" s="16" t="str">
        <x:v>High</x:v>
      </x:c>
      <x:c r="L39" s="16" t="str">
        <x:v>Major specialty hospital.</x:v>
      </x:c>
    </x:row>
    <x:row r="40">
      <x:c r="A40" s="16" t="n">
        <x:v>39</x:v>
      </x:c>
      <x:c r="B40" s="16" t="str">
        <x:v>Hospital General Regional No. 25 IMSS Zaragoza</x:v>
      </x:c>
      <x:c r="C40" s="16" t="str">
        <x:v>General hospital</x:v>
      </x:c>
      <x:c r="D40" s="16" t="str">
        <x:v>IMSS public</x:v>
      </x:c>
      <x:c r="E40" s="16" t="str">
        <x:v>Iztapalapa</x:v>
      </x:c>
      <x:c r="F40" s="18" t="n">
        <x:v>1973</x:v>
      </x:c>
      <x:c r="G40" s="18" t="n">
        <x:v>1970</x:v>
      </x:c>
      <x:c r="H40" s="16" t="str">
        <x:v>Yes</x:v>
      </x:c>
      <x:c r="I40" s="16" t="str">
        <x:v>https://www.imss.gob.mx/</x:v>
      </x:c>
      <x:c r="J40" s="16" t="str">
        <x:v>IMSS hospital-level facility; year from directories/history.</x:v>
      </x:c>
      <x:c r="K40" s="16" t="str">
        <x:v>Low</x:v>
      </x:c>
      <x:c r="L40" s="16" t="str">
        <x:v>Verify exact inauguration year.</x:v>
      </x:c>
    </x:row>
    <x:row r="41">
      <x:c r="A41" s="16" t="n">
        <x:v>40</x:v>
      </x:c>
      <x:c r="B41" s="16" t="str">
        <x:v>Hospital General Balbuena</x:v>
      </x:c>
      <x:c r="C41" s="16" t="str">
        <x:v>General / trauma hospital</x:v>
      </x:c>
      <x:c r="D41" s="16" t="str">
        <x:v>CDMX public</x:v>
      </x:c>
      <x:c r="E41" s="16" t="str">
        <x:v>Venustiano Carranza</x:v>
      </x:c>
      <x:c r="F41" s="18" t="n">
        <x:v>1962</x:v>
      </x:c>
      <x:c r="G41" s="18" t="n">
        <x:v>1960</x:v>
      </x:c>
      <x:c r="H41" s="16" t="str">
        <x:v>Yes</x:v>
      </x:c>
      <x:c r="I41" s="16" t="str">
        <x:v>https://www.scielo.org.mx/scielo.php?pid=S1405-00992019000200120&amp;script=sci_arttext</x:v>
      </x:c>
      <x:c r="J41" s="16" t="str">
        <x:v>Scielo article says President López Mateos inaugurated it Apr. 24, 1962.</x:v>
      </x:c>
      <x:c r="K41" s="16" t="str">
        <x:v>High</x:v>
      </x:c>
      <x:c r="L41" s="16" t="str">
        <x:v>Major trauma/general hospital.</x:v>
      </x:c>
    </x:row>
    <x:row r="42">
      <x:c r="A42" s="16" t="n">
        <x:v>41</x:v>
      </x:c>
      <x:c r="B42" s="16" t="str">
        <x:v>Hospital Pediátrico Moctezuma</x:v>
      </x:c>
      <x:c r="C42" s="16" t="str">
        <x:v>Pediatric hospital</x:v>
      </x:c>
      <x:c r="D42" s="16" t="str">
        <x:v>CDMX public</x:v>
      </x:c>
      <x:c r="E42" s="16" t="str">
        <x:v>Venustiano Carranza</x:v>
      </x:c>
      <x:c r="F42" s="18" t="n">
        <x:v>1961</x:v>
      </x:c>
      <x:c r="G42" s="18" t="n">
        <x:v>1960</x:v>
      </x:c>
      <x:c r="H42" s="16" t="str">
        <x:v>Yes</x:v>
      </x:c>
      <x:c r="I42" s="16" t="str">
        <x:v>https://hpmoctezuma.wixsite.com/hpmoctezuma</x:v>
      </x:c>
      <x:c r="J42" s="16" t="str">
        <x:v>Hospital page says inaugurated Mar. 8, 1961.</x:v>
      </x:c>
      <x:c r="K42" s="16" t="str">
        <x:v>Medium</x:v>
      </x:c>
      <x:c r="L42" s="16" t="str">
        <x:v>Hospital-level pediatric facility.</x:v>
      </x:c>
    </x:row>
    <x:row r="43">
      <x:c r="A43" s="16" t="n">
        <x:v>42</x:v>
      </x:c>
      <x:c r="B43" s="16" t="str">
        <x:v>Hospital General Ticomán</x:v>
      </x:c>
      <x:c r="C43" s="16" t="str">
        <x:v>General hospital</x:v>
      </x:c>
      <x:c r="D43" s="16" t="str">
        <x:v>CDMX public</x:v>
      </x:c>
      <x:c r="E43" s="16" t="str">
        <x:v>Gustavo A. Madero</x:v>
      </x:c>
      <x:c r="F43" s="18" t="n">
        <x:v>1970</x:v>
      </x:c>
      <x:c r="G43" s="18" t="n">
        <x:v>1970</x:v>
      </x:c>
      <x:c r="H43" s="16" t="str">
        <x:v>Yes</x:v>
      </x:c>
      <x:c r="I43" s="16" t="str">
        <x:v>https://www.salud.cdmx.gob.mx/secretaria/estructura</x:v>
      </x:c>
      <x:c r="J43" s="16" t="str">
        <x:v>SEDESA structure lists hospital; exact opening year from institutional histories.</x:v>
      </x:c>
      <x:c r="K43" s="16" t="str">
        <x:v>Low</x:v>
      </x:c>
      <x:c r="L43" s="16" t="str">
        <x:v>Verify exact inauguration year.</x:v>
      </x:c>
    </x:row>
    <x:row r="44">
      <x:c r="A44" s="16" t="n">
        <x:v>43</x:v>
      </x:c>
      <x:c r="B44" s="16" t="str">
        <x:v>Hospital Materno Infantil Inguarán</x:v>
      </x:c>
      <x:c r="C44" s="16" t="str">
        <x:v>Maternal/child hospital</x:v>
      </x:c>
      <x:c r="D44" s="16" t="str">
        <x:v>CDMX public</x:v>
      </x:c>
      <x:c r="E44" s="16" t="str">
        <x:v>Gustavo A. Madero</x:v>
      </x:c>
      <x:c r="F44" s="18" t="n">
        <x:v>1960</x:v>
      </x:c>
      <x:c r="G44" s="18" t="n">
        <x:v>1960</x:v>
      </x:c>
      <x:c r="H44" s="16" t="str">
        <x:v>Yes</x:v>
      </x:c>
      <x:c r="I44" s="16" t="str">
        <x:v>https://www.salud.cdmx.gob.mx/secretaria/estructura</x:v>
      </x:c>
      <x:c r="J44" s="16" t="str">
        <x:v>SEDESA structure/health-system references; opening year not fully verified.</x:v>
      </x:c>
      <x:c r="K44" s="16" t="str">
        <x:v>Low</x:v>
      </x:c>
      <x:c r="L44" s="16" t="str">
        <x:v>Verify exact year.</x:v>
      </x:c>
    </x:row>
    <x:row r="45">
      <x:c r="A45" s="16" t="n">
        <x:v>44</x:v>
      </x:c>
      <x:c r="B45" s="16" t="str">
        <x:v>Hospital Materno Infantil Tláhuac</x:v>
      </x:c>
      <x:c r="C45" s="16" t="str">
        <x:v>Maternal/child hospital</x:v>
      </x:c>
      <x:c r="D45" s="16" t="str">
        <x:v>CDMX public</x:v>
      </x:c>
      <x:c r="E45" s="16" t="str">
        <x:v>Tláhuac</x:v>
      </x:c>
      <x:c r="F45" s="18" t="n">
        <x:v>1999</x:v>
      </x:c>
      <x:c r="G45" s="18" t="n">
        <x:v>1990</x:v>
      </x:c>
      <x:c r="H45" s="16" t="str">
        <x:v>Yes</x:v>
      </x:c>
      <x:c r="I45" s="16" t="str">
        <x:v>https://www.salud.cdmx.gob.mx/secretaria/estructura</x:v>
      </x:c>
      <x:c r="J45" s="16" t="str">
        <x:v>SEDESA structure lists maternal-child hospital; year from directories/histories.</x:v>
      </x:c>
      <x:c r="K45" s="16" t="str">
        <x:v>Low</x:v>
      </x:c>
      <x:c r="L45" s="16" t="str">
        <x:v>Verify exact year.</x:v>
      </x:c>
    </x:row>
    <x:row r="46">
      <x:c r="A46" s="16" t="n">
        <x:v>45</x:v>
      </x:c>
      <x:c r="B46" s="16" t="str">
        <x:v>Hospital General de Tláhuac Dra. Matilde Petra Montoya Lafragua</x:v>
      </x:c>
      <x:c r="C46" s="16" t="str">
        <x:v>General hospital</x:v>
      </x:c>
      <x:c r="D46" s="16" t="str">
        <x:v>CDMX public</x:v>
      </x:c>
      <x:c r="E46" s="16" t="str">
        <x:v>Tláhuac</x:v>
      </x:c>
      <x:c r="F46" s="18" t="n">
        <x:v>2010</x:v>
      </x:c>
      <x:c r="G46" s="18" t="n">
        <x:v>2010</x:v>
      </x:c>
      <x:c r="H46" s="16" t="str">
        <x:v>Yes</x:v>
      </x:c>
      <x:c r="I46" s="16" t="str">
        <x:v>https://www.salud.cdmx.gob.mx/secretaria/estructura</x:v>
      </x:c>
      <x:c r="J46" s="16" t="str">
        <x:v>SEDESA structure lists Hospital General de Tláhuac; opening year needs verification.</x:v>
      </x:c>
      <x:c r="K46" s="16" t="str">
        <x:v>Low</x:v>
      </x:c>
      <x:c r="L46" s="16" t="str">
        <x:v>Verify exact inauguration year.</x:v>
      </x:c>
    </x:row>
    <x:row r="47">
      <x:c r="A47" s="16" t="n">
        <x:v>46</x:v>
      </x:c>
      <x:c r="B47" s="16" t="str">
        <x:v>Hospital General de Milpa Alta</x:v>
      </x:c>
      <x:c r="C47" s="16" t="str">
        <x:v>General hospital</x:v>
      </x:c>
      <x:c r="D47" s="16" t="str">
        <x:v>CDMX public</x:v>
      </x:c>
      <x:c r="E47" s="16" t="str">
        <x:v>Milpa Alta</x:v>
      </x:c>
      <x:c r="F47" s="18" t="n">
        <x:v>1996</x:v>
      </x:c>
      <x:c r="G47" s="18" t="n">
        <x:v>1990</x:v>
      </x:c>
      <x:c r="H47" s="16" t="str">
        <x:v>Yes</x:v>
      </x:c>
      <x:c r="I47" s="16" t="str">
        <x:v>https://www.salud.cdmx.gob.mx/secretaria/estructura</x:v>
      </x:c>
      <x:c r="J47" s="16" t="str">
        <x:v>SEDESA structure lists Hospital General de Milpa Alta; year from directories/histories.</x:v>
      </x:c>
      <x:c r="K47" s="16" t="str">
        <x:v>Low</x:v>
      </x:c>
      <x:c r="L47" s="16" t="str">
        <x:v>Verify exact inauguration year.</x:v>
      </x:c>
    </x:row>
    <x:row r="48">
      <x:c r="A48" s="16" t="n">
        <x:v>47</x:v>
      </x:c>
      <x:c r="B48" s="16" t="str">
        <x:v>Hospital Materno Infantil Milpa Alta</x:v>
      </x:c>
      <x:c r="C48" s="16" t="str">
        <x:v>Maternal/child hospital</x:v>
      </x:c>
      <x:c r="D48" s="16" t="str">
        <x:v>CDMX public</x:v>
      </x:c>
      <x:c r="E48" s="16" t="str">
        <x:v>Milpa Alta</x:v>
      </x:c>
      <x:c r="F48" s="18" t="n">
        <x:v>1983</x:v>
      </x:c>
      <x:c r="G48" s="18" t="n">
        <x:v>1980</x:v>
      </x:c>
      <x:c r="H48" s="16" t="str">
        <x:v>Yes</x:v>
      </x:c>
      <x:c r="I48" s="16" t="str">
        <x:v>https://www.salud.cdmx.gob.mx/secretaria/estructura</x:v>
      </x:c>
      <x:c r="J48" s="16" t="str">
        <x:v>SEDESA structure lists hospital network; year from directories/histories.</x:v>
      </x:c>
      <x:c r="K48" s="16" t="str">
        <x:v>Low</x:v>
      </x:c>
      <x:c r="L48" s="16" t="str">
        <x:v>Verify exact inauguration year.</x:v>
      </x:c>
    </x:row>
    <x:row r="49">
      <x:c r="A49" s="16" t="n">
        <x:v>48</x:v>
      </x:c>
      <x:c r="B49" s="16" t="str">
        <x:v>Hospital Materno Pediátrico Xochimilco</x:v>
      </x:c>
      <x:c r="C49" s="16" t="str">
        <x:v>Maternal/child hospital</x:v>
      </x:c>
      <x:c r="D49" s="16" t="str">
        <x:v>CDMX public</x:v>
      </x:c>
      <x:c r="E49" s="16" t="str">
        <x:v>Xochimilco</x:v>
      </x:c>
      <x:c r="F49" s="18" t="n">
        <x:v>1977</x:v>
      </x:c>
      <x:c r="G49" s="18" t="n">
        <x:v>1970</x:v>
      </x:c>
      <x:c r="H49" s="16" t="str">
        <x:v>Yes</x:v>
      </x:c>
      <x:c r="I49" s="16" t="str">
        <x:v>https://www.salud.cdmx.gob.mx/secretaria/estructura</x:v>
      </x:c>
      <x:c r="J49" s="16" t="str">
        <x:v>SEDESA structure lists hospital; year from institutional histories.</x:v>
      </x:c>
      <x:c r="K49" s="16" t="str">
        <x:v>Low</x:v>
      </x:c>
      <x:c r="L49" s="16" t="str">
        <x:v>Verify exact year.</x:v>
      </x:c>
    </x:row>
    <x:row r="50">
      <x:c r="A50" s="16" t="n">
        <x:v>49</x:v>
      </x:c>
      <x:c r="B50" s="16" t="str">
        <x:v>Hospital General de Xochimilco</x:v>
      </x:c>
      <x:c r="C50" s="16" t="str">
        <x:v>General hospital</x:v>
      </x:c>
      <x:c r="D50" s="16" t="str">
        <x:v>CDMX public</x:v>
      </x:c>
      <x:c r="E50" s="16" t="str">
        <x:v>Xochimilco</x:v>
      </x:c>
      <x:c r="F50" s="18" t="n">
        <x:v>2024</x:v>
      </x:c>
      <x:c r="G50" s="18" t="n">
        <x:v>2020</x:v>
      </x:c>
      <x:c r="H50" s="16" t="str">
        <x:v>Yes</x:v>
      </x:c>
      <x:c r="I50" s="16" t="str">
        <x:v>https://www.salud.cdmx.gob.mx/</x:v>
      </x:c>
      <x:c r="J50" s="16" t="str">
        <x:v>Newer hospital; included in catalog but not counted before 2020 decade if year &gt; 2020.</x:v>
      </x:c>
      <x:c r="K50" s="16" t="str">
        <x:v>Low</x:v>
      </x:c>
      <x:c r="L50" s="16" t="str">
        <x:v>If only analyzing through 2020, it does not affect metrics.</x:v>
      </x:c>
    </x:row>
    <x:row r="51">
      <x:c r="A51" s="16" t="n">
        <x:v>50</x:v>
      </x:c>
      <x:c r="B51" s="16" t="str">
        <x:v>Hospital Ángeles Pedregal</x:v>
      </x:c>
      <x:c r="C51" s="16" t="str">
        <x:v>General hospital</x:v>
      </x:c>
      <x:c r="D51" s="16" t="str">
        <x:v>Private</x:v>
      </x:c>
      <x:c r="E51" s="16" t="str">
        <x:v>La Magdalena Contreras</x:v>
      </x:c>
      <x:c r="F51" s="18" t="n">
        <x:v>1996</x:v>
      </x:c>
      <x:c r="G51" s="18" t="n">
        <x:v>1990</x:v>
      </x:c>
      <x:c r="H51" s="16" t="str">
        <x:v>Yes</x:v>
      </x:c>
      <x:c r="I51" s="16" t="str">
        <x:v>https://hospitalesangeles.com/pedregal/</x:v>
      </x:c>
      <x:c r="J51" s="16" t="str">
        <x:v>Private hospital; opening year from institutional history/directories.</x:v>
      </x:c>
      <x:c r="K51" s="16" t="str">
        <x:v>Low</x:v>
      </x:c>
      <x:c r="L51" s="16" t="str">
        <x:v>Verify exact location/year; included as current hospital-level institution.</x:v>
      </x:c>
    </x:row>
    <x:row r="52">
      <x:c r="A52" s="16" t="n">
        <x:v>51</x:v>
      </x:c>
      <x:c r="B52" s="16" t="str">
        <x:v>Hospital Materno Infantil Dr. Nicolás M. Cedillo</x:v>
      </x:c>
      <x:c r="C52" s="16" t="str">
        <x:v>Maternal/child hospital</x:v>
      </x:c>
      <x:c r="D52" s="16" t="str">
        <x:v>CDMX public</x:v>
      </x:c>
      <x:c r="E52" s="16" t="str">
        <x:v>La Magdalena Contreras</x:v>
      </x:c>
      <x:c r="F52" s="18" t="n">
        <x:v>1982</x:v>
      </x:c>
      <x:c r="G52" s="18" t="n">
        <x:v>1980</x:v>
      </x:c>
      <x:c r="H52" s="16" t="str">
        <x:v>Yes</x:v>
      </x:c>
      <x:c r="I52" s="16" t="str">
        <x:v>https://www.salud.cdmx.gob.mx/secretaria/estructura</x:v>
      </x:c>
      <x:c r="J52" s="16" t="str">
        <x:v>SEDESA structure lists hospital; opening year from directories/histories.</x:v>
      </x:c>
      <x:c r="K52" s="16" t="str">
        <x:v>Low</x:v>
      </x:c>
      <x:c r="L52" s="16" t="str">
        <x:v>Verify exact year.</x:v>
      </x:c>
    </x:row>
    <x:row r="53">
      <x:c r="A53" s="16" t="n">
        <x:v>52</x:v>
      </x:c>
      <x:c r="B53" s="16" t="str">
        <x:v>Hospital General Topilejo</x:v>
      </x:c>
      <x:c r="C53" s="16" t="str">
        <x:v>General hospital</x:v>
      </x:c>
      <x:c r="D53" s="16" t="str">
        <x:v>CDMX public</x:v>
      </x:c>
      <x:c r="E53" s="16" t="str">
        <x:v>Tlalpan</x:v>
      </x:c>
      <x:c r="F53" s="18" t="n">
        <x:v>2021</x:v>
      </x:c>
      <x:c r="G53" s="18" t="n">
        <x:v>2020</x:v>
      </x:c>
      <x:c r="H53" s="16" t="str">
        <x:v>Yes</x:v>
      </x:c>
      <x:c r="I53" s="16" t="str">
        <x:v>https://www.salud.cdmx.gob.mx/secretaria/estructura</x:v>
      </x:c>
      <x:c r="J53" s="16" t="str">
        <x:v>SEDESA structure lists Hospital General Topilejo; opened after the 2020 census period.</x:v>
      </x:c>
      <x:c r="K53" s="16" t="str">
        <x:v>Low</x:v>
      </x:c>
      <x:c r="L53" s="16" t="str">
        <x:v>Included in catalog; does not affect 2020-or-earlier metrics if year &gt; 2020.</x:v>
      </x:c>
    </x:row>
  </x:sheetData>
  <x:pageMargins left="0.7" right="0.7" top="0.75" bottom="0.75" header="0.3" footer="0.3"/>
  <x:tableParts count="1">
    <x:tablePart xmlns:r="http://schemas.openxmlformats.org/officeDocument/2006/relationships" r:id="Rc82c3f62a4ea44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8" hidden="0" customWidth="1"/>
  </x:cols>
  <x:sheetData>
    <x:row r="1">
      <x:c r="A1" s="6" t="str">
        <x:v>Decade</x:v>
      </x:c>
      <x:c r="B1" s="6" t="str">
        <x:v>Alcaldía</x:v>
      </x:c>
      <x:c r="C1" s="6" t="str">
        <x:v>Population</x:v>
      </x:c>
      <x:c r="D1" s="6" t="str">
        <x:v>Cumulative hospital count</x:v>
      </x:c>
      <x:c r="E1" s="6" t="str">
        <x:v>Hospitals per 100k residents</x:v>
      </x:c>
      <x:c r="F1" s="6" t="str">
        <x:v>Cumulative public-sector hospitals</x:v>
      </x:c>
      <x:c r="G1" s="6" t="str">
        <x:v>Public-sector hospitals per 100k</x:v>
      </x:c>
      <x:c r="H1" s="6" t="str">
        <x:v>High/Medium-confidence included hospitals</x:v>
      </x:c>
      <x:c r="I1" s="6" t="str">
        <x:v>High/Medium-confidence per 100k</x:v>
      </x:c>
      <x:c r="J1" s="6" t="str">
        <x:v>Notes</x:v>
      </x:c>
    </x:row>
    <x:row r="2">
      <x:c r="A2" s="16" t="n">
        <x:v>1860</x:v>
      </x:c>
      <x:c r="B2" s="16" t="str">
        <x:v>Álvaro Obregón</x:v>
      </x:c>
      <x:c r="C2" s="20" t="n">
        <x:f>INDEX(Population!$B$2:$R$17,MATCH(B2,Population!$A$2:$A$17,0),MATCH(A2,Population!$B$1:$R$1,0))</x:f>
        <x:v>5363</x:v>
      </x:c>
      <x:c r="D2" s="18" t="n">
        <x:f>COUNTIFS('Hospital Catalog'!$E:$E,B2,'Hospital Catalog'!$F:$F,"&lt;="&amp;A2,'Hospital Catalog'!$H:$H,"Yes")</x:f>
        <x:v>0</x:v>
      </x:c>
      <x:c r="E2" s="22" t="n">
        <x:f>IFERROR(D2/C2*100000,"")</x:f>
        <x:v>0</x:v>
      </x:c>
      <x:c r="F2" s="18" t="n">
        <x:f>COUNTIFS('Hospital Catalog'!$E:$E,B2,'Hospital Catalog'!$F:$F,"&lt;="&amp;A2,'Hospital Catalog'!$H:$H,"Yes",'Hospital Catalog'!$D:$D,"*public*") + COUNTIFS('Hospital Catalog'!$E:$E,B2,'Hospital Catalog'!$F:$F,"&lt;="&amp;A2,'Hospital Catalog'!$H:$H,"Yes",'Hospital Catalog'!$D:$D,"IMSS public") + COUNTIFS('Hospital Catalog'!$E:$E,B2,'Hospital Catalog'!$F:$F,"&lt;="&amp;A2,'Hospital Catalog'!$H:$H,"Yes",'Hospital Catalog'!$D:$D,"ISSSTE public")</x:f>
        <x:v>0</x:v>
      </x:c>
      <x:c r="G2" s="22" t="n">
        <x:f>IFERROR(F2/C2*100000,"")</x:f>
        <x:v>0</x:v>
      </x:c>
      <x:c r="H2" s="18" t="n">
        <x:f>COUNTIFS('Hospital Catalog'!$E:$E,B2,'Hospital Catalog'!$F:$F,"&lt;="&amp;A2,'Hospital Catalog'!$H:$H,"Yes",'Hospital Catalog'!$K:$K,"High") + COUNTIFS('Hospital Catalog'!$E:$E,B2,'Hospital Catalog'!$F:$F,"&lt;="&amp;A2,'Hospital Catalog'!$H:$H,"Yes",'Hospital Catalog'!$K:$K,"Medium")</x:f>
        <x:v>0</x:v>
      </x:c>
      <x:c r="I2" s="22" t="n">
        <x:f>IFERROR(H2/C2*100000,"")</x:f>
        <x:v>0</x:v>
      </x:c>
      <x:c r="J2" s="16" t="str"/>
    </x:row>
    <x:row r="3">
      <x:c r="A3" s="16" t="n">
        <x:v>1860</x:v>
      </x:c>
      <x:c r="B3" s="16" t="str">
        <x:v>Azcapotzalco</x:v>
      </x:c>
      <x:c r="C3" s="20" t="n">
        <x:f>INDEX(Population!$B$2:$R$17,MATCH(B3,Population!$A$2:$A$17,0),MATCH(A3,Population!$B$1:$R$1,0))</x:f>
        <x:v>4916</x:v>
      </x:c>
      <x:c r="D3" s="18" t="n">
        <x:f>COUNTIFS('Hospital Catalog'!$E:$E,B3,'Hospital Catalog'!$F:$F,"&lt;="&amp;A3,'Hospital Catalog'!$H:$H,"Yes")</x:f>
        <x:v>0</x:v>
      </x:c>
      <x:c r="E3" s="22" t="n">
        <x:f>IFERROR(D3/C3*100000,"")</x:f>
        <x:v>0</x:v>
      </x:c>
      <x:c r="F3" s="18" t="n">
        <x:f>COUNTIFS('Hospital Catalog'!$E:$E,B3,'Hospital Catalog'!$F:$F,"&lt;="&amp;A3,'Hospital Catalog'!$H:$H,"Yes",'Hospital Catalog'!$D:$D,"*public*") + COUNTIFS('Hospital Catalog'!$E:$E,B3,'Hospital Catalog'!$F:$F,"&lt;="&amp;A3,'Hospital Catalog'!$H:$H,"Yes",'Hospital Catalog'!$D:$D,"IMSS public") + COUNTIFS('Hospital Catalog'!$E:$E,B3,'Hospital Catalog'!$F:$F,"&lt;="&amp;A3,'Hospital Catalog'!$H:$H,"Yes",'Hospital Catalog'!$D:$D,"ISSSTE public")</x:f>
        <x:v>0</x:v>
      </x:c>
      <x:c r="G3" s="22" t="n">
        <x:f>IFERROR(F3/C3*100000,"")</x:f>
        <x:v>0</x:v>
      </x:c>
      <x:c r="H3" s="18" t="n">
        <x:f>COUNTIFS('Hospital Catalog'!$E:$E,B3,'Hospital Catalog'!$F:$F,"&lt;="&amp;A3,'Hospital Catalog'!$H:$H,"Yes",'Hospital Catalog'!$K:$K,"High") + COUNTIFS('Hospital Catalog'!$E:$E,B3,'Hospital Catalog'!$F:$F,"&lt;="&amp;A3,'Hospital Catalog'!$H:$H,"Yes",'Hospital Catalog'!$K:$K,"Medium")</x:f>
        <x:v>0</x:v>
      </x:c>
      <x:c r="I3" s="22" t="n">
        <x:f>IFERROR(H3/C3*100000,"")</x:f>
        <x:v>0</x:v>
      </x:c>
      <x:c r="J3" s="16" t="str"/>
    </x:row>
    <x:row r="4">
      <x:c r="A4" s="16" t="n">
        <x:v>1860</x:v>
      </x:c>
      <x:c r="B4" s="16" t="str">
        <x:v>Benito Juárez</x:v>
      </x:c>
      <x:c r="C4" s="20" t="n">
        <x:f>INDEX(Population!$B$2:$R$17,MATCH(B4,Population!$A$2:$A$17,0),MATCH(A4,Population!$B$1:$R$1,0))</x:f>
        <x:v>31283</x:v>
      </x:c>
      <x:c r="D4" s="18" t="n">
        <x:f>COUNTIFS('Hospital Catalog'!$E:$E,B4,'Hospital Catalog'!$F:$F,"&lt;="&amp;A4,'Hospital Catalog'!$H:$H,"Yes")</x:f>
        <x:v>0</x:v>
      </x:c>
      <x:c r="E4" s="22" t="n">
        <x:f>IFERROR(D4/C4*100000,"")</x:f>
        <x:v>0</x:v>
      </x:c>
      <x:c r="F4" s="18" t="n">
        <x:f>COUNTIFS('Hospital Catalog'!$E:$E,B4,'Hospital Catalog'!$F:$F,"&lt;="&amp;A4,'Hospital Catalog'!$H:$H,"Yes",'Hospital Catalog'!$D:$D,"*public*") + COUNTIFS('Hospital Catalog'!$E:$E,B4,'Hospital Catalog'!$F:$F,"&lt;="&amp;A4,'Hospital Catalog'!$H:$H,"Yes",'Hospital Catalog'!$D:$D,"IMSS public") + COUNTIFS('Hospital Catalog'!$E:$E,B4,'Hospital Catalog'!$F:$F,"&lt;="&amp;A4,'Hospital Catalog'!$H:$H,"Yes",'Hospital Catalog'!$D:$D,"ISSSTE public")</x:f>
        <x:v>0</x:v>
      </x:c>
      <x:c r="G4" s="22" t="n">
        <x:f>IFERROR(F4/C4*100000,"")</x:f>
        <x:v>0</x:v>
      </x:c>
      <x:c r="H4" s="18" t="n">
        <x:f>COUNTIFS('Hospital Catalog'!$E:$E,B4,'Hospital Catalog'!$F:$F,"&lt;="&amp;A4,'Hospital Catalog'!$H:$H,"Yes",'Hospital Catalog'!$K:$K,"High") + COUNTIFS('Hospital Catalog'!$E:$E,B4,'Hospital Catalog'!$F:$F,"&lt;="&amp;A4,'Hospital Catalog'!$H:$H,"Yes",'Hospital Catalog'!$K:$K,"Medium")</x:f>
        <x:v>0</x:v>
      </x:c>
      <x:c r="I4" s="22" t="n">
        <x:f>IFERROR(H4/C4*100000,"")</x:f>
        <x:v>0</x:v>
      </x:c>
      <x:c r="J4" s="16" t="str"/>
    </x:row>
    <x:row r="5">
      <x:c r="A5" s="16" t="n">
        <x:v>1860</x:v>
      </x:c>
      <x:c r="B5" s="16" t="str">
        <x:v>Coyoacán</x:v>
      </x:c>
      <x:c r="C5" s="20" t="n">
        <x:f>INDEX(Population!$B$2:$R$17,MATCH(B5,Population!$A$2:$A$17,0),MATCH(A5,Population!$B$1:$R$1,0))</x:f>
        <x:v>4022</x:v>
      </x:c>
      <x:c r="D5" s="18" t="n">
        <x:f>COUNTIFS('Hospital Catalog'!$E:$E,B5,'Hospital Catalog'!$F:$F,"&lt;="&amp;A5,'Hospital Catalog'!$H:$H,"Yes")</x:f>
        <x:v>0</x:v>
      </x:c>
      <x:c r="E5" s="22" t="n">
        <x:f>IFERROR(D5/C5*100000,"")</x:f>
        <x:v>0</x:v>
      </x:c>
      <x:c r="F5" s="18" t="n">
        <x:f>COUNTIFS('Hospital Catalog'!$E:$E,B5,'Hospital Catalog'!$F:$F,"&lt;="&amp;A5,'Hospital Catalog'!$H:$H,"Yes",'Hospital Catalog'!$D:$D,"*public*") + COUNTIFS('Hospital Catalog'!$E:$E,B5,'Hospital Catalog'!$F:$F,"&lt;="&amp;A5,'Hospital Catalog'!$H:$H,"Yes",'Hospital Catalog'!$D:$D,"IMSS public") + COUNTIFS('Hospital Catalog'!$E:$E,B5,'Hospital Catalog'!$F:$F,"&lt;="&amp;A5,'Hospital Catalog'!$H:$H,"Yes",'Hospital Catalog'!$D:$D,"ISSSTE public")</x:f>
        <x:v>0</x:v>
      </x:c>
      <x:c r="G5" s="22" t="n">
        <x:f>IFERROR(F5/C5*100000,"")</x:f>
        <x:v>0</x:v>
      </x:c>
      <x:c r="H5" s="18" t="n">
        <x:f>COUNTIFS('Hospital Catalog'!$E:$E,B5,'Hospital Catalog'!$F:$F,"&lt;="&amp;A5,'Hospital Catalog'!$H:$H,"Yes",'Hospital Catalog'!$K:$K,"High") + COUNTIFS('Hospital Catalog'!$E:$E,B5,'Hospital Catalog'!$F:$F,"&lt;="&amp;A5,'Hospital Catalog'!$H:$H,"Yes",'Hospital Catalog'!$K:$K,"Medium")</x:f>
        <x:v>0</x:v>
      </x:c>
      <x:c r="I5" s="22" t="n">
        <x:f>IFERROR(H5/C5*100000,"")</x:f>
        <x:v>0</x:v>
      </x:c>
      <x:c r="J5" s="16" t="str"/>
    </x:row>
    <x:row r="6">
      <x:c r="A6" s="16" t="n">
        <x:v>1860</x:v>
      </x:c>
      <x:c r="B6" s="16" t="str">
        <x:v>Cuajimalpa de Morelos</x:v>
      </x:c>
      <x:c r="C6" s="20" t="n">
        <x:f>INDEX(Population!$B$2:$R$17,MATCH(B6,Population!$A$2:$A$17,0),MATCH(A6,Population!$B$1:$R$1,0))</x:f>
        <x:v>2234</x:v>
      </x:c>
      <x:c r="D6" s="18" t="n">
        <x:f>COUNTIFS('Hospital Catalog'!$E:$E,B6,'Hospital Catalog'!$F:$F,"&lt;="&amp;A6,'Hospital Catalog'!$H:$H,"Yes")</x:f>
        <x:v>0</x:v>
      </x:c>
      <x:c r="E6" s="22" t="n">
        <x:f>IFERROR(D6/C6*100000,"")</x:f>
        <x:v>0</x:v>
      </x:c>
      <x:c r="F6" s="18" t="n">
        <x:f>COUNTIFS('Hospital Catalog'!$E:$E,B6,'Hospital Catalog'!$F:$F,"&lt;="&amp;A6,'Hospital Catalog'!$H:$H,"Yes",'Hospital Catalog'!$D:$D,"*public*") + COUNTIFS('Hospital Catalog'!$E:$E,B6,'Hospital Catalog'!$F:$F,"&lt;="&amp;A6,'Hospital Catalog'!$H:$H,"Yes",'Hospital Catalog'!$D:$D,"IMSS public") + COUNTIFS('Hospital Catalog'!$E:$E,B6,'Hospital Catalog'!$F:$F,"&lt;="&amp;A6,'Hospital Catalog'!$H:$H,"Yes",'Hospital Catalog'!$D:$D,"ISSSTE public")</x:f>
        <x:v>0</x:v>
      </x:c>
      <x:c r="G6" s="22" t="n">
        <x:f>IFERROR(F6/C6*100000,"")</x:f>
        <x:v>0</x:v>
      </x:c>
      <x:c r="H6" s="18" t="n">
        <x:f>COUNTIFS('Hospital Catalog'!$E:$E,B6,'Hospital Catalog'!$F:$F,"&lt;="&amp;A6,'Hospital Catalog'!$H:$H,"Yes",'Hospital Catalog'!$K:$K,"High") + COUNTIFS('Hospital Catalog'!$E:$E,B6,'Hospital Catalog'!$F:$F,"&lt;="&amp;A6,'Hospital Catalog'!$H:$H,"Yes",'Hospital Catalog'!$K:$K,"Medium")</x:f>
        <x:v>0</x:v>
      </x:c>
      <x:c r="I6" s="22" t="n">
        <x:f>IFERROR(H6/C6*100000,"")</x:f>
        <x:v>0</x:v>
      </x:c>
      <x:c r="J6" s="16" t="str"/>
    </x:row>
    <x:row r="7">
      <x:c r="A7" s="16" t="n">
        <x:v>1860</x:v>
      </x:c>
      <x:c r="B7" s="16" t="str">
        <x:v>Cuauhtémoc</x:v>
      </x:c>
      <x:c r="C7" s="20" t="n">
        <x:f>INDEX(Population!$B$2:$R$17,MATCH(B7,Population!$A$2:$A$17,0),MATCH(A7,Population!$B$1:$R$1,0))</x:f>
        <x:v>71503</x:v>
      </x:c>
      <x:c r="D7" s="18" t="n">
        <x:f>COUNTIFS('Hospital Catalog'!$E:$E,B7,'Hospital Catalog'!$F:$F,"&lt;="&amp;A7,'Hospital Catalog'!$H:$H,"Yes")</x:f>
        <x:v>1</x:v>
      </x:c>
      <x:c r="E7" s="22" t="n">
        <x:f>IFERROR(D7/C7*100000,"")</x:f>
        <x:v>1.3985427184873362</x:v>
      </x:c>
      <x:c r="F7" s="18" t="n">
        <x:f>COUNTIFS('Hospital Catalog'!$E:$E,B7,'Hospital Catalog'!$F:$F,"&lt;="&amp;A7,'Hospital Catalog'!$H:$H,"Yes",'Hospital Catalog'!$D:$D,"*public*") + COUNTIFS('Hospital Catalog'!$E:$E,B7,'Hospital Catalog'!$F:$F,"&lt;="&amp;A7,'Hospital Catalog'!$H:$H,"Yes",'Hospital Catalog'!$D:$D,"IMSS public") + COUNTIFS('Hospital Catalog'!$E:$E,B7,'Hospital Catalog'!$F:$F,"&lt;="&amp;A7,'Hospital Catalog'!$H:$H,"Yes",'Hospital Catalog'!$D:$D,"ISSSTE public")</x:f>
        <x:v>0</x:v>
      </x:c>
      <x:c r="G7" s="22" t="n">
        <x:f>IFERROR(F7/C7*100000,"")</x:f>
        <x:v>0</x:v>
      </x:c>
      <x:c r="H7" s="18" t="n">
        <x:f>COUNTIFS('Hospital Catalog'!$E:$E,B7,'Hospital Catalog'!$F:$F,"&lt;="&amp;A7,'Hospital Catalog'!$H:$H,"Yes",'Hospital Catalog'!$K:$K,"High") + COUNTIFS('Hospital Catalog'!$E:$E,B7,'Hospital Catalog'!$F:$F,"&lt;="&amp;A7,'Hospital Catalog'!$H:$H,"Yes",'Hospital Catalog'!$K:$K,"Medium")</x:f>
        <x:v>1</x:v>
      </x:c>
      <x:c r="I7" s="22" t="n">
        <x:f>IFERROR(H7/C7*100000,"")</x:f>
        <x:v>1.3985427184873362</x:v>
      </x:c>
      <x:c r="J7" s="16" t="str"/>
    </x:row>
    <x:row r="8">
      <x:c r="A8" s="16" t="n">
        <x:v>1860</x:v>
      </x:c>
      <x:c r="B8" s="16" t="str">
        <x:v>Gustavo A. Madero</x:v>
      </x:c>
      <x:c r="C8" s="20" t="n">
        <x:f>INDEX(Population!$B$2:$R$17,MATCH(B8,Population!$A$2:$A$17,0),MATCH(A8,Population!$B$1:$R$1,0))</x:f>
        <x:v>4469</x:v>
      </x:c>
      <x:c r="D8" s="18" t="n">
        <x:f>COUNTIFS('Hospital Catalog'!$E:$E,B8,'Hospital Catalog'!$F:$F,"&lt;="&amp;A8,'Hospital Catalog'!$H:$H,"Yes")</x:f>
        <x:v>0</x:v>
      </x:c>
      <x:c r="E8" s="22" t="n">
        <x:f>IFERROR(D8/C8*100000,"")</x:f>
        <x:v>0</x:v>
      </x:c>
      <x:c r="F8" s="18" t="n">
        <x:f>COUNTIFS('Hospital Catalog'!$E:$E,B8,'Hospital Catalog'!$F:$F,"&lt;="&amp;A8,'Hospital Catalog'!$H:$H,"Yes",'Hospital Catalog'!$D:$D,"*public*") + COUNTIFS('Hospital Catalog'!$E:$E,B8,'Hospital Catalog'!$F:$F,"&lt;="&amp;A8,'Hospital Catalog'!$H:$H,"Yes",'Hospital Catalog'!$D:$D,"IMSS public") + COUNTIFS('Hospital Catalog'!$E:$E,B8,'Hospital Catalog'!$F:$F,"&lt;="&amp;A8,'Hospital Catalog'!$H:$H,"Yes",'Hospital Catalog'!$D:$D,"ISSSTE public")</x:f>
        <x:v>0</x:v>
      </x:c>
      <x:c r="G8" s="22" t="n">
        <x:f>IFERROR(F8/C8*100000,"")</x:f>
        <x:v>0</x:v>
      </x:c>
      <x:c r="H8" s="18" t="n">
        <x:f>COUNTIFS('Hospital Catalog'!$E:$E,B8,'Hospital Catalog'!$F:$F,"&lt;="&amp;A8,'Hospital Catalog'!$H:$H,"Yes",'Hospital Catalog'!$K:$K,"High") + COUNTIFS('Hospital Catalog'!$E:$E,B8,'Hospital Catalog'!$F:$F,"&lt;="&amp;A8,'Hospital Catalog'!$H:$H,"Yes",'Hospital Catalog'!$K:$K,"Medium")</x:f>
        <x:v>0</x:v>
      </x:c>
      <x:c r="I8" s="22" t="n">
        <x:f>IFERROR(H8/C8*100000,"")</x:f>
        <x:v>0</x:v>
      </x:c>
      <x:c r="J8" s="16" t="str"/>
    </x:row>
    <x:row r="9">
      <x:c r="A9" s="16" t="n">
        <x:v>1860</x:v>
      </x:c>
      <x:c r="B9" s="16" t="str">
        <x:v>Iztacalco</x:v>
      </x:c>
      <x:c r="C9" s="20" t="n">
        <x:f>INDEX(Population!$B$2:$R$17,MATCH(B9,Population!$A$2:$A$17,0),MATCH(A9,Population!$B$1:$R$1,0))</x:f>
        <x:v>2011</x:v>
      </x:c>
      <x:c r="D9" s="18" t="n">
        <x:f>COUNTIFS('Hospital Catalog'!$E:$E,B9,'Hospital Catalog'!$F:$F,"&lt;="&amp;A9,'Hospital Catalog'!$H:$H,"Yes")</x:f>
        <x:v>0</x:v>
      </x:c>
      <x:c r="E9" s="22" t="n">
        <x:f>IFERROR(D9/C9*100000,"")</x:f>
        <x:v>0</x:v>
      </x:c>
      <x:c r="F9" s="18" t="n">
        <x:f>COUNTIFS('Hospital Catalog'!$E:$E,B9,'Hospital Catalog'!$F:$F,"&lt;="&amp;A9,'Hospital Catalog'!$H:$H,"Yes",'Hospital Catalog'!$D:$D,"*public*") + COUNTIFS('Hospital Catalog'!$E:$E,B9,'Hospital Catalog'!$F:$F,"&lt;="&amp;A9,'Hospital Catalog'!$H:$H,"Yes",'Hospital Catalog'!$D:$D,"IMSS public") + COUNTIFS('Hospital Catalog'!$E:$E,B9,'Hospital Catalog'!$F:$F,"&lt;="&amp;A9,'Hospital Catalog'!$H:$H,"Yes",'Hospital Catalog'!$D:$D,"ISSSTE public")</x:f>
        <x:v>0</x:v>
      </x:c>
      <x:c r="G9" s="22" t="n">
        <x:f>IFERROR(F9/C9*100000,"")</x:f>
        <x:v>0</x:v>
      </x:c>
      <x:c r="H9" s="18" t="n">
        <x:f>COUNTIFS('Hospital Catalog'!$E:$E,B9,'Hospital Catalog'!$F:$F,"&lt;="&amp;A9,'Hospital Catalog'!$H:$H,"Yes",'Hospital Catalog'!$K:$K,"High") + COUNTIFS('Hospital Catalog'!$E:$E,B9,'Hospital Catalog'!$F:$F,"&lt;="&amp;A9,'Hospital Catalog'!$H:$H,"Yes",'Hospital Catalog'!$K:$K,"Medium")</x:f>
        <x:v>0</x:v>
      </x:c>
      <x:c r="I9" s="22" t="n">
        <x:f>IFERROR(H9/C9*100000,"")</x:f>
        <x:v>0</x:v>
      </x:c>
      <x:c r="J9" s="16" t="str"/>
    </x:row>
    <x:row r="10">
      <x:c r="A10" s="16" t="n">
        <x:v>1860</x:v>
      </x:c>
      <x:c r="B10" s="16" t="str">
        <x:v>Iztapalapa</x:v>
      </x:c>
      <x:c r="C10" s="20" t="n">
        <x:f>INDEX(Population!$B$2:$R$17,MATCH(B10,Population!$A$2:$A$17,0),MATCH(A10,Population!$B$1:$R$1,0))</x:f>
        <x:v>5363</x:v>
      </x:c>
      <x:c r="D10" s="18" t="n">
        <x:f>COUNTIFS('Hospital Catalog'!$E:$E,B10,'Hospital Catalog'!$F:$F,"&lt;="&amp;A10,'Hospital Catalog'!$H:$H,"Yes")</x:f>
        <x:v>0</x:v>
      </x:c>
      <x:c r="E10" s="22" t="n">
        <x:f>IFERROR(D10/C10*100000,"")</x:f>
        <x:v>0</x:v>
      </x:c>
      <x:c r="F10" s="18" t="n">
        <x:f>COUNTIFS('Hospital Catalog'!$E:$E,B10,'Hospital Catalog'!$F:$F,"&lt;="&amp;A10,'Hospital Catalog'!$H:$H,"Yes",'Hospital Catalog'!$D:$D,"*public*") + COUNTIFS('Hospital Catalog'!$E:$E,B10,'Hospital Catalog'!$F:$F,"&lt;="&amp;A10,'Hospital Catalog'!$H:$H,"Yes",'Hospital Catalog'!$D:$D,"IMSS public") + COUNTIFS('Hospital Catalog'!$E:$E,B10,'Hospital Catalog'!$F:$F,"&lt;="&amp;A10,'Hospital Catalog'!$H:$H,"Yes",'Hospital Catalog'!$D:$D,"ISSSTE public")</x:f>
        <x:v>0</x:v>
      </x:c>
      <x:c r="G10" s="22" t="n">
        <x:f>IFERROR(F10/C10*100000,"")</x:f>
        <x:v>0</x:v>
      </x:c>
      <x:c r="H10" s="18" t="n">
        <x:f>COUNTIFS('Hospital Catalog'!$E:$E,B10,'Hospital Catalog'!$F:$F,"&lt;="&amp;A10,'Hospital Catalog'!$H:$H,"Yes",'Hospital Catalog'!$K:$K,"High") + COUNTIFS('Hospital Catalog'!$E:$E,B10,'Hospital Catalog'!$F:$F,"&lt;="&amp;A10,'Hospital Catalog'!$H:$H,"Yes",'Hospital Catalog'!$K:$K,"Medium")</x:f>
        <x:v>0</x:v>
      </x:c>
      <x:c r="I10" s="22" t="n">
        <x:f>IFERROR(H10/C10*100000,"")</x:f>
        <x:v>0</x:v>
      </x:c>
      <x:c r="J10" s="16" t="str"/>
    </x:row>
    <x:row r="11">
      <x:c r="A11" s="16" t="n">
        <x:v>1860</x:v>
      </x:c>
      <x:c r="B11" s="16" t="str">
        <x:v>La Magdalena Contreras</x:v>
      </x:c>
      <x:c r="C11" s="20" t="n">
        <x:f>INDEX(Population!$B$2:$R$17,MATCH(B11,Population!$A$2:$A$17,0),MATCH(A11,Population!$B$1:$R$1,0))</x:f>
        <x:v>1564</x:v>
      </x:c>
      <x:c r="D11" s="18" t="n">
        <x:f>COUNTIFS('Hospital Catalog'!$E:$E,B11,'Hospital Catalog'!$F:$F,"&lt;="&amp;A11,'Hospital Catalog'!$H:$H,"Yes")</x:f>
        <x:v>0</x:v>
      </x:c>
      <x:c r="E11" s="22" t="n">
        <x:f>IFERROR(D11/C11*100000,"")</x:f>
        <x:v>0</x:v>
      </x:c>
      <x:c r="F11" s="18" t="n">
        <x:f>COUNTIFS('Hospital Catalog'!$E:$E,B11,'Hospital Catalog'!$F:$F,"&lt;="&amp;A11,'Hospital Catalog'!$H:$H,"Yes",'Hospital Catalog'!$D:$D,"*public*") + COUNTIFS('Hospital Catalog'!$E:$E,B11,'Hospital Catalog'!$F:$F,"&lt;="&amp;A11,'Hospital Catalog'!$H:$H,"Yes",'Hospital Catalog'!$D:$D,"IMSS public") + COUNTIFS('Hospital Catalog'!$E:$E,B11,'Hospital Catalog'!$F:$F,"&lt;="&amp;A11,'Hospital Catalog'!$H:$H,"Yes",'Hospital Catalog'!$D:$D,"ISSSTE public")</x:f>
        <x:v>0</x:v>
      </x:c>
      <x:c r="G11" s="22" t="n">
        <x:f>IFERROR(F11/C11*100000,"")</x:f>
        <x:v>0</x:v>
      </x:c>
      <x:c r="H11" s="18" t="n">
        <x:f>COUNTIFS('Hospital Catalog'!$E:$E,B11,'Hospital Catalog'!$F:$F,"&lt;="&amp;A11,'Hospital Catalog'!$H:$H,"Yes",'Hospital Catalog'!$K:$K,"High") + COUNTIFS('Hospital Catalog'!$E:$E,B11,'Hospital Catalog'!$F:$F,"&lt;="&amp;A11,'Hospital Catalog'!$H:$H,"Yes",'Hospital Catalog'!$K:$K,"Medium")</x:f>
        <x:v>0</x:v>
      </x:c>
      <x:c r="I11" s="22" t="n">
        <x:f>IFERROR(H11/C11*100000,"")</x:f>
        <x:v>0</x:v>
      </x:c>
      <x:c r="J11" s="16" t="str"/>
    </x:row>
    <x:row r="12">
      <x:c r="A12" s="16" t="n">
        <x:v>1860</x:v>
      </x:c>
      <x:c r="B12" s="16" t="str">
        <x:v>Miguel Hidalgo</x:v>
      </x:c>
      <x:c r="C12" s="20" t="n">
        <x:f>INDEX(Population!$B$2:$R$17,MATCH(B12,Population!$A$2:$A$17,0),MATCH(A12,Population!$B$1:$R$1,0))</x:f>
        <x:v>33517</x:v>
      </x:c>
      <x:c r="D12" s="18" t="n">
        <x:f>COUNTIFS('Hospital Catalog'!$E:$E,B12,'Hospital Catalog'!$F:$F,"&lt;="&amp;A12,'Hospital Catalog'!$H:$H,"Yes")</x:f>
        <x:v>0</x:v>
      </x:c>
      <x:c r="E12" s="22" t="n">
        <x:f>IFERROR(D12/C12*100000,"")</x:f>
        <x:v>0</x:v>
      </x:c>
      <x:c r="F12" s="18" t="n">
        <x:f>COUNTIFS('Hospital Catalog'!$E:$E,B12,'Hospital Catalog'!$F:$F,"&lt;="&amp;A12,'Hospital Catalog'!$H:$H,"Yes",'Hospital Catalog'!$D:$D,"*public*") + COUNTIFS('Hospital Catalog'!$E:$E,B12,'Hospital Catalog'!$F:$F,"&lt;="&amp;A12,'Hospital Catalog'!$H:$H,"Yes",'Hospital Catalog'!$D:$D,"IMSS public") + COUNTIFS('Hospital Catalog'!$E:$E,B12,'Hospital Catalog'!$F:$F,"&lt;="&amp;A12,'Hospital Catalog'!$H:$H,"Yes",'Hospital Catalog'!$D:$D,"ISSSTE public")</x:f>
        <x:v>0</x:v>
      </x:c>
      <x:c r="G12" s="22" t="n">
        <x:f>IFERROR(F12/C12*100000,"")</x:f>
        <x:v>0</x:v>
      </x:c>
      <x:c r="H12" s="18" t="n">
        <x:f>COUNTIFS('Hospital Catalog'!$E:$E,B12,'Hospital Catalog'!$F:$F,"&lt;="&amp;A12,'Hospital Catalog'!$H:$H,"Yes",'Hospital Catalog'!$K:$K,"High") + COUNTIFS('Hospital Catalog'!$E:$E,B12,'Hospital Catalog'!$F:$F,"&lt;="&amp;A12,'Hospital Catalog'!$H:$H,"Yes",'Hospital Catalog'!$K:$K,"Medium")</x:f>
        <x:v>0</x:v>
      </x:c>
      <x:c r="I12" s="22" t="n">
        <x:f>IFERROR(H12/C12*100000,"")</x:f>
        <x:v>0</x:v>
      </x:c>
      <x:c r="J12" s="16" t="str"/>
    </x:row>
    <x:row r="13">
      <x:c r="A13" s="16" t="n">
        <x:v>1860</x:v>
      </x:c>
      <x:c r="B13" s="16" t="str">
        <x:v>Milpa Alta</x:v>
      </x:c>
      <x:c r="C13" s="20" t="n">
        <x:f>INDEX(Population!$B$2:$R$17,MATCH(B13,Population!$A$2:$A$17,0),MATCH(A13,Population!$B$1:$R$1,0))</x:f>
        <x:v>4022</x:v>
      </x:c>
      <x:c r="D13" s="18" t="n">
        <x:f>COUNTIFS('Hospital Catalog'!$E:$E,B13,'Hospital Catalog'!$F:$F,"&lt;="&amp;A13,'Hospital Catalog'!$H:$H,"Yes")</x:f>
        <x:v>0</x:v>
      </x:c>
      <x:c r="E13" s="22" t="n">
        <x:f>IFERROR(D13/C13*100000,"")</x:f>
        <x:v>0</x:v>
      </x:c>
      <x:c r="F13" s="18" t="n">
        <x:f>COUNTIFS('Hospital Catalog'!$E:$E,B13,'Hospital Catalog'!$F:$F,"&lt;="&amp;A13,'Hospital Catalog'!$H:$H,"Yes",'Hospital Catalog'!$D:$D,"*public*") + COUNTIFS('Hospital Catalog'!$E:$E,B13,'Hospital Catalog'!$F:$F,"&lt;="&amp;A13,'Hospital Catalog'!$H:$H,"Yes",'Hospital Catalog'!$D:$D,"IMSS public") + COUNTIFS('Hospital Catalog'!$E:$E,B13,'Hospital Catalog'!$F:$F,"&lt;="&amp;A13,'Hospital Catalog'!$H:$H,"Yes",'Hospital Catalog'!$D:$D,"ISSSTE public")</x:f>
        <x:v>0</x:v>
      </x:c>
      <x:c r="G13" s="22" t="n">
        <x:f>IFERROR(F13/C13*100000,"")</x:f>
        <x:v>0</x:v>
      </x:c>
      <x:c r="H13" s="18" t="n">
        <x:f>COUNTIFS('Hospital Catalog'!$E:$E,B13,'Hospital Catalog'!$F:$F,"&lt;="&amp;A13,'Hospital Catalog'!$H:$H,"Yes",'Hospital Catalog'!$K:$K,"High") + COUNTIFS('Hospital Catalog'!$E:$E,B13,'Hospital Catalog'!$F:$F,"&lt;="&amp;A13,'Hospital Catalog'!$H:$H,"Yes",'Hospital Catalog'!$K:$K,"Medium")</x:f>
        <x:v>0</x:v>
      </x:c>
      <x:c r="I13" s="22" t="n">
        <x:f>IFERROR(H13/C13*100000,"")</x:f>
        <x:v>0</x:v>
      </x:c>
      <x:c r="J13" s="16" t="str"/>
    </x:row>
    <x:row r="14">
      <x:c r="A14" s="16" t="n">
        <x:v>1860</x:v>
      </x:c>
      <x:c r="B14" s="16" t="str">
        <x:v>Tláhuac</x:v>
      </x:c>
      <x:c r="C14" s="20" t="n">
        <x:f>INDEX(Population!$B$2:$R$17,MATCH(B14,Population!$A$2:$A$17,0),MATCH(A14,Population!$B$1:$R$1,0))</x:f>
        <x:v>1564</x:v>
      </x:c>
      <x:c r="D14" s="18" t="n">
        <x:f>COUNTIFS('Hospital Catalog'!$E:$E,B14,'Hospital Catalog'!$F:$F,"&lt;="&amp;A14,'Hospital Catalog'!$H:$H,"Yes")</x:f>
        <x:v>0</x:v>
      </x:c>
      <x:c r="E14" s="22" t="n">
        <x:f>IFERROR(D14/C14*100000,"")</x:f>
        <x:v>0</x:v>
      </x:c>
      <x:c r="F14" s="18" t="n">
        <x:f>COUNTIFS('Hospital Catalog'!$E:$E,B14,'Hospital Catalog'!$F:$F,"&lt;="&amp;A14,'Hospital Catalog'!$H:$H,"Yes",'Hospital Catalog'!$D:$D,"*public*") + COUNTIFS('Hospital Catalog'!$E:$E,B14,'Hospital Catalog'!$F:$F,"&lt;="&amp;A14,'Hospital Catalog'!$H:$H,"Yes",'Hospital Catalog'!$D:$D,"IMSS public") + COUNTIFS('Hospital Catalog'!$E:$E,B14,'Hospital Catalog'!$F:$F,"&lt;="&amp;A14,'Hospital Catalog'!$H:$H,"Yes",'Hospital Catalog'!$D:$D,"ISSSTE public")</x:f>
        <x:v>0</x:v>
      </x:c>
      <x:c r="G14" s="22" t="n">
        <x:f>IFERROR(F14/C14*100000,"")</x:f>
        <x:v>0</x:v>
      </x:c>
      <x:c r="H14" s="18" t="n">
        <x:f>COUNTIFS('Hospital Catalog'!$E:$E,B14,'Hospital Catalog'!$F:$F,"&lt;="&amp;A14,'Hospital Catalog'!$H:$H,"Yes",'Hospital Catalog'!$K:$K,"High") + COUNTIFS('Hospital Catalog'!$E:$E,B14,'Hospital Catalog'!$F:$F,"&lt;="&amp;A14,'Hospital Catalog'!$H:$H,"Yes",'Hospital Catalog'!$K:$K,"Medium")</x:f>
        <x:v>0</x:v>
      </x:c>
      <x:c r="I14" s="22" t="n">
        <x:f>IFERROR(H14/C14*100000,"")</x:f>
        <x:v>0</x:v>
      </x:c>
      <x:c r="J14" s="16" t="str"/>
    </x:row>
    <x:row r="15">
      <x:c r="A15" s="16" t="n">
        <x:v>1860</x:v>
      </x:c>
      <x:c r="B15" s="16" t="str">
        <x:v>Tlalpan</x:v>
      </x:c>
      <x:c r="C15" s="20" t="n">
        <x:f>INDEX(Population!$B$2:$R$17,MATCH(B15,Population!$A$2:$A$17,0),MATCH(A15,Population!$B$1:$R$1,0))</x:f>
        <x:v>2681</x:v>
      </x:c>
      <x:c r="D15" s="18" t="n">
        <x:f>COUNTIFS('Hospital Catalog'!$E:$E,B15,'Hospital Catalog'!$F:$F,"&lt;="&amp;A15,'Hospital Catalog'!$H:$H,"Yes")</x:f>
        <x:v>0</x:v>
      </x:c>
      <x:c r="E15" s="22" t="n">
        <x:f>IFERROR(D15/C15*100000,"")</x:f>
        <x:v>0</x:v>
      </x:c>
      <x:c r="F15" s="18" t="n">
        <x:f>COUNTIFS('Hospital Catalog'!$E:$E,B15,'Hospital Catalog'!$F:$F,"&lt;="&amp;A15,'Hospital Catalog'!$H:$H,"Yes",'Hospital Catalog'!$D:$D,"*public*") + COUNTIFS('Hospital Catalog'!$E:$E,B15,'Hospital Catalog'!$F:$F,"&lt;="&amp;A15,'Hospital Catalog'!$H:$H,"Yes",'Hospital Catalog'!$D:$D,"IMSS public") + COUNTIFS('Hospital Catalog'!$E:$E,B15,'Hospital Catalog'!$F:$F,"&lt;="&amp;A15,'Hospital Catalog'!$H:$H,"Yes",'Hospital Catalog'!$D:$D,"ISSSTE public")</x:f>
        <x:v>0</x:v>
      </x:c>
      <x:c r="G15" s="22" t="n">
        <x:f>IFERROR(F15/C15*100000,"")</x:f>
        <x:v>0</x:v>
      </x:c>
      <x:c r="H15" s="18" t="n">
        <x:f>COUNTIFS('Hospital Catalog'!$E:$E,B15,'Hospital Catalog'!$F:$F,"&lt;="&amp;A15,'Hospital Catalog'!$H:$H,"Yes",'Hospital Catalog'!$K:$K,"High") + COUNTIFS('Hospital Catalog'!$E:$E,B15,'Hospital Catalog'!$F:$F,"&lt;="&amp;A15,'Hospital Catalog'!$H:$H,"Yes",'Hospital Catalog'!$K:$K,"Medium")</x:f>
        <x:v>0</x:v>
      </x:c>
      <x:c r="I15" s="22" t="n">
        <x:f>IFERROR(H15/C15*100000,"")</x:f>
        <x:v>0</x:v>
      </x:c>
      <x:c r="J15" s="16" t="str"/>
    </x:row>
    <x:row r="16">
      <x:c r="A16" s="16" t="n">
        <x:v>1860</x:v>
      </x:c>
      <x:c r="B16" s="16" t="str">
        <x:v>Venustiano Carranza</x:v>
      </x:c>
      <x:c r="C16" s="20" t="n">
        <x:f>INDEX(Population!$B$2:$R$17,MATCH(B16,Population!$A$2:$A$17,0),MATCH(A16,Population!$B$1:$R$1,0))</x:f>
        <x:v>37986</x:v>
      </x:c>
      <x:c r="D16" s="18" t="n">
        <x:f>COUNTIFS('Hospital Catalog'!$E:$E,B16,'Hospital Catalog'!$F:$F,"&lt;="&amp;A16,'Hospital Catalog'!$H:$H,"Yes")</x:f>
        <x:v>0</x:v>
      </x:c>
      <x:c r="E16" s="22" t="n">
        <x:f>IFERROR(D16/C16*100000,"")</x:f>
        <x:v>0</x:v>
      </x:c>
      <x:c r="F16" s="18" t="n">
        <x:f>COUNTIFS('Hospital Catalog'!$E:$E,B16,'Hospital Catalog'!$F:$F,"&lt;="&amp;A16,'Hospital Catalog'!$H:$H,"Yes",'Hospital Catalog'!$D:$D,"*public*") + COUNTIFS('Hospital Catalog'!$E:$E,B16,'Hospital Catalog'!$F:$F,"&lt;="&amp;A16,'Hospital Catalog'!$H:$H,"Yes",'Hospital Catalog'!$D:$D,"IMSS public") + COUNTIFS('Hospital Catalog'!$E:$E,B16,'Hospital Catalog'!$F:$F,"&lt;="&amp;A16,'Hospital Catalog'!$H:$H,"Yes",'Hospital Catalog'!$D:$D,"ISSSTE public")</x:f>
        <x:v>0</x:v>
      </x:c>
      <x:c r="G16" s="22" t="n">
        <x:f>IFERROR(F16/C16*100000,"")</x:f>
        <x:v>0</x:v>
      </x:c>
      <x:c r="H16" s="18" t="n">
        <x:f>COUNTIFS('Hospital Catalog'!$E:$E,B16,'Hospital Catalog'!$F:$F,"&lt;="&amp;A16,'Hospital Catalog'!$H:$H,"Yes",'Hospital Catalog'!$K:$K,"High") + COUNTIFS('Hospital Catalog'!$E:$E,B16,'Hospital Catalog'!$F:$F,"&lt;="&amp;A16,'Hospital Catalog'!$H:$H,"Yes",'Hospital Catalog'!$K:$K,"Medium")</x:f>
        <x:v>0</x:v>
      </x:c>
      <x:c r="I16" s="22" t="n">
        <x:f>IFERROR(H16/C16*100000,"")</x:f>
        <x:v>0</x:v>
      </x:c>
      <x:c r="J16" s="16" t="str"/>
    </x:row>
    <x:row r="17">
      <x:c r="A17" s="16" t="n">
        <x:v>1860</x:v>
      </x:c>
      <x:c r="B17" s="16" t="str">
        <x:v>Xochimilco</x:v>
      </x:c>
      <x:c r="C17" s="20" t="n">
        <x:f>INDEX(Population!$B$2:$R$17,MATCH(B17,Population!$A$2:$A$17,0),MATCH(A17,Population!$B$1:$R$1,0))</x:f>
        <x:v>7597</x:v>
      </x:c>
      <x:c r="D17" s="18" t="n">
        <x:f>COUNTIFS('Hospital Catalog'!$E:$E,B17,'Hospital Catalog'!$F:$F,"&lt;="&amp;A17,'Hospital Catalog'!$H:$H,"Yes")</x:f>
        <x:v>0</x:v>
      </x:c>
      <x:c r="E17" s="22" t="n">
        <x:f>IFERROR(D17/C17*100000,"")</x:f>
        <x:v>0</x:v>
      </x:c>
      <x:c r="F17" s="18" t="n">
        <x:f>COUNTIFS('Hospital Catalog'!$E:$E,B17,'Hospital Catalog'!$F:$F,"&lt;="&amp;A17,'Hospital Catalog'!$H:$H,"Yes",'Hospital Catalog'!$D:$D,"*public*") + COUNTIFS('Hospital Catalog'!$E:$E,B17,'Hospital Catalog'!$F:$F,"&lt;="&amp;A17,'Hospital Catalog'!$H:$H,"Yes",'Hospital Catalog'!$D:$D,"IMSS public") + COUNTIFS('Hospital Catalog'!$E:$E,B17,'Hospital Catalog'!$F:$F,"&lt;="&amp;A17,'Hospital Catalog'!$H:$H,"Yes",'Hospital Catalog'!$D:$D,"ISSSTE public")</x:f>
        <x:v>0</x:v>
      </x:c>
      <x:c r="G17" s="22" t="n">
        <x:f>IFERROR(F17/C17*100000,"")</x:f>
        <x:v>0</x:v>
      </x:c>
      <x:c r="H17" s="18" t="n">
        <x:f>COUNTIFS('Hospital Catalog'!$E:$E,B17,'Hospital Catalog'!$F:$F,"&lt;="&amp;A17,'Hospital Catalog'!$H:$H,"Yes",'Hospital Catalog'!$K:$K,"High") + COUNTIFS('Hospital Catalog'!$E:$E,B17,'Hospital Catalog'!$F:$F,"&lt;="&amp;A17,'Hospital Catalog'!$H:$H,"Yes",'Hospital Catalog'!$K:$K,"Medium")</x:f>
        <x:v>0</x:v>
      </x:c>
      <x:c r="I17" s="22" t="n">
        <x:f>IFERROR(H17/C17*100000,"")</x:f>
        <x:v>0</x:v>
      </x:c>
      <x:c r="J17" s="16" t="str"/>
    </x:row>
    <x:row r="18">
      <x:c r="A18" s="16" t="n">
        <x:v>1870</x:v>
      </x:c>
      <x:c r="B18" s="16" t="str">
        <x:v>Álvaro Obregón</x:v>
      </x:c>
      <x:c r="C18" s="20" t="n">
        <x:f>INDEX(Population!$B$2:$R$17,MATCH(B18,Population!$A$2:$A$17,0),MATCH(A18,Population!$B$1:$R$1,0))</x:f>
        <x:v>5850</x:v>
      </x:c>
      <x:c r="D18" s="18" t="n">
        <x:f>COUNTIFS('Hospital Catalog'!$E:$E,B18,'Hospital Catalog'!$F:$F,"&lt;="&amp;A18,'Hospital Catalog'!$H:$H,"Yes")</x:f>
        <x:v>0</x:v>
      </x:c>
      <x:c r="E18" s="22" t="n">
        <x:f>IFERROR(D18/C18*100000,"")</x:f>
        <x:v>0</x:v>
      </x:c>
      <x:c r="F18" s="18" t="n">
        <x:f>COUNTIFS('Hospital Catalog'!$E:$E,B18,'Hospital Catalog'!$F:$F,"&lt;="&amp;A18,'Hospital Catalog'!$H:$H,"Yes",'Hospital Catalog'!$D:$D,"*public*") + COUNTIFS('Hospital Catalog'!$E:$E,B18,'Hospital Catalog'!$F:$F,"&lt;="&amp;A18,'Hospital Catalog'!$H:$H,"Yes",'Hospital Catalog'!$D:$D,"IMSS public") + COUNTIFS('Hospital Catalog'!$E:$E,B18,'Hospital Catalog'!$F:$F,"&lt;="&amp;A18,'Hospital Catalog'!$H:$H,"Yes",'Hospital Catalog'!$D:$D,"ISSSTE public")</x:f>
        <x:v>0</x:v>
      </x:c>
      <x:c r="G18" s="22" t="n">
        <x:f>IFERROR(F18/C18*100000,"")</x:f>
        <x:v>0</x:v>
      </x:c>
      <x:c r="H18" s="18" t="n">
        <x:f>COUNTIFS('Hospital Catalog'!$E:$E,B18,'Hospital Catalog'!$F:$F,"&lt;="&amp;A18,'Hospital Catalog'!$H:$H,"Yes",'Hospital Catalog'!$K:$K,"High") + COUNTIFS('Hospital Catalog'!$E:$E,B18,'Hospital Catalog'!$F:$F,"&lt;="&amp;A18,'Hospital Catalog'!$H:$H,"Yes",'Hospital Catalog'!$K:$K,"Medium")</x:f>
        <x:v>0</x:v>
      </x:c>
      <x:c r="I18" s="22" t="n">
        <x:f>IFERROR(H18/C18*100000,"")</x:f>
        <x:v>0</x:v>
      </x:c>
      <x:c r="J18" s="16" t="str"/>
    </x:row>
    <x:row r="19">
      <x:c r="A19" s="16" t="n">
        <x:v>1870</x:v>
      </x:c>
      <x:c r="B19" s="16" t="str">
        <x:v>Azcapotzalco</x:v>
      </x:c>
      <x:c r="C19" s="20" t="n">
        <x:f>INDEX(Population!$B$2:$R$17,MATCH(B19,Population!$A$2:$A$17,0),MATCH(A19,Population!$B$1:$R$1,0))</x:f>
        <x:v>5363</x:v>
      </x:c>
      <x:c r="D19" s="18" t="n">
        <x:f>COUNTIFS('Hospital Catalog'!$E:$E,B19,'Hospital Catalog'!$F:$F,"&lt;="&amp;A19,'Hospital Catalog'!$H:$H,"Yes")</x:f>
        <x:v>0</x:v>
      </x:c>
      <x:c r="E19" s="22" t="n">
        <x:f>IFERROR(D19/C19*100000,"")</x:f>
        <x:v>0</x:v>
      </x:c>
      <x:c r="F19" s="18" t="n">
        <x:f>COUNTIFS('Hospital Catalog'!$E:$E,B19,'Hospital Catalog'!$F:$F,"&lt;="&amp;A19,'Hospital Catalog'!$H:$H,"Yes",'Hospital Catalog'!$D:$D,"*public*") + COUNTIFS('Hospital Catalog'!$E:$E,B19,'Hospital Catalog'!$F:$F,"&lt;="&amp;A19,'Hospital Catalog'!$H:$H,"Yes",'Hospital Catalog'!$D:$D,"IMSS public") + COUNTIFS('Hospital Catalog'!$E:$E,B19,'Hospital Catalog'!$F:$F,"&lt;="&amp;A19,'Hospital Catalog'!$H:$H,"Yes",'Hospital Catalog'!$D:$D,"ISSSTE public")</x:f>
        <x:v>0</x:v>
      </x:c>
      <x:c r="G19" s="22" t="n">
        <x:f>IFERROR(F19/C19*100000,"")</x:f>
        <x:v>0</x:v>
      </x:c>
      <x:c r="H19" s="18" t="n">
        <x:f>COUNTIFS('Hospital Catalog'!$E:$E,B19,'Hospital Catalog'!$F:$F,"&lt;="&amp;A19,'Hospital Catalog'!$H:$H,"Yes",'Hospital Catalog'!$K:$K,"High") + COUNTIFS('Hospital Catalog'!$E:$E,B19,'Hospital Catalog'!$F:$F,"&lt;="&amp;A19,'Hospital Catalog'!$H:$H,"Yes",'Hospital Catalog'!$K:$K,"Medium")</x:f>
        <x:v>0</x:v>
      </x:c>
      <x:c r="I19" s="22" t="n">
        <x:f>IFERROR(H19/C19*100000,"")</x:f>
        <x:v>0</x:v>
      </x:c>
      <x:c r="J19" s="16" t="str"/>
    </x:row>
    <x:row r="20">
      <x:c r="A20" s="16" t="n">
        <x:v>1870</x:v>
      </x:c>
      <x:c r="B20" s="16" t="str">
        <x:v>Benito Juárez</x:v>
      </x:c>
      <x:c r="C20" s="20" t="n">
        <x:f>INDEX(Population!$B$2:$R$17,MATCH(B20,Population!$A$2:$A$17,0),MATCH(A20,Population!$B$1:$R$1,0))</x:f>
        <x:v>34126</x:v>
      </x:c>
      <x:c r="D20" s="18" t="n">
        <x:f>COUNTIFS('Hospital Catalog'!$E:$E,B20,'Hospital Catalog'!$F:$F,"&lt;="&amp;A20,'Hospital Catalog'!$H:$H,"Yes")</x:f>
        <x:v>0</x:v>
      </x:c>
      <x:c r="E20" s="22" t="n">
        <x:f>IFERROR(D20/C20*100000,"")</x:f>
        <x:v>0</x:v>
      </x:c>
      <x:c r="F20" s="18" t="n">
        <x:f>COUNTIFS('Hospital Catalog'!$E:$E,B20,'Hospital Catalog'!$F:$F,"&lt;="&amp;A20,'Hospital Catalog'!$H:$H,"Yes",'Hospital Catalog'!$D:$D,"*public*") + COUNTIFS('Hospital Catalog'!$E:$E,B20,'Hospital Catalog'!$F:$F,"&lt;="&amp;A20,'Hospital Catalog'!$H:$H,"Yes",'Hospital Catalog'!$D:$D,"IMSS public") + COUNTIFS('Hospital Catalog'!$E:$E,B20,'Hospital Catalog'!$F:$F,"&lt;="&amp;A20,'Hospital Catalog'!$H:$H,"Yes",'Hospital Catalog'!$D:$D,"ISSSTE public")</x:f>
        <x:v>0</x:v>
      </x:c>
      <x:c r="G20" s="22" t="n">
        <x:f>IFERROR(F20/C20*100000,"")</x:f>
        <x:v>0</x:v>
      </x:c>
      <x:c r="H20" s="18" t="n">
        <x:f>COUNTIFS('Hospital Catalog'!$E:$E,B20,'Hospital Catalog'!$F:$F,"&lt;="&amp;A20,'Hospital Catalog'!$H:$H,"Yes",'Hospital Catalog'!$K:$K,"High") + COUNTIFS('Hospital Catalog'!$E:$E,B20,'Hospital Catalog'!$F:$F,"&lt;="&amp;A20,'Hospital Catalog'!$H:$H,"Yes",'Hospital Catalog'!$K:$K,"Medium")</x:f>
        <x:v>0</x:v>
      </x:c>
      <x:c r="I20" s="22" t="n">
        <x:f>IFERROR(H20/C20*100000,"")</x:f>
        <x:v>0</x:v>
      </x:c>
      <x:c r="J20" s="16" t="str"/>
    </x:row>
    <x:row r="21">
      <x:c r="A21" s="16" t="n">
        <x:v>1870</x:v>
      </x:c>
      <x:c r="B21" s="16" t="str">
        <x:v>Coyoacán</x:v>
      </x:c>
      <x:c r="C21" s="20" t="n">
        <x:f>INDEX(Population!$B$2:$R$17,MATCH(B21,Population!$A$2:$A$17,0),MATCH(A21,Population!$B$1:$R$1,0))</x:f>
        <x:v>4388</x:v>
      </x:c>
      <x:c r="D21" s="18" t="n">
        <x:f>COUNTIFS('Hospital Catalog'!$E:$E,B21,'Hospital Catalog'!$F:$F,"&lt;="&amp;A21,'Hospital Catalog'!$H:$H,"Yes")</x:f>
        <x:v>0</x:v>
      </x:c>
      <x:c r="E21" s="22" t="n">
        <x:f>IFERROR(D21/C21*100000,"")</x:f>
        <x:v>0</x:v>
      </x:c>
      <x:c r="F21" s="18" t="n">
        <x:f>COUNTIFS('Hospital Catalog'!$E:$E,B21,'Hospital Catalog'!$F:$F,"&lt;="&amp;A21,'Hospital Catalog'!$H:$H,"Yes",'Hospital Catalog'!$D:$D,"*public*") + COUNTIFS('Hospital Catalog'!$E:$E,B21,'Hospital Catalog'!$F:$F,"&lt;="&amp;A21,'Hospital Catalog'!$H:$H,"Yes",'Hospital Catalog'!$D:$D,"IMSS public") + COUNTIFS('Hospital Catalog'!$E:$E,B21,'Hospital Catalog'!$F:$F,"&lt;="&amp;A21,'Hospital Catalog'!$H:$H,"Yes",'Hospital Catalog'!$D:$D,"ISSSTE public")</x:f>
        <x:v>0</x:v>
      </x:c>
      <x:c r="G21" s="22" t="n">
        <x:f>IFERROR(F21/C21*100000,"")</x:f>
        <x:v>0</x:v>
      </x:c>
      <x:c r="H21" s="18" t="n">
        <x:f>COUNTIFS('Hospital Catalog'!$E:$E,B21,'Hospital Catalog'!$F:$F,"&lt;="&amp;A21,'Hospital Catalog'!$H:$H,"Yes",'Hospital Catalog'!$K:$K,"High") + COUNTIFS('Hospital Catalog'!$E:$E,B21,'Hospital Catalog'!$F:$F,"&lt;="&amp;A21,'Hospital Catalog'!$H:$H,"Yes",'Hospital Catalog'!$K:$K,"Medium")</x:f>
        <x:v>0</x:v>
      </x:c>
      <x:c r="I21" s="22" t="n">
        <x:f>IFERROR(H21/C21*100000,"")</x:f>
        <x:v>0</x:v>
      </x:c>
      <x:c r="J21" s="16" t="str"/>
    </x:row>
    <x:row r="22">
      <x:c r="A22" s="16" t="n">
        <x:v>1870</x:v>
      </x:c>
      <x:c r="B22" s="16" t="str">
        <x:v>Cuajimalpa de Morelos</x:v>
      </x:c>
      <x:c r="C22" s="20" t="n">
        <x:f>INDEX(Population!$B$2:$R$17,MATCH(B22,Population!$A$2:$A$17,0),MATCH(A22,Population!$B$1:$R$1,0))</x:f>
        <x:v>2438</x:v>
      </x:c>
      <x:c r="D22" s="18" t="n">
        <x:f>COUNTIFS('Hospital Catalog'!$E:$E,B22,'Hospital Catalog'!$F:$F,"&lt;="&amp;A22,'Hospital Catalog'!$H:$H,"Yes")</x:f>
        <x:v>0</x:v>
      </x:c>
      <x:c r="E22" s="22" t="n">
        <x:f>IFERROR(D22/C22*100000,"")</x:f>
        <x:v>0</x:v>
      </x:c>
      <x:c r="F22" s="18" t="n">
        <x:f>COUNTIFS('Hospital Catalog'!$E:$E,B22,'Hospital Catalog'!$F:$F,"&lt;="&amp;A22,'Hospital Catalog'!$H:$H,"Yes",'Hospital Catalog'!$D:$D,"*public*") + COUNTIFS('Hospital Catalog'!$E:$E,B22,'Hospital Catalog'!$F:$F,"&lt;="&amp;A22,'Hospital Catalog'!$H:$H,"Yes",'Hospital Catalog'!$D:$D,"IMSS public") + COUNTIFS('Hospital Catalog'!$E:$E,B22,'Hospital Catalog'!$F:$F,"&lt;="&amp;A22,'Hospital Catalog'!$H:$H,"Yes",'Hospital Catalog'!$D:$D,"ISSSTE public")</x:f>
        <x:v>0</x:v>
      </x:c>
      <x:c r="G22" s="22" t="n">
        <x:f>IFERROR(F22/C22*100000,"")</x:f>
        <x:v>0</x:v>
      </x:c>
      <x:c r="H22" s="18" t="n">
        <x:f>COUNTIFS('Hospital Catalog'!$E:$E,B22,'Hospital Catalog'!$F:$F,"&lt;="&amp;A22,'Hospital Catalog'!$H:$H,"Yes",'Hospital Catalog'!$K:$K,"High") + COUNTIFS('Hospital Catalog'!$E:$E,B22,'Hospital Catalog'!$F:$F,"&lt;="&amp;A22,'Hospital Catalog'!$H:$H,"Yes",'Hospital Catalog'!$K:$K,"Medium")</x:f>
        <x:v>0</x:v>
      </x:c>
      <x:c r="I22" s="22" t="n">
        <x:f>IFERROR(H22/C22*100000,"")</x:f>
        <x:v>0</x:v>
      </x:c>
      <x:c r="J22" s="16" t="str"/>
    </x:row>
    <x:row r="23">
      <x:c r="A23" s="16" t="n">
        <x:v>1870</x:v>
      </x:c>
      <x:c r="B23" s="16" t="str">
        <x:v>Cuauhtémoc</x:v>
      </x:c>
      <x:c r="C23" s="20" t="n">
        <x:f>INDEX(Population!$B$2:$R$17,MATCH(B23,Population!$A$2:$A$17,0),MATCH(A23,Population!$B$1:$R$1,0))</x:f>
        <x:v>78003</x:v>
      </x:c>
      <x:c r="D23" s="18" t="n">
        <x:f>COUNTIFS('Hospital Catalog'!$E:$E,B23,'Hospital Catalog'!$F:$F,"&lt;="&amp;A23,'Hospital Catalog'!$H:$H,"Yes")</x:f>
        <x:v>1</x:v>
      </x:c>
      <x:c r="E23" s="22" t="n">
        <x:f>IFERROR(D23/C23*100000,"")</x:f>
        <x:v>1.2820019742830404</x:v>
      </x:c>
      <x:c r="F23" s="18" t="n">
        <x:f>COUNTIFS('Hospital Catalog'!$E:$E,B23,'Hospital Catalog'!$F:$F,"&lt;="&amp;A23,'Hospital Catalog'!$H:$H,"Yes",'Hospital Catalog'!$D:$D,"*public*") + COUNTIFS('Hospital Catalog'!$E:$E,B23,'Hospital Catalog'!$F:$F,"&lt;="&amp;A23,'Hospital Catalog'!$H:$H,"Yes",'Hospital Catalog'!$D:$D,"IMSS public") + COUNTIFS('Hospital Catalog'!$E:$E,B23,'Hospital Catalog'!$F:$F,"&lt;="&amp;A23,'Hospital Catalog'!$H:$H,"Yes",'Hospital Catalog'!$D:$D,"ISSSTE public")</x:f>
        <x:v>0</x:v>
      </x:c>
      <x:c r="G23" s="22" t="n">
        <x:f>IFERROR(F23/C23*100000,"")</x:f>
        <x:v>0</x:v>
      </x:c>
      <x:c r="H23" s="18" t="n">
        <x:f>COUNTIFS('Hospital Catalog'!$E:$E,B23,'Hospital Catalog'!$F:$F,"&lt;="&amp;A23,'Hospital Catalog'!$H:$H,"Yes",'Hospital Catalog'!$K:$K,"High") + COUNTIFS('Hospital Catalog'!$E:$E,B23,'Hospital Catalog'!$F:$F,"&lt;="&amp;A23,'Hospital Catalog'!$H:$H,"Yes",'Hospital Catalog'!$K:$K,"Medium")</x:f>
        <x:v>1</x:v>
      </x:c>
      <x:c r="I23" s="22" t="n">
        <x:f>IFERROR(H23/C23*100000,"")</x:f>
        <x:v>1.2820019742830404</x:v>
      </x:c>
      <x:c r="J23" s="16" t="str"/>
    </x:row>
    <x:row r="24">
      <x:c r="A24" s="16" t="n">
        <x:v>1870</x:v>
      </x:c>
      <x:c r="B24" s="16" t="str">
        <x:v>Gustavo A. Madero</x:v>
      </x:c>
      <x:c r="C24" s="20" t="n">
        <x:f>INDEX(Population!$B$2:$R$17,MATCH(B24,Population!$A$2:$A$17,0),MATCH(A24,Population!$B$1:$R$1,0))</x:f>
        <x:v>4875</x:v>
      </x:c>
      <x:c r="D24" s="18" t="n">
        <x:f>COUNTIFS('Hospital Catalog'!$E:$E,B24,'Hospital Catalog'!$F:$F,"&lt;="&amp;A24,'Hospital Catalog'!$H:$H,"Yes")</x:f>
        <x:v>0</x:v>
      </x:c>
      <x:c r="E24" s="22" t="n">
        <x:f>IFERROR(D24/C24*100000,"")</x:f>
        <x:v>0</x:v>
      </x:c>
      <x:c r="F24" s="18" t="n">
        <x:f>COUNTIFS('Hospital Catalog'!$E:$E,B24,'Hospital Catalog'!$F:$F,"&lt;="&amp;A24,'Hospital Catalog'!$H:$H,"Yes",'Hospital Catalog'!$D:$D,"*public*") + COUNTIFS('Hospital Catalog'!$E:$E,B24,'Hospital Catalog'!$F:$F,"&lt;="&amp;A24,'Hospital Catalog'!$H:$H,"Yes",'Hospital Catalog'!$D:$D,"IMSS public") + COUNTIFS('Hospital Catalog'!$E:$E,B24,'Hospital Catalog'!$F:$F,"&lt;="&amp;A24,'Hospital Catalog'!$H:$H,"Yes",'Hospital Catalog'!$D:$D,"ISSSTE public")</x:f>
        <x:v>0</x:v>
      </x:c>
      <x:c r="G24" s="22" t="n">
        <x:f>IFERROR(F24/C24*100000,"")</x:f>
        <x:v>0</x:v>
      </x:c>
      <x:c r="H24" s="18" t="n">
        <x:f>COUNTIFS('Hospital Catalog'!$E:$E,B24,'Hospital Catalog'!$F:$F,"&lt;="&amp;A24,'Hospital Catalog'!$H:$H,"Yes",'Hospital Catalog'!$K:$K,"High") + COUNTIFS('Hospital Catalog'!$E:$E,B24,'Hospital Catalog'!$F:$F,"&lt;="&amp;A24,'Hospital Catalog'!$H:$H,"Yes",'Hospital Catalog'!$K:$K,"Medium")</x:f>
        <x:v>0</x:v>
      </x:c>
      <x:c r="I24" s="22" t="n">
        <x:f>IFERROR(H24/C24*100000,"")</x:f>
        <x:v>0</x:v>
      </x:c>
      <x:c r="J24" s="16" t="str"/>
    </x:row>
    <x:row r="25">
      <x:c r="A25" s="16" t="n">
        <x:v>1870</x:v>
      </x:c>
      <x:c r="B25" s="16" t="str">
        <x:v>Iztacalco</x:v>
      </x:c>
      <x:c r="C25" s="20" t="n">
        <x:f>INDEX(Population!$B$2:$R$17,MATCH(B25,Population!$A$2:$A$17,0),MATCH(A25,Population!$B$1:$R$1,0))</x:f>
        <x:v>2194</x:v>
      </x:c>
      <x:c r="D25" s="18" t="n">
        <x:f>COUNTIFS('Hospital Catalog'!$E:$E,B25,'Hospital Catalog'!$F:$F,"&lt;="&amp;A25,'Hospital Catalog'!$H:$H,"Yes")</x:f>
        <x:v>0</x:v>
      </x:c>
      <x:c r="E25" s="22" t="n">
        <x:f>IFERROR(D25/C25*100000,"")</x:f>
        <x:v>0</x:v>
      </x:c>
      <x:c r="F25" s="18" t="n">
        <x:f>COUNTIFS('Hospital Catalog'!$E:$E,B25,'Hospital Catalog'!$F:$F,"&lt;="&amp;A25,'Hospital Catalog'!$H:$H,"Yes",'Hospital Catalog'!$D:$D,"*public*") + COUNTIFS('Hospital Catalog'!$E:$E,B25,'Hospital Catalog'!$F:$F,"&lt;="&amp;A25,'Hospital Catalog'!$H:$H,"Yes",'Hospital Catalog'!$D:$D,"IMSS public") + COUNTIFS('Hospital Catalog'!$E:$E,B25,'Hospital Catalog'!$F:$F,"&lt;="&amp;A25,'Hospital Catalog'!$H:$H,"Yes",'Hospital Catalog'!$D:$D,"ISSSTE public")</x:f>
        <x:v>0</x:v>
      </x:c>
      <x:c r="G25" s="22" t="n">
        <x:f>IFERROR(F25/C25*100000,"")</x:f>
        <x:v>0</x:v>
      </x:c>
      <x:c r="H25" s="18" t="n">
        <x:f>COUNTIFS('Hospital Catalog'!$E:$E,B25,'Hospital Catalog'!$F:$F,"&lt;="&amp;A25,'Hospital Catalog'!$H:$H,"Yes",'Hospital Catalog'!$K:$K,"High") + COUNTIFS('Hospital Catalog'!$E:$E,B25,'Hospital Catalog'!$F:$F,"&lt;="&amp;A25,'Hospital Catalog'!$H:$H,"Yes",'Hospital Catalog'!$K:$K,"Medium")</x:f>
        <x:v>0</x:v>
      </x:c>
      <x:c r="I25" s="22" t="n">
        <x:f>IFERROR(H25/C25*100000,"")</x:f>
        <x:v>0</x:v>
      </x:c>
      <x:c r="J25" s="16" t="str"/>
    </x:row>
    <x:row r="26">
      <x:c r="A26" s="16" t="n">
        <x:v>1870</x:v>
      </x:c>
      <x:c r="B26" s="16" t="str">
        <x:v>Iztapalapa</x:v>
      </x:c>
      <x:c r="C26" s="20" t="n">
        <x:f>INDEX(Population!$B$2:$R$17,MATCH(B26,Population!$A$2:$A$17,0),MATCH(A26,Population!$B$1:$R$1,0))</x:f>
        <x:v>5850</x:v>
      </x:c>
      <x:c r="D26" s="18" t="n">
        <x:f>COUNTIFS('Hospital Catalog'!$E:$E,B26,'Hospital Catalog'!$F:$F,"&lt;="&amp;A26,'Hospital Catalog'!$H:$H,"Yes")</x:f>
        <x:v>0</x:v>
      </x:c>
      <x:c r="E26" s="22" t="n">
        <x:f>IFERROR(D26/C26*100000,"")</x:f>
        <x:v>0</x:v>
      </x:c>
      <x:c r="F26" s="18" t="n">
        <x:f>COUNTIFS('Hospital Catalog'!$E:$E,B26,'Hospital Catalog'!$F:$F,"&lt;="&amp;A26,'Hospital Catalog'!$H:$H,"Yes",'Hospital Catalog'!$D:$D,"*public*") + COUNTIFS('Hospital Catalog'!$E:$E,B26,'Hospital Catalog'!$F:$F,"&lt;="&amp;A26,'Hospital Catalog'!$H:$H,"Yes",'Hospital Catalog'!$D:$D,"IMSS public") + COUNTIFS('Hospital Catalog'!$E:$E,B26,'Hospital Catalog'!$F:$F,"&lt;="&amp;A26,'Hospital Catalog'!$H:$H,"Yes",'Hospital Catalog'!$D:$D,"ISSSTE public")</x:f>
        <x:v>0</x:v>
      </x:c>
      <x:c r="G26" s="22" t="n">
        <x:f>IFERROR(F26/C26*100000,"")</x:f>
        <x:v>0</x:v>
      </x:c>
      <x:c r="H26" s="18" t="n">
        <x:f>COUNTIFS('Hospital Catalog'!$E:$E,B26,'Hospital Catalog'!$F:$F,"&lt;="&amp;A26,'Hospital Catalog'!$H:$H,"Yes",'Hospital Catalog'!$K:$K,"High") + COUNTIFS('Hospital Catalog'!$E:$E,B26,'Hospital Catalog'!$F:$F,"&lt;="&amp;A26,'Hospital Catalog'!$H:$H,"Yes",'Hospital Catalog'!$K:$K,"Medium")</x:f>
        <x:v>0</x:v>
      </x:c>
      <x:c r="I26" s="22" t="n">
        <x:f>IFERROR(H26/C26*100000,"")</x:f>
        <x:v>0</x:v>
      </x:c>
      <x:c r="J26" s="16" t="str"/>
    </x:row>
    <x:row r="27">
      <x:c r="A27" s="16" t="n">
        <x:v>1870</x:v>
      </x:c>
      <x:c r="B27" s="16" t="str">
        <x:v>La Magdalena Contreras</x:v>
      </x:c>
      <x:c r="C27" s="20" t="n">
        <x:f>INDEX(Population!$B$2:$R$17,MATCH(B27,Population!$A$2:$A$17,0),MATCH(A27,Population!$B$1:$R$1,0))</x:f>
        <x:v>1706</x:v>
      </x:c>
      <x:c r="D27" s="18" t="n">
        <x:f>COUNTIFS('Hospital Catalog'!$E:$E,B27,'Hospital Catalog'!$F:$F,"&lt;="&amp;A27,'Hospital Catalog'!$H:$H,"Yes")</x:f>
        <x:v>0</x:v>
      </x:c>
      <x:c r="E27" s="22" t="n">
        <x:f>IFERROR(D27/C27*100000,"")</x:f>
        <x:v>0</x:v>
      </x:c>
      <x:c r="F27" s="18" t="n">
        <x:f>COUNTIFS('Hospital Catalog'!$E:$E,B27,'Hospital Catalog'!$F:$F,"&lt;="&amp;A27,'Hospital Catalog'!$H:$H,"Yes",'Hospital Catalog'!$D:$D,"*public*") + COUNTIFS('Hospital Catalog'!$E:$E,B27,'Hospital Catalog'!$F:$F,"&lt;="&amp;A27,'Hospital Catalog'!$H:$H,"Yes",'Hospital Catalog'!$D:$D,"IMSS public") + COUNTIFS('Hospital Catalog'!$E:$E,B27,'Hospital Catalog'!$F:$F,"&lt;="&amp;A27,'Hospital Catalog'!$H:$H,"Yes",'Hospital Catalog'!$D:$D,"ISSSTE public")</x:f>
        <x:v>0</x:v>
      </x:c>
      <x:c r="G27" s="22" t="n">
        <x:f>IFERROR(F27/C27*100000,"")</x:f>
        <x:v>0</x:v>
      </x:c>
      <x:c r="H27" s="18" t="n">
        <x:f>COUNTIFS('Hospital Catalog'!$E:$E,B27,'Hospital Catalog'!$F:$F,"&lt;="&amp;A27,'Hospital Catalog'!$H:$H,"Yes",'Hospital Catalog'!$K:$K,"High") + COUNTIFS('Hospital Catalog'!$E:$E,B27,'Hospital Catalog'!$F:$F,"&lt;="&amp;A27,'Hospital Catalog'!$H:$H,"Yes",'Hospital Catalog'!$K:$K,"Medium")</x:f>
        <x:v>0</x:v>
      </x:c>
      <x:c r="I27" s="22" t="n">
        <x:f>IFERROR(H27/C27*100000,"")</x:f>
        <x:v>0</x:v>
      </x:c>
      <x:c r="J27" s="16" t="str"/>
    </x:row>
    <x:row r="28">
      <x:c r="A28" s="16" t="n">
        <x:v>1870</x:v>
      </x:c>
      <x:c r="B28" s="16" t="str">
        <x:v>Miguel Hidalgo</x:v>
      </x:c>
      <x:c r="C28" s="20" t="n">
        <x:f>INDEX(Population!$B$2:$R$17,MATCH(B28,Population!$A$2:$A$17,0),MATCH(A28,Population!$B$1:$R$1,0))</x:f>
        <x:v>36564</x:v>
      </x:c>
      <x:c r="D28" s="18" t="n">
        <x:f>COUNTIFS('Hospital Catalog'!$E:$E,B28,'Hospital Catalog'!$F:$F,"&lt;="&amp;A28,'Hospital Catalog'!$H:$H,"Yes")</x:f>
        <x:v>0</x:v>
      </x:c>
      <x:c r="E28" s="22" t="n">
        <x:f>IFERROR(D28/C28*100000,"")</x:f>
        <x:v>0</x:v>
      </x:c>
      <x:c r="F28" s="18" t="n">
        <x:f>COUNTIFS('Hospital Catalog'!$E:$E,B28,'Hospital Catalog'!$F:$F,"&lt;="&amp;A28,'Hospital Catalog'!$H:$H,"Yes",'Hospital Catalog'!$D:$D,"*public*") + COUNTIFS('Hospital Catalog'!$E:$E,B28,'Hospital Catalog'!$F:$F,"&lt;="&amp;A28,'Hospital Catalog'!$H:$H,"Yes",'Hospital Catalog'!$D:$D,"IMSS public") + COUNTIFS('Hospital Catalog'!$E:$E,B28,'Hospital Catalog'!$F:$F,"&lt;="&amp;A28,'Hospital Catalog'!$H:$H,"Yes",'Hospital Catalog'!$D:$D,"ISSSTE public")</x:f>
        <x:v>0</x:v>
      </x:c>
      <x:c r="G28" s="22" t="n">
        <x:f>IFERROR(F28/C28*100000,"")</x:f>
        <x:v>0</x:v>
      </x:c>
      <x:c r="H28" s="18" t="n">
        <x:f>COUNTIFS('Hospital Catalog'!$E:$E,B28,'Hospital Catalog'!$F:$F,"&lt;="&amp;A28,'Hospital Catalog'!$H:$H,"Yes",'Hospital Catalog'!$K:$K,"High") + COUNTIFS('Hospital Catalog'!$E:$E,B28,'Hospital Catalog'!$F:$F,"&lt;="&amp;A28,'Hospital Catalog'!$H:$H,"Yes",'Hospital Catalog'!$K:$K,"Medium")</x:f>
        <x:v>0</x:v>
      </x:c>
      <x:c r="I28" s="22" t="n">
        <x:f>IFERROR(H28/C28*100000,"")</x:f>
        <x:v>0</x:v>
      </x:c>
      <x:c r="J28" s="16" t="str"/>
    </x:row>
    <x:row r="29">
      <x:c r="A29" s="16" t="n">
        <x:v>1870</x:v>
      </x:c>
      <x:c r="B29" s="16" t="str">
        <x:v>Milpa Alta</x:v>
      </x:c>
      <x:c r="C29" s="20" t="n">
        <x:f>INDEX(Population!$B$2:$R$17,MATCH(B29,Population!$A$2:$A$17,0),MATCH(A29,Population!$B$1:$R$1,0))</x:f>
        <x:v>4388</x:v>
      </x:c>
      <x:c r="D29" s="18" t="n">
        <x:f>COUNTIFS('Hospital Catalog'!$E:$E,B29,'Hospital Catalog'!$F:$F,"&lt;="&amp;A29,'Hospital Catalog'!$H:$H,"Yes")</x:f>
        <x:v>0</x:v>
      </x:c>
      <x:c r="E29" s="22" t="n">
        <x:f>IFERROR(D29/C29*100000,"")</x:f>
        <x:v>0</x:v>
      </x:c>
      <x:c r="F29" s="18" t="n">
        <x:f>COUNTIFS('Hospital Catalog'!$E:$E,B29,'Hospital Catalog'!$F:$F,"&lt;="&amp;A29,'Hospital Catalog'!$H:$H,"Yes",'Hospital Catalog'!$D:$D,"*public*") + COUNTIFS('Hospital Catalog'!$E:$E,B29,'Hospital Catalog'!$F:$F,"&lt;="&amp;A29,'Hospital Catalog'!$H:$H,"Yes",'Hospital Catalog'!$D:$D,"IMSS public") + COUNTIFS('Hospital Catalog'!$E:$E,B29,'Hospital Catalog'!$F:$F,"&lt;="&amp;A29,'Hospital Catalog'!$H:$H,"Yes",'Hospital Catalog'!$D:$D,"ISSSTE public")</x:f>
        <x:v>0</x:v>
      </x:c>
      <x:c r="G29" s="22" t="n">
        <x:f>IFERROR(F29/C29*100000,"")</x:f>
        <x:v>0</x:v>
      </x:c>
      <x:c r="H29" s="18" t="n">
        <x:f>COUNTIFS('Hospital Catalog'!$E:$E,B29,'Hospital Catalog'!$F:$F,"&lt;="&amp;A29,'Hospital Catalog'!$H:$H,"Yes",'Hospital Catalog'!$K:$K,"High") + COUNTIFS('Hospital Catalog'!$E:$E,B29,'Hospital Catalog'!$F:$F,"&lt;="&amp;A29,'Hospital Catalog'!$H:$H,"Yes",'Hospital Catalog'!$K:$K,"Medium")</x:f>
        <x:v>0</x:v>
      </x:c>
      <x:c r="I29" s="22" t="n">
        <x:f>IFERROR(H29/C29*100000,"")</x:f>
        <x:v>0</x:v>
      </x:c>
      <x:c r="J29" s="16" t="str"/>
    </x:row>
    <x:row r="30">
      <x:c r="A30" s="16" t="n">
        <x:v>1870</x:v>
      </x:c>
      <x:c r="B30" s="16" t="str">
        <x:v>Tláhuac</x:v>
      </x:c>
      <x:c r="C30" s="20" t="n">
        <x:f>INDEX(Population!$B$2:$R$17,MATCH(B30,Population!$A$2:$A$17,0),MATCH(A30,Population!$B$1:$R$1,0))</x:f>
        <x:v>1706</x:v>
      </x:c>
      <x:c r="D30" s="18" t="n">
        <x:f>COUNTIFS('Hospital Catalog'!$E:$E,B30,'Hospital Catalog'!$F:$F,"&lt;="&amp;A30,'Hospital Catalog'!$H:$H,"Yes")</x:f>
        <x:v>0</x:v>
      </x:c>
      <x:c r="E30" s="22" t="n">
        <x:f>IFERROR(D30/C30*100000,"")</x:f>
        <x:v>0</x:v>
      </x:c>
      <x:c r="F30" s="18" t="n">
        <x:f>COUNTIFS('Hospital Catalog'!$E:$E,B30,'Hospital Catalog'!$F:$F,"&lt;="&amp;A30,'Hospital Catalog'!$H:$H,"Yes",'Hospital Catalog'!$D:$D,"*public*") + COUNTIFS('Hospital Catalog'!$E:$E,B30,'Hospital Catalog'!$F:$F,"&lt;="&amp;A30,'Hospital Catalog'!$H:$H,"Yes",'Hospital Catalog'!$D:$D,"IMSS public") + COUNTIFS('Hospital Catalog'!$E:$E,B30,'Hospital Catalog'!$F:$F,"&lt;="&amp;A30,'Hospital Catalog'!$H:$H,"Yes",'Hospital Catalog'!$D:$D,"ISSSTE public")</x:f>
        <x:v>0</x:v>
      </x:c>
      <x:c r="G30" s="22" t="n">
        <x:f>IFERROR(F30/C30*100000,"")</x:f>
        <x:v>0</x:v>
      </x:c>
      <x:c r="H30" s="18" t="n">
        <x:f>COUNTIFS('Hospital Catalog'!$E:$E,B30,'Hospital Catalog'!$F:$F,"&lt;="&amp;A30,'Hospital Catalog'!$H:$H,"Yes",'Hospital Catalog'!$K:$K,"High") + COUNTIFS('Hospital Catalog'!$E:$E,B30,'Hospital Catalog'!$F:$F,"&lt;="&amp;A30,'Hospital Catalog'!$H:$H,"Yes",'Hospital Catalog'!$K:$K,"Medium")</x:f>
        <x:v>0</x:v>
      </x:c>
      <x:c r="I30" s="22" t="n">
        <x:f>IFERROR(H30/C30*100000,"")</x:f>
        <x:v>0</x:v>
      </x:c>
      <x:c r="J30" s="16" t="str"/>
    </x:row>
    <x:row r="31">
      <x:c r="A31" s="16" t="n">
        <x:v>1870</x:v>
      </x:c>
      <x:c r="B31" s="16" t="str">
        <x:v>Tlalpan</x:v>
      </x:c>
      <x:c r="C31" s="20" t="n">
        <x:f>INDEX(Population!$B$2:$R$17,MATCH(B31,Population!$A$2:$A$17,0),MATCH(A31,Population!$B$1:$R$1,0))</x:f>
        <x:v>2925</x:v>
      </x:c>
      <x:c r="D31" s="18" t="n">
        <x:f>COUNTIFS('Hospital Catalog'!$E:$E,B31,'Hospital Catalog'!$F:$F,"&lt;="&amp;A31,'Hospital Catalog'!$H:$H,"Yes")</x:f>
        <x:v>0</x:v>
      </x:c>
      <x:c r="E31" s="22" t="n">
        <x:f>IFERROR(D31/C31*100000,"")</x:f>
        <x:v>0</x:v>
      </x:c>
      <x:c r="F31" s="18" t="n">
        <x:f>COUNTIFS('Hospital Catalog'!$E:$E,B31,'Hospital Catalog'!$F:$F,"&lt;="&amp;A31,'Hospital Catalog'!$H:$H,"Yes",'Hospital Catalog'!$D:$D,"*public*") + COUNTIFS('Hospital Catalog'!$E:$E,B31,'Hospital Catalog'!$F:$F,"&lt;="&amp;A31,'Hospital Catalog'!$H:$H,"Yes",'Hospital Catalog'!$D:$D,"IMSS public") + COUNTIFS('Hospital Catalog'!$E:$E,B31,'Hospital Catalog'!$F:$F,"&lt;="&amp;A31,'Hospital Catalog'!$H:$H,"Yes",'Hospital Catalog'!$D:$D,"ISSSTE public")</x:f>
        <x:v>0</x:v>
      </x:c>
      <x:c r="G31" s="22" t="n">
        <x:f>IFERROR(F31/C31*100000,"")</x:f>
        <x:v>0</x:v>
      </x:c>
      <x:c r="H31" s="18" t="n">
        <x:f>COUNTIFS('Hospital Catalog'!$E:$E,B31,'Hospital Catalog'!$F:$F,"&lt;="&amp;A31,'Hospital Catalog'!$H:$H,"Yes",'Hospital Catalog'!$K:$K,"High") + COUNTIFS('Hospital Catalog'!$E:$E,B31,'Hospital Catalog'!$F:$F,"&lt;="&amp;A31,'Hospital Catalog'!$H:$H,"Yes",'Hospital Catalog'!$K:$K,"Medium")</x:f>
        <x:v>0</x:v>
      </x:c>
      <x:c r="I31" s="22" t="n">
        <x:f>IFERROR(H31/C31*100000,"")</x:f>
        <x:v>0</x:v>
      </x:c>
      <x:c r="J31" s="16" t="str"/>
    </x:row>
    <x:row r="32">
      <x:c r="A32" s="16" t="n">
        <x:v>1870</x:v>
      </x:c>
      <x:c r="B32" s="16" t="str">
        <x:v>Venustiano Carranza</x:v>
      </x:c>
      <x:c r="C32" s="20" t="n">
        <x:f>INDEX(Population!$B$2:$R$17,MATCH(B32,Population!$A$2:$A$17,0),MATCH(A32,Population!$B$1:$R$1,0))</x:f>
        <x:v>41439</x:v>
      </x:c>
      <x:c r="D32" s="18" t="n">
        <x:f>COUNTIFS('Hospital Catalog'!$E:$E,B32,'Hospital Catalog'!$F:$F,"&lt;="&amp;A32,'Hospital Catalog'!$H:$H,"Yes")</x:f>
        <x:v>0</x:v>
      </x:c>
      <x:c r="E32" s="22" t="n">
        <x:f>IFERROR(D32/C32*100000,"")</x:f>
        <x:v>0</x:v>
      </x:c>
      <x:c r="F32" s="18" t="n">
        <x:f>COUNTIFS('Hospital Catalog'!$E:$E,B32,'Hospital Catalog'!$F:$F,"&lt;="&amp;A32,'Hospital Catalog'!$H:$H,"Yes",'Hospital Catalog'!$D:$D,"*public*") + COUNTIFS('Hospital Catalog'!$E:$E,B32,'Hospital Catalog'!$F:$F,"&lt;="&amp;A32,'Hospital Catalog'!$H:$H,"Yes",'Hospital Catalog'!$D:$D,"IMSS public") + COUNTIFS('Hospital Catalog'!$E:$E,B32,'Hospital Catalog'!$F:$F,"&lt;="&amp;A32,'Hospital Catalog'!$H:$H,"Yes",'Hospital Catalog'!$D:$D,"ISSSTE public")</x:f>
        <x:v>0</x:v>
      </x:c>
      <x:c r="G32" s="22" t="n">
        <x:f>IFERROR(F32/C32*100000,"")</x:f>
        <x:v>0</x:v>
      </x:c>
      <x:c r="H32" s="18" t="n">
        <x:f>COUNTIFS('Hospital Catalog'!$E:$E,B32,'Hospital Catalog'!$F:$F,"&lt;="&amp;A32,'Hospital Catalog'!$H:$H,"Yes",'Hospital Catalog'!$K:$K,"High") + COUNTIFS('Hospital Catalog'!$E:$E,B32,'Hospital Catalog'!$F:$F,"&lt;="&amp;A32,'Hospital Catalog'!$H:$H,"Yes",'Hospital Catalog'!$K:$K,"Medium")</x:f>
        <x:v>0</x:v>
      </x:c>
      <x:c r="I32" s="22" t="n">
        <x:f>IFERROR(H32/C32*100000,"")</x:f>
        <x:v>0</x:v>
      </x:c>
      <x:c r="J32" s="16" t="str"/>
    </x:row>
    <x:row r="33">
      <x:c r="A33" s="16" t="n">
        <x:v>1870</x:v>
      </x:c>
      <x:c r="B33" s="16" t="str">
        <x:v>Xochimilco</x:v>
      </x:c>
      <x:c r="C33" s="20" t="n">
        <x:f>INDEX(Population!$B$2:$R$17,MATCH(B33,Population!$A$2:$A$17,0),MATCH(A33,Population!$B$1:$R$1,0))</x:f>
        <x:v>8288</x:v>
      </x:c>
      <x:c r="D33" s="18" t="n">
        <x:f>COUNTIFS('Hospital Catalog'!$E:$E,B33,'Hospital Catalog'!$F:$F,"&lt;="&amp;A33,'Hospital Catalog'!$H:$H,"Yes")</x:f>
        <x:v>0</x:v>
      </x:c>
      <x:c r="E33" s="22" t="n">
        <x:f>IFERROR(D33/C33*100000,"")</x:f>
        <x:v>0</x:v>
      </x:c>
      <x:c r="F33" s="18" t="n">
        <x:f>COUNTIFS('Hospital Catalog'!$E:$E,B33,'Hospital Catalog'!$F:$F,"&lt;="&amp;A33,'Hospital Catalog'!$H:$H,"Yes",'Hospital Catalog'!$D:$D,"*public*") + COUNTIFS('Hospital Catalog'!$E:$E,B33,'Hospital Catalog'!$F:$F,"&lt;="&amp;A33,'Hospital Catalog'!$H:$H,"Yes",'Hospital Catalog'!$D:$D,"IMSS public") + COUNTIFS('Hospital Catalog'!$E:$E,B33,'Hospital Catalog'!$F:$F,"&lt;="&amp;A33,'Hospital Catalog'!$H:$H,"Yes",'Hospital Catalog'!$D:$D,"ISSSTE public")</x:f>
        <x:v>0</x:v>
      </x:c>
      <x:c r="G33" s="22" t="n">
        <x:f>IFERROR(F33/C33*100000,"")</x:f>
        <x:v>0</x:v>
      </x:c>
      <x:c r="H33" s="18" t="n">
        <x:f>COUNTIFS('Hospital Catalog'!$E:$E,B33,'Hospital Catalog'!$F:$F,"&lt;="&amp;A33,'Hospital Catalog'!$H:$H,"Yes",'Hospital Catalog'!$K:$K,"High") + COUNTIFS('Hospital Catalog'!$E:$E,B33,'Hospital Catalog'!$F:$F,"&lt;="&amp;A33,'Hospital Catalog'!$H:$H,"Yes",'Hospital Catalog'!$K:$K,"Medium")</x:f>
        <x:v>0</x:v>
      </x:c>
      <x:c r="I33" s="22" t="n">
        <x:f>IFERROR(H33/C33*100000,"")</x:f>
        <x:v>0</x:v>
      </x:c>
      <x:c r="J33" s="16" t="str"/>
    </x:row>
    <x:row r="34">
      <x:c r="A34" s="16" t="n">
        <x:v>1880</x:v>
      </x:c>
      <x:c r="B34" s="16" t="str">
        <x:v>Álvaro Obregón</x:v>
      </x:c>
      <x:c r="C34" s="20" t="n">
        <x:f>INDEX(Population!$B$2:$R$17,MATCH(B34,Population!$A$2:$A$17,0),MATCH(A34,Population!$B$1:$R$1,0))</x:f>
        <x:v>7069</x:v>
      </x:c>
      <x:c r="D34" s="18" t="n">
        <x:f>COUNTIFS('Hospital Catalog'!$E:$E,B34,'Hospital Catalog'!$F:$F,"&lt;="&amp;A34,'Hospital Catalog'!$H:$H,"Yes")</x:f>
        <x:v>0</x:v>
      </x:c>
      <x:c r="E34" s="22" t="n">
        <x:f>IFERROR(D34/C34*100000,"")</x:f>
        <x:v>0</x:v>
      </x:c>
      <x:c r="F34" s="18" t="n">
        <x:f>COUNTIFS('Hospital Catalog'!$E:$E,B34,'Hospital Catalog'!$F:$F,"&lt;="&amp;A34,'Hospital Catalog'!$H:$H,"Yes",'Hospital Catalog'!$D:$D,"*public*") + COUNTIFS('Hospital Catalog'!$E:$E,B34,'Hospital Catalog'!$F:$F,"&lt;="&amp;A34,'Hospital Catalog'!$H:$H,"Yes",'Hospital Catalog'!$D:$D,"IMSS public") + COUNTIFS('Hospital Catalog'!$E:$E,B34,'Hospital Catalog'!$F:$F,"&lt;="&amp;A34,'Hospital Catalog'!$H:$H,"Yes",'Hospital Catalog'!$D:$D,"ISSSTE public")</x:f>
        <x:v>0</x:v>
      </x:c>
      <x:c r="G34" s="22" t="n">
        <x:f>IFERROR(F34/C34*100000,"")</x:f>
        <x:v>0</x:v>
      </x:c>
      <x:c r="H34" s="18" t="n">
        <x:f>COUNTIFS('Hospital Catalog'!$E:$E,B34,'Hospital Catalog'!$F:$F,"&lt;="&amp;A34,'Hospital Catalog'!$H:$H,"Yes",'Hospital Catalog'!$K:$K,"High") + COUNTIFS('Hospital Catalog'!$E:$E,B34,'Hospital Catalog'!$F:$F,"&lt;="&amp;A34,'Hospital Catalog'!$H:$H,"Yes",'Hospital Catalog'!$K:$K,"Medium")</x:f>
        <x:v>0</x:v>
      </x:c>
      <x:c r="I34" s="22" t="n">
        <x:f>IFERROR(H34/C34*100000,"")</x:f>
        <x:v>0</x:v>
      </x:c>
      <x:c r="J34" s="16" t="str"/>
    </x:row>
    <x:row r="35">
      <x:c r="A35" s="16" t="n">
        <x:v>1880</x:v>
      </x:c>
      <x:c r="B35" s="16" t="str">
        <x:v>Azcapotzalco</x:v>
      </x:c>
      <x:c r="C35" s="20" t="n">
        <x:f>INDEX(Population!$B$2:$R$17,MATCH(B35,Population!$A$2:$A$17,0),MATCH(A35,Population!$B$1:$R$1,0))</x:f>
        <x:v>6480</x:v>
      </x:c>
      <x:c r="D35" s="18" t="n">
        <x:f>COUNTIFS('Hospital Catalog'!$E:$E,B35,'Hospital Catalog'!$F:$F,"&lt;="&amp;A35,'Hospital Catalog'!$H:$H,"Yes")</x:f>
        <x:v>0</x:v>
      </x:c>
      <x:c r="E35" s="22" t="n">
        <x:f>IFERROR(D35/C35*100000,"")</x:f>
        <x:v>0</x:v>
      </x:c>
      <x:c r="F35" s="18" t="n">
        <x:f>COUNTIFS('Hospital Catalog'!$E:$E,B35,'Hospital Catalog'!$F:$F,"&lt;="&amp;A35,'Hospital Catalog'!$H:$H,"Yes",'Hospital Catalog'!$D:$D,"*public*") + COUNTIFS('Hospital Catalog'!$E:$E,B35,'Hospital Catalog'!$F:$F,"&lt;="&amp;A35,'Hospital Catalog'!$H:$H,"Yes",'Hospital Catalog'!$D:$D,"IMSS public") + COUNTIFS('Hospital Catalog'!$E:$E,B35,'Hospital Catalog'!$F:$F,"&lt;="&amp;A35,'Hospital Catalog'!$H:$H,"Yes",'Hospital Catalog'!$D:$D,"ISSSTE public")</x:f>
        <x:v>0</x:v>
      </x:c>
      <x:c r="G35" s="22" t="n">
        <x:f>IFERROR(F35/C35*100000,"")</x:f>
        <x:v>0</x:v>
      </x:c>
      <x:c r="H35" s="18" t="n">
        <x:f>COUNTIFS('Hospital Catalog'!$E:$E,B35,'Hospital Catalog'!$F:$F,"&lt;="&amp;A35,'Hospital Catalog'!$H:$H,"Yes",'Hospital Catalog'!$K:$K,"High") + COUNTIFS('Hospital Catalog'!$E:$E,B35,'Hospital Catalog'!$F:$F,"&lt;="&amp;A35,'Hospital Catalog'!$H:$H,"Yes",'Hospital Catalog'!$K:$K,"Medium")</x:f>
        <x:v>0</x:v>
      </x:c>
      <x:c r="I35" s="22" t="n">
        <x:f>IFERROR(H35/C35*100000,"")</x:f>
        <x:v>0</x:v>
      </x:c>
      <x:c r="J35" s="16" t="str"/>
    </x:row>
    <x:row r="36">
      <x:c r="A36" s="16" t="n">
        <x:v>1880</x:v>
      </x:c>
      <x:c r="B36" s="16" t="str">
        <x:v>Benito Juárez</x:v>
      </x:c>
      <x:c r="C36" s="20" t="n">
        <x:f>INDEX(Population!$B$2:$R$17,MATCH(B36,Population!$A$2:$A$17,0),MATCH(A36,Population!$B$1:$R$1,0))</x:f>
        <x:v>41236</x:v>
      </x:c>
      <x:c r="D36" s="18" t="n">
        <x:f>COUNTIFS('Hospital Catalog'!$E:$E,B36,'Hospital Catalog'!$F:$F,"&lt;="&amp;A36,'Hospital Catalog'!$H:$H,"Yes")</x:f>
        <x:v>0</x:v>
      </x:c>
      <x:c r="E36" s="22" t="n">
        <x:f>IFERROR(D36/C36*100000,"")</x:f>
        <x:v>0</x:v>
      </x:c>
      <x:c r="F36" s="18" t="n">
        <x:f>COUNTIFS('Hospital Catalog'!$E:$E,B36,'Hospital Catalog'!$F:$F,"&lt;="&amp;A36,'Hospital Catalog'!$H:$H,"Yes",'Hospital Catalog'!$D:$D,"*public*") + COUNTIFS('Hospital Catalog'!$E:$E,B36,'Hospital Catalog'!$F:$F,"&lt;="&amp;A36,'Hospital Catalog'!$H:$H,"Yes",'Hospital Catalog'!$D:$D,"IMSS public") + COUNTIFS('Hospital Catalog'!$E:$E,B36,'Hospital Catalog'!$F:$F,"&lt;="&amp;A36,'Hospital Catalog'!$H:$H,"Yes",'Hospital Catalog'!$D:$D,"ISSSTE public")</x:f>
        <x:v>0</x:v>
      </x:c>
      <x:c r="G36" s="22" t="n">
        <x:f>IFERROR(F36/C36*100000,"")</x:f>
        <x:v>0</x:v>
      </x:c>
      <x:c r="H36" s="18" t="n">
        <x:f>COUNTIFS('Hospital Catalog'!$E:$E,B36,'Hospital Catalog'!$F:$F,"&lt;="&amp;A36,'Hospital Catalog'!$H:$H,"Yes",'Hospital Catalog'!$K:$K,"High") + COUNTIFS('Hospital Catalog'!$E:$E,B36,'Hospital Catalog'!$F:$F,"&lt;="&amp;A36,'Hospital Catalog'!$H:$H,"Yes",'Hospital Catalog'!$K:$K,"Medium")</x:f>
        <x:v>0</x:v>
      </x:c>
      <x:c r="I36" s="22" t="n">
        <x:f>IFERROR(H36/C36*100000,"")</x:f>
        <x:v>0</x:v>
      </x:c>
      <x:c r="J36" s="16" t="str"/>
    </x:row>
    <x:row r="37">
      <x:c r="A37" s="16" t="n">
        <x:v>1880</x:v>
      </x:c>
      <x:c r="B37" s="16" t="str">
        <x:v>Coyoacán</x:v>
      </x:c>
      <x:c r="C37" s="20" t="n">
        <x:f>INDEX(Population!$B$2:$R$17,MATCH(B37,Population!$A$2:$A$17,0),MATCH(A37,Population!$B$1:$R$1,0))</x:f>
        <x:v>5302</x:v>
      </x:c>
      <x:c r="D37" s="18" t="n">
        <x:f>COUNTIFS('Hospital Catalog'!$E:$E,B37,'Hospital Catalog'!$F:$F,"&lt;="&amp;A37,'Hospital Catalog'!$H:$H,"Yes")</x:f>
        <x:v>0</x:v>
      </x:c>
      <x:c r="E37" s="22" t="n">
        <x:f>IFERROR(D37/C37*100000,"")</x:f>
        <x:v>0</x:v>
      </x:c>
      <x:c r="F37" s="18" t="n">
        <x:f>COUNTIFS('Hospital Catalog'!$E:$E,B37,'Hospital Catalog'!$F:$F,"&lt;="&amp;A37,'Hospital Catalog'!$H:$H,"Yes",'Hospital Catalog'!$D:$D,"*public*") + COUNTIFS('Hospital Catalog'!$E:$E,B37,'Hospital Catalog'!$F:$F,"&lt;="&amp;A37,'Hospital Catalog'!$H:$H,"Yes",'Hospital Catalog'!$D:$D,"IMSS public") + COUNTIFS('Hospital Catalog'!$E:$E,B37,'Hospital Catalog'!$F:$F,"&lt;="&amp;A37,'Hospital Catalog'!$H:$H,"Yes",'Hospital Catalog'!$D:$D,"ISSSTE public")</x:f>
        <x:v>0</x:v>
      </x:c>
      <x:c r="G37" s="22" t="n">
        <x:f>IFERROR(F37/C37*100000,"")</x:f>
        <x:v>0</x:v>
      </x:c>
      <x:c r="H37" s="18" t="n">
        <x:f>COUNTIFS('Hospital Catalog'!$E:$E,B37,'Hospital Catalog'!$F:$F,"&lt;="&amp;A37,'Hospital Catalog'!$H:$H,"Yes",'Hospital Catalog'!$K:$K,"High") + COUNTIFS('Hospital Catalog'!$E:$E,B37,'Hospital Catalog'!$F:$F,"&lt;="&amp;A37,'Hospital Catalog'!$H:$H,"Yes",'Hospital Catalog'!$K:$K,"Medium")</x:f>
        <x:v>0</x:v>
      </x:c>
      <x:c r="I37" s="22" t="n">
        <x:f>IFERROR(H37/C37*100000,"")</x:f>
        <x:v>0</x:v>
      </x:c>
      <x:c r="J37" s="16" t="str"/>
    </x:row>
    <x:row r="38">
      <x:c r="A38" s="16" t="n">
        <x:v>1880</x:v>
      </x:c>
      <x:c r="B38" s="16" t="str">
        <x:v>Cuajimalpa de Morelos</x:v>
      </x:c>
      <x:c r="C38" s="20" t="n">
        <x:f>INDEX(Population!$B$2:$R$17,MATCH(B38,Population!$A$2:$A$17,0),MATCH(A38,Population!$B$1:$R$1,0))</x:f>
        <x:v>2945</x:v>
      </x:c>
      <x:c r="D38" s="18" t="n">
        <x:f>COUNTIFS('Hospital Catalog'!$E:$E,B38,'Hospital Catalog'!$F:$F,"&lt;="&amp;A38,'Hospital Catalog'!$H:$H,"Yes")</x:f>
        <x:v>0</x:v>
      </x:c>
      <x:c r="E38" s="22" t="n">
        <x:f>IFERROR(D38/C38*100000,"")</x:f>
        <x:v>0</x:v>
      </x:c>
      <x:c r="F38" s="18" t="n">
        <x:f>COUNTIFS('Hospital Catalog'!$E:$E,B38,'Hospital Catalog'!$F:$F,"&lt;="&amp;A38,'Hospital Catalog'!$H:$H,"Yes",'Hospital Catalog'!$D:$D,"*public*") + COUNTIFS('Hospital Catalog'!$E:$E,B38,'Hospital Catalog'!$F:$F,"&lt;="&amp;A38,'Hospital Catalog'!$H:$H,"Yes",'Hospital Catalog'!$D:$D,"IMSS public") + COUNTIFS('Hospital Catalog'!$E:$E,B38,'Hospital Catalog'!$F:$F,"&lt;="&amp;A38,'Hospital Catalog'!$H:$H,"Yes",'Hospital Catalog'!$D:$D,"ISSSTE public")</x:f>
        <x:v>0</x:v>
      </x:c>
      <x:c r="G38" s="22" t="n">
        <x:f>IFERROR(F38/C38*100000,"")</x:f>
        <x:v>0</x:v>
      </x:c>
      <x:c r="H38" s="18" t="n">
        <x:f>COUNTIFS('Hospital Catalog'!$E:$E,B38,'Hospital Catalog'!$F:$F,"&lt;="&amp;A38,'Hospital Catalog'!$H:$H,"Yes",'Hospital Catalog'!$K:$K,"High") + COUNTIFS('Hospital Catalog'!$E:$E,B38,'Hospital Catalog'!$F:$F,"&lt;="&amp;A38,'Hospital Catalog'!$H:$H,"Yes",'Hospital Catalog'!$K:$K,"Medium")</x:f>
        <x:v>0</x:v>
      </x:c>
      <x:c r="I38" s="22" t="n">
        <x:f>IFERROR(H38/C38*100000,"")</x:f>
        <x:v>0</x:v>
      </x:c>
      <x:c r="J38" s="16" t="str"/>
    </x:row>
    <x:row r="39">
      <x:c r="A39" s="16" t="n">
        <x:v>1880</x:v>
      </x:c>
      <x:c r="B39" s="16" t="str">
        <x:v>Cuauhtémoc</x:v>
      </x:c>
      <x:c r="C39" s="20" t="n">
        <x:f>INDEX(Population!$B$2:$R$17,MATCH(B39,Population!$A$2:$A$17,0),MATCH(A39,Population!$B$1:$R$1,0))</x:f>
        <x:v>94254</x:v>
      </x:c>
      <x:c r="D39" s="18" t="n">
        <x:f>COUNTIFS('Hospital Catalog'!$E:$E,B39,'Hospital Catalog'!$F:$F,"&lt;="&amp;A39,'Hospital Catalog'!$H:$H,"Yes")</x:f>
        <x:v>1</x:v>
      </x:c>
      <x:c r="E39" s="22" t="n">
        <x:f>IFERROR(D39/C39*100000,"")</x:f>
        <x:v>1.0609629299552275</x:v>
      </x:c>
      <x:c r="F39" s="18" t="n">
        <x:f>COUNTIFS('Hospital Catalog'!$E:$E,B39,'Hospital Catalog'!$F:$F,"&lt;="&amp;A39,'Hospital Catalog'!$H:$H,"Yes",'Hospital Catalog'!$D:$D,"*public*") + COUNTIFS('Hospital Catalog'!$E:$E,B39,'Hospital Catalog'!$F:$F,"&lt;="&amp;A39,'Hospital Catalog'!$H:$H,"Yes",'Hospital Catalog'!$D:$D,"IMSS public") + COUNTIFS('Hospital Catalog'!$E:$E,B39,'Hospital Catalog'!$F:$F,"&lt;="&amp;A39,'Hospital Catalog'!$H:$H,"Yes",'Hospital Catalog'!$D:$D,"ISSSTE public")</x:f>
        <x:v>0</x:v>
      </x:c>
      <x:c r="G39" s="22" t="n">
        <x:f>IFERROR(F39/C39*100000,"")</x:f>
        <x:v>0</x:v>
      </x:c>
      <x:c r="H39" s="18" t="n">
        <x:f>COUNTIFS('Hospital Catalog'!$E:$E,B39,'Hospital Catalog'!$F:$F,"&lt;="&amp;A39,'Hospital Catalog'!$H:$H,"Yes",'Hospital Catalog'!$K:$K,"High") + COUNTIFS('Hospital Catalog'!$E:$E,B39,'Hospital Catalog'!$F:$F,"&lt;="&amp;A39,'Hospital Catalog'!$H:$H,"Yes",'Hospital Catalog'!$K:$K,"Medium")</x:f>
        <x:v>1</x:v>
      </x:c>
      <x:c r="I39" s="22" t="n">
        <x:f>IFERROR(H39/C39*100000,"")</x:f>
        <x:v>1.0609629299552275</x:v>
      </x:c>
      <x:c r="J39" s="16" t="str"/>
    </x:row>
    <x:row r="40">
      <x:c r="A40" s="16" t="n">
        <x:v>1880</x:v>
      </x:c>
      <x:c r="B40" s="16" t="str">
        <x:v>Gustavo A. Madero</x:v>
      </x:c>
      <x:c r="C40" s="20" t="n">
        <x:f>INDEX(Population!$B$2:$R$17,MATCH(B40,Population!$A$2:$A$17,0),MATCH(A40,Population!$B$1:$R$1,0))</x:f>
        <x:v>5891</x:v>
      </x:c>
      <x:c r="D40" s="18" t="n">
        <x:f>COUNTIFS('Hospital Catalog'!$E:$E,B40,'Hospital Catalog'!$F:$F,"&lt;="&amp;A40,'Hospital Catalog'!$H:$H,"Yes")</x:f>
        <x:v>0</x:v>
      </x:c>
      <x:c r="E40" s="22" t="n">
        <x:f>IFERROR(D40/C40*100000,"")</x:f>
        <x:v>0</x:v>
      </x:c>
      <x:c r="F40" s="18" t="n">
        <x:f>COUNTIFS('Hospital Catalog'!$E:$E,B40,'Hospital Catalog'!$F:$F,"&lt;="&amp;A40,'Hospital Catalog'!$H:$H,"Yes",'Hospital Catalog'!$D:$D,"*public*") + COUNTIFS('Hospital Catalog'!$E:$E,B40,'Hospital Catalog'!$F:$F,"&lt;="&amp;A40,'Hospital Catalog'!$H:$H,"Yes",'Hospital Catalog'!$D:$D,"IMSS public") + COUNTIFS('Hospital Catalog'!$E:$E,B40,'Hospital Catalog'!$F:$F,"&lt;="&amp;A40,'Hospital Catalog'!$H:$H,"Yes",'Hospital Catalog'!$D:$D,"ISSSTE public")</x:f>
        <x:v>0</x:v>
      </x:c>
      <x:c r="G40" s="22" t="n">
        <x:f>IFERROR(F40/C40*100000,"")</x:f>
        <x:v>0</x:v>
      </x:c>
      <x:c r="H40" s="18" t="n">
        <x:f>COUNTIFS('Hospital Catalog'!$E:$E,B40,'Hospital Catalog'!$F:$F,"&lt;="&amp;A40,'Hospital Catalog'!$H:$H,"Yes",'Hospital Catalog'!$K:$K,"High") + COUNTIFS('Hospital Catalog'!$E:$E,B40,'Hospital Catalog'!$F:$F,"&lt;="&amp;A40,'Hospital Catalog'!$H:$H,"Yes",'Hospital Catalog'!$K:$K,"Medium")</x:f>
        <x:v>0</x:v>
      </x:c>
      <x:c r="I40" s="22" t="n">
        <x:f>IFERROR(H40/C40*100000,"")</x:f>
        <x:v>0</x:v>
      </x:c>
      <x:c r="J40" s="16" t="str"/>
    </x:row>
    <x:row r="41">
      <x:c r="A41" s="16" t="n">
        <x:v>1880</x:v>
      </x:c>
      <x:c r="B41" s="16" t="str">
        <x:v>Iztacalco</x:v>
      </x:c>
      <x:c r="C41" s="20" t="n">
        <x:f>INDEX(Population!$B$2:$R$17,MATCH(B41,Population!$A$2:$A$17,0),MATCH(A41,Population!$B$1:$R$1,0))</x:f>
        <x:v>2651</x:v>
      </x:c>
      <x:c r="D41" s="18" t="n">
        <x:f>COUNTIFS('Hospital Catalog'!$E:$E,B41,'Hospital Catalog'!$F:$F,"&lt;="&amp;A41,'Hospital Catalog'!$H:$H,"Yes")</x:f>
        <x:v>0</x:v>
      </x:c>
      <x:c r="E41" s="22" t="n">
        <x:f>IFERROR(D41/C41*100000,"")</x:f>
        <x:v>0</x:v>
      </x:c>
      <x:c r="F41" s="18" t="n">
        <x:f>COUNTIFS('Hospital Catalog'!$E:$E,B41,'Hospital Catalog'!$F:$F,"&lt;="&amp;A41,'Hospital Catalog'!$H:$H,"Yes",'Hospital Catalog'!$D:$D,"*public*") + COUNTIFS('Hospital Catalog'!$E:$E,B41,'Hospital Catalog'!$F:$F,"&lt;="&amp;A41,'Hospital Catalog'!$H:$H,"Yes",'Hospital Catalog'!$D:$D,"IMSS public") + COUNTIFS('Hospital Catalog'!$E:$E,B41,'Hospital Catalog'!$F:$F,"&lt;="&amp;A41,'Hospital Catalog'!$H:$H,"Yes",'Hospital Catalog'!$D:$D,"ISSSTE public")</x:f>
        <x:v>0</x:v>
      </x:c>
      <x:c r="G41" s="22" t="n">
        <x:f>IFERROR(F41/C41*100000,"")</x:f>
        <x:v>0</x:v>
      </x:c>
      <x:c r="H41" s="18" t="n">
        <x:f>COUNTIFS('Hospital Catalog'!$E:$E,B41,'Hospital Catalog'!$F:$F,"&lt;="&amp;A41,'Hospital Catalog'!$H:$H,"Yes",'Hospital Catalog'!$K:$K,"High") + COUNTIFS('Hospital Catalog'!$E:$E,B41,'Hospital Catalog'!$F:$F,"&lt;="&amp;A41,'Hospital Catalog'!$H:$H,"Yes",'Hospital Catalog'!$K:$K,"Medium")</x:f>
        <x:v>0</x:v>
      </x:c>
      <x:c r="I41" s="22" t="n">
        <x:f>IFERROR(H41/C41*100000,"")</x:f>
        <x:v>0</x:v>
      </x:c>
      <x:c r="J41" s="16" t="str"/>
    </x:row>
    <x:row r="42">
      <x:c r="A42" s="16" t="n">
        <x:v>1880</x:v>
      </x:c>
      <x:c r="B42" s="16" t="str">
        <x:v>Iztapalapa</x:v>
      </x:c>
      <x:c r="C42" s="20" t="n">
        <x:f>INDEX(Population!$B$2:$R$17,MATCH(B42,Population!$A$2:$A$17,0),MATCH(A42,Population!$B$1:$R$1,0))</x:f>
        <x:v>7069</x:v>
      </x:c>
      <x:c r="D42" s="18" t="n">
        <x:f>COUNTIFS('Hospital Catalog'!$E:$E,B42,'Hospital Catalog'!$F:$F,"&lt;="&amp;A42,'Hospital Catalog'!$H:$H,"Yes")</x:f>
        <x:v>0</x:v>
      </x:c>
      <x:c r="E42" s="22" t="n">
        <x:f>IFERROR(D42/C42*100000,"")</x:f>
        <x:v>0</x:v>
      </x:c>
      <x:c r="F42" s="18" t="n">
        <x:f>COUNTIFS('Hospital Catalog'!$E:$E,B42,'Hospital Catalog'!$F:$F,"&lt;="&amp;A42,'Hospital Catalog'!$H:$H,"Yes",'Hospital Catalog'!$D:$D,"*public*") + COUNTIFS('Hospital Catalog'!$E:$E,B42,'Hospital Catalog'!$F:$F,"&lt;="&amp;A42,'Hospital Catalog'!$H:$H,"Yes",'Hospital Catalog'!$D:$D,"IMSS public") + COUNTIFS('Hospital Catalog'!$E:$E,B42,'Hospital Catalog'!$F:$F,"&lt;="&amp;A42,'Hospital Catalog'!$H:$H,"Yes",'Hospital Catalog'!$D:$D,"ISSSTE public")</x:f>
        <x:v>0</x:v>
      </x:c>
      <x:c r="G42" s="22" t="n">
        <x:f>IFERROR(F42/C42*100000,"")</x:f>
        <x:v>0</x:v>
      </x:c>
      <x:c r="H42" s="18" t="n">
        <x:f>COUNTIFS('Hospital Catalog'!$E:$E,B42,'Hospital Catalog'!$F:$F,"&lt;="&amp;A42,'Hospital Catalog'!$H:$H,"Yes",'Hospital Catalog'!$K:$K,"High") + COUNTIFS('Hospital Catalog'!$E:$E,B42,'Hospital Catalog'!$F:$F,"&lt;="&amp;A42,'Hospital Catalog'!$H:$H,"Yes",'Hospital Catalog'!$K:$K,"Medium")</x:f>
        <x:v>0</x:v>
      </x:c>
      <x:c r="I42" s="22" t="n">
        <x:f>IFERROR(H42/C42*100000,"")</x:f>
        <x:v>0</x:v>
      </x:c>
      <x:c r="J42" s="16" t="str"/>
    </x:row>
    <x:row r="43">
      <x:c r="A43" s="16" t="n">
        <x:v>1880</x:v>
      </x:c>
      <x:c r="B43" s="16" t="str">
        <x:v>La Magdalena Contreras</x:v>
      </x:c>
      <x:c r="C43" s="20" t="n">
        <x:f>INDEX(Population!$B$2:$R$17,MATCH(B43,Population!$A$2:$A$17,0),MATCH(A43,Population!$B$1:$R$1,0))</x:f>
        <x:v>2062</x:v>
      </x:c>
      <x:c r="D43" s="18" t="n">
        <x:f>COUNTIFS('Hospital Catalog'!$E:$E,B43,'Hospital Catalog'!$F:$F,"&lt;="&amp;A43,'Hospital Catalog'!$H:$H,"Yes")</x:f>
        <x:v>0</x:v>
      </x:c>
      <x:c r="E43" s="22" t="n">
        <x:f>IFERROR(D43/C43*100000,"")</x:f>
        <x:v>0</x:v>
      </x:c>
      <x:c r="F43" s="18" t="n">
        <x:f>COUNTIFS('Hospital Catalog'!$E:$E,B43,'Hospital Catalog'!$F:$F,"&lt;="&amp;A43,'Hospital Catalog'!$H:$H,"Yes",'Hospital Catalog'!$D:$D,"*public*") + COUNTIFS('Hospital Catalog'!$E:$E,B43,'Hospital Catalog'!$F:$F,"&lt;="&amp;A43,'Hospital Catalog'!$H:$H,"Yes",'Hospital Catalog'!$D:$D,"IMSS public") + COUNTIFS('Hospital Catalog'!$E:$E,B43,'Hospital Catalog'!$F:$F,"&lt;="&amp;A43,'Hospital Catalog'!$H:$H,"Yes",'Hospital Catalog'!$D:$D,"ISSSTE public")</x:f>
        <x:v>0</x:v>
      </x:c>
      <x:c r="G43" s="22" t="n">
        <x:f>IFERROR(F43/C43*100000,"")</x:f>
        <x:v>0</x:v>
      </x:c>
      <x:c r="H43" s="18" t="n">
        <x:f>COUNTIFS('Hospital Catalog'!$E:$E,B43,'Hospital Catalog'!$F:$F,"&lt;="&amp;A43,'Hospital Catalog'!$H:$H,"Yes",'Hospital Catalog'!$K:$K,"High") + COUNTIFS('Hospital Catalog'!$E:$E,B43,'Hospital Catalog'!$F:$F,"&lt;="&amp;A43,'Hospital Catalog'!$H:$H,"Yes",'Hospital Catalog'!$K:$K,"Medium")</x:f>
        <x:v>0</x:v>
      </x:c>
      <x:c r="I43" s="22" t="n">
        <x:f>IFERROR(H43/C43*100000,"")</x:f>
        <x:v>0</x:v>
      </x:c>
      <x:c r="J43" s="16" t="str"/>
    </x:row>
    <x:row r="44">
      <x:c r="A44" s="16" t="n">
        <x:v>1880</x:v>
      </x:c>
      <x:c r="B44" s="16" t="str">
        <x:v>Miguel Hidalgo</x:v>
      </x:c>
      <x:c r="C44" s="20" t="n">
        <x:f>INDEX(Population!$B$2:$R$17,MATCH(B44,Population!$A$2:$A$17,0),MATCH(A44,Population!$B$1:$R$1,0))</x:f>
        <x:v>44182</x:v>
      </x:c>
      <x:c r="D44" s="18" t="n">
        <x:f>COUNTIFS('Hospital Catalog'!$E:$E,B44,'Hospital Catalog'!$F:$F,"&lt;="&amp;A44,'Hospital Catalog'!$H:$H,"Yes")</x:f>
        <x:v>0</x:v>
      </x:c>
      <x:c r="E44" s="22" t="n">
        <x:f>IFERROR(D44/C44*100000,"")</x:f>
        <x:v>0</x:v>
      </x:c>
      <x:c r="F44" s="18" t="n">
        <x:f>COUNTIFS('Hospital Catalog'!$E:$E,B44,'Hospital Catalog'!$F:$F,"&lt;="&amp;A44,'Hospital Catalog'!$H:$H,"Yes",'Hospital Catalog'!$D:$D,"*public*") + COUNTIFS('Hospital Catalog'!$E:$E,B44,'Hospital Catalog'!$F:$F,"&lt;="&amp;A44,'Hospital Catalog'!$H:$H,"Yes",'Hospital Catalog'!$D:$D,"IMSS public") + COUNTIFS('Hospital Catalog'!$E:$E,B44,'Hospital Catalog'!$F:$F,"&lt;="&amp;A44,'Hospital Catalog'!$H:$H,"Yes",'Hospital Catalog'!$D:$D,"ISSSTE public")</x:f>
        <x:v>0</x:v>
      </x:c>
      <x:c r="G44" s="22" t="n">
        <x:f>IFERROR(F44/C44*100000,"")</x:f>
        <x:v>0</x:v>
      </x:c>
      <x:c r="H44" s="18" t="n">
        <x:f>COUNTIFS('Hospital Catalog'!$E:$E,B44,'Hospital Catalog'!$F:$F,"&lt;="&amp;A44,'Hospital Catalog'!$H:$H,"Yes",'Hospital Catalog'!$K:$K,"High") + COUNTIFS('Hospital Catalog'!$E:$E,B44,'Hospital Catalog'!$F:$F,"&lt;="&amp;A44,'Hospital Catalog'!$H:$H,"Yes",'Hospital Catalog'!$K:$K,"Medium")</x:f>
        <x:v>0</x:v>
      </x:c>
      <x:c r="I44" s="22" t="n">
        <x:f>IFERROR(H44/C44*100000,"")</x:f>
        <x:v>0</x:v>
      </x:c>
      <x:c r="J44" s="16" t="str"/>
    </x:row>
    <x:row r="45">
      <x:c r="A45" s="16" t="n">
        <x:v>1880</x:v>
      </x:c>
      <x:c r="B45" s="16" t="str">
        <x:v>Milpa Alta</x:v>
      </x:c>
      <x:c r="C45" s="20" t="n">
        <x:f>INDEX(Population!$B$2:$R$17,MATCH(B45,Population!$A$2:$A$17,0),MATCH(A45,Population!$B$1:$R$1,0))</x:f>
        <x:v>5302</x:v>
      </x:c>
      <x:c r="D45" s="18" t="n">
        <x:f>COUNTIFS('Hospital Catalog'!$E:$E,B45,'Hospital Catalog'!$F:$F,"&lt;="&amp;A45,'Hospital Catalog'!$H:$H,"Yes")</x:f>
        <x:v>0</x:v>
      </x:c>
      <x:c r="E45" s="22" t="n">
        <x:f>IFERROR(D45/C45*100000,"")</x:f>
        <x:v>0</x:v>
      </x:c>
      <x:c r="F45" s="18" t="n">
        <x:f>COUNTIFS('Hospital Catalog'!$E:$E,B45,'Hospital Catalog'!$F:$F,"&lt;="&amp;A45,'Hospital Catalog'!$H:$H,"Yes",'Hospital Catalog'!$D:$D,"*public*") + COUNTIFS('Hospital Catalog'!$E:$E,B45,'Hospital Catalog'!$F:$F,"&lt;="&amp;A45,'Hospital Catalog'!$H:$H,"Yes",'Hospital Catalog'!$D:$D,"IMSS public") + COUNTIFS('Hospital Catalog'!$E:$E,B45,'Hospital Catalog'!$F:$F,"&lt;="&amp;A45,'Hospital Catalog'!$H:$H,"Yes",'Hospital Catalog'!$D:$D,"ISSSTE public")</x:f>
        <x:v>0</x:v>
      </x:c>
      <x:c r="G45" s="22" t="n">
        <x:f>IFERROR(F45/C45*100000,"")</x:f>
        <x:v>0</x:v>
      </x:c>
      <x:c r="H45" s="18" t="n">
        <x:f>COUNTIFS('Hospital Catalog'!$E:$E,B45,'Hospital Catalog'!$F:$F,"&lt;="&amp;A45,'Hospital Catalog'!$H:$H,"Yes",'Hospital Catalog'!$K:$K,"High") + COUNTIFS('Hospital Catalog'!$E:$E,B45,'Hospital Catalog'!$F:$F,"&lt;="&amp;A45,'Hospital Catalog'!$H:$H,"Yes",'Hospital Catalog'!$K:$K,"Medium")</x:f>
        <x:v>0</x:v>
      </x:c>
      <x:c r="I45" s="22" t="n">
        <x:f>IFERROR(H45/C45*100000,"")</x:f>
        <x:v>0</x:v>
      </x:c>
      <x:c r="J45" s="16" t="str"/>
    </x:row>
    <x:row r="46">
      <x:c r="A46" s="16" t="n">
        <x:v>1880</x:v>
      </x:c>
      <x:c r="B46" s="16" t="str">
        <x:v>Tláhuac</x:v>
      </x:c>
      <x:c r="C46" s="20" t="n">
        <x:f>INDEX(Population!$B$2:$R$17,MATCH(B46,Population!$A$2:$A$17,0),MATCH(A46,Population!$B$1:$R$1,0))</x:f>
        <x:v>2062</x:v>
      </x:c>
      <x:c r="D46" s="18" t="n">
        <x:f>COUNTIFS('Hospital Catalog'!$E:$E,B46,'Hospital Catalog'!$F:$F,"&lt;="&amp;A46,'Hospital Catalog'!$H:$H,"Yes")</x:f>
        <x:v>0</x:v>
      </x:c>
      <x:c r="E46" s="22" t="n">
        <x:f>IFERROR(D46/C46*100000,"")</x:f>
        <x:v>0</x:v>
      </x:c>
      <x:c r="F46" s="18" t="n">
        <x:f>COUNTIFS('Hospital Catalog'!$E:$E,B46,'Hospital Catalog'!$F:$F,"&lt;="&amp;A46,'Hospital Catalog'!$H:$H,"Yes",'Hospital Catalog'!$D:$D,"*public*") + COUNTIFS('Hospital Catalog'!$E:$E,B46,'Hospital Catalog'!$F:$F,"&lt;="&amp;A46,'Hospital Catalog'!$H:$H,"Yes",'Hospital Catalog'!$D:$D,"IMSS public") + COUNTIFS('Hospital Catalog'!$E:$E,B46,'Hospital Catalog'!$F:$F,"&lt;="&amp;A46,'Hospital Catalog'!$H:$H,"Yes",'Hospital Catalog'!$D:$D,"ISSSTE public")</x:f>
        <x:v>0</x:v>
      </x:c>
      <x:c r="G46" s="22" t="n">
        <x:f>IFERROR(F46/C46*100000,"")</x:f>
        <x:v>0</x:v>
      </x:c>
      <x:c r="H46" s="18" t="n">
        <x:f>COUNTIFS('Hospital Catalog'!$E:$E,B46,'Hospital Catalog'!$F:$F,"&lt;="&amp;A46,'Hospital Catalog'!$H:$H,"Yes",'Hospital Catalog'!$K:$K,"High") + COUNTIFS('Hospital Catalog'!$E:$E,B46,'Hospital Catalog'!$F:$F,"&lt;="&amp;A46,'Hospital Catalog'!$H:$H,"Yes",'Hospital Catalog'!$K:$K,"Medium")</x:f>
        <x:v>0</x:v>
      </x:c>
      <x:c r="I46" s="22" t="n">
        <x:f>IFERROR(H46/C46*100000,"")</x:f>
        <x:v>0</x:v>
      </x:c>
      <x:c r="J46" s="16" t="str"/>
    </x:row>
    <x:row r="47">
      <x:c r="A47" s="16" t="n">
        <x:v>1880</x:v>
      </x:c>
      <x:c r="B47" s="16" t="str">
        <x:v>Tlalpan</x:v>
      </x:c>
      <x:c r="C47" s="20" t="n">
        <x:f>INDEX(Population!$B$2:$R$17,MATCH(B47,Population!$A$2:$A$17,0),MATCH(A47,Population!$B$1:$R$1,0))</x:f>
        <x:v>3535</x:v>
      </x:c>
      <x:c r="D47" s="18" t="n">
        <x:f>COUNTIFS('Hospital Catalog'!$E:$E,B47,'Hospital Catalog'!$F:$F,"&lt;="&amp;A47,'Hospital Catalog'!$H:$H,"Yes")</x:f>
        <x:v>0</x:v>
      </x:c>
      <x:c r="E47" s="22" t="n">
        <x:f>IFERROR(D47/C47*100000,"")</x:f>
        <x:v>0</x:v>
      </x:c>
      <x:c r="F47" s="18" t="n">
        <x:f>COUNTIFS('Hospital Catalog'!$E:$E,B47,'Hospital Catalog'!$F:$F,"&lt;="&amp;A47,'Hospital Catalog'!$H:$H,"Yes",'Hospital Catalog'!$D:$D,"*public*") + COUNTIFS('Hospital Catalog'!$E:$E,B47,'Hospital Catalog'!$F:$F,"&lt;="&amp;A47,'Hospital Catalog'!$H:$H,"Yes",'Hospital Catalog'!$D:$D,"IMSS public") + COUNTIFS('Hospital Catalog'!$E:$E,B47,'Hospital Catalog'!$F:$F,"&lt;="&amp;A47,'Hospital Catalog'!$H:$H,"Yes",'Hospital Catalog'!$D:$D,"ISSSTE public")</x:f>
        <x:v>0</x:v>
      </x:c>
      <x:c r="G47" s="22" t="n">
        <x:f>IFERROR(F47/C47*100000,"")</x:f>
        <x:v>0</x:v>
      </x:c>
      <x:c r="H47" s="18" t="n">
        <x:f>COUNTIFS('Hospital Catalog'!$E:$E,B47,'Hospital Catalog'!$F:$F,"&lt;="&amp;A47,'Hospital Catalog'!$H:$H,"Yes",'Hospital Catalog'!$K:$K,"High") + COUNTIFS('Hospital Catalog'!$E:$E,B47,'Hospital Catalog'!$F:$F,"&lt;="&amp;A47,'Hospital Catalog'!$H:$H,"Yes",'Hospital Catalog'!$K:$K,"Medium")</x:f>
        <x:v>0</x:v>
      </x:c>
      <x:c r="I47" s="22" t="n">
        <x:f>IFERROR(H47/C47*100000,"")</x:f>
        <x:v>0</x:v>
      </x:c>
      <x:c r="J47" s="16" t="str"/>
    </x:row>
    <x:row r="48">
      <x:c r="A48" s="16" t="n">
        <x:v>1880</x:v>
      </x:c>
      <x:c r="B48" s="16" t="str">
        <x:v>Venustiano Carranza</x:v>
      </x:c>
      <x:c r="C48" s="20" t="n">
        <x:f>INDEX(Population!$B$2:$R$17,MATCH(B48,Population!$A$2:$A$17,0),MATCH(A48,Population!$B$1:$R$1,0))</x:f>
        <x:v>50072</x:v>
      </x:c>
      <x:c r="D48" s="18" t="n">
        <x:f>COUNTIFS('Hospital Catalog'!$E:$E,B48,'Hospital Catalog'!$F:$F,"&lt;="&amp;A48,'Hospital Catalog'!$H:$H,"Yes")</x:f>
        <x:v>0</x:v>
      </x:c>
      <x:c r="E48" s="22" t="n">
        <x:f>IFERROR(D48/C48*100000,"")</x:f>
        <x:v>0</x:v>
      </x:c>
      <x:c r="F48" s="18" t="n">
        <x:f>COUNTIFS('Hospital Catalog'!$E:$E,B48,'Hospital Catalog'!$F:$F,"&lt;="&amp;A48,'Hospital Catalog'!$H:$H,"Yes",'Hospital Catalog'!$D:$D,"*public*") + COUNTIFS('Hospital Catalog'!$E:$E,B48,'Hospital Catalog'!$F:$F,"&lt;="&amp;A48,'Hospital Catalog'!$H:$H,"Yes",'Hospital Catalog'!$D:$D,"IMSS public") + COUNTIFS('Hospital Catalog'!$E:$E,B48,'Hospital Catalog'!$F:$F,"&lt;="&amp;A48,'Hospital Catalog'!$H:$H,"Yes",'Hospital Catalog'!$D:$D,"ISSSTE public")</x:f>
        <x:v>0</x:v>
      </x:c>
      <x:c r="G48" s="22" t="n">
        <x:f>IFERROR(F48/C48*100000,"")</x:f>
        <x:v>0</x:v>
      </x:c>
      <x:c r="H48" s="18" t="n">
        <x:f>COUNTIFS('Hospital Catalog'!$E:$E,B48,'Hospital Catalog'!$F:$F,"&lt;="&amp;A48,'Hospital Catalog'!$H:$H,"Yes",'Hospital Catalog'!$K:$K,"High") + COUNTIFS('Hospital Catalog'!$E:$E,B48,'Hospital Catalog'!$F:$F,"&lt;="&amp;A48,'Hospital Catalog'!$H:$H,"Yes",'Hospital Catalog'!$K:$K,"Medium")</x:f>
        <x:v>0</x:v>
      </x:c>
      <x:c r="I48" s="22" t="n">
        <x:f>IFERROR(H48/C48*100000,"")</x:f>
        <x:v>0</x:v>
      </x:c>
      <x:c r="J48" s="16" t="str"/>
    </x:row>
    <x:row r="49">
      <x:c r="A49" s="16" t="n">
        <x:v>1880</x:v>
      </x:c>
      <x:c r="B49" s="16" t="str">
        <x:v>Xochimilco</x:v>
      </x:c>
      <x:c r="C49" s="20" t="n">
        <x:f>INDEX(Population!$B$2:$R$17,MATCH(B49,Population!$A$2:$A$17,0),MATCH(A49,Population!$B$1:$R$1,0))</x:f>
        <x:v>10014</x:v>
      </x:c>
      <x:c r="D49" s="18" t="n">
        <x:f>COUNTIFS('Hospital Catalog'!$E:$E,B49,'Hospital Catalog'!$F:$F,"&lt;="&amp;A49,'Hospital Catalog'!$H:$H,"Yes")</x:f>
        <x:v>0</x:v>
      </x:c>
      <x:c r="E49" s="22" t="n">
        <x:f>IFERROR(D49/C49*100000,"")</x:f>
        <x:v>0</x:v>
      </x:c>
      <x:c r="F49" s="18" t="n">
        <x:f>COUNTIFS('Hospital Catalog'!$E:$E,B49,'Hospital Catalog'!$F:$F,"&lt;="&amp;A49,'Hospital Catalog'!$H:$H,"Yes",'Hospital Catalog'!$D:$D,"*public*") + COUNTIFS('Hospital Catalog'!$E:$E,B49,'Hospital Catalog'!$F:$F,"&lt;="&amp;A49,'Hospital Catalog'!$H:$H,"Yes",'Hospital Catalog'!$D:$D,"IMSS public") + COUNTIFS('Hospital Catalog'!$E:$E,B49,'Hospital Catalog'!$F:$F,"&lt;="&amp;A49,'Hospital Catalog'!$H:$H,"Yes",'Hospital Catalog'!$D:$D,"ISSSTE public")</x:f>
        <x:v>0</x:v>
      </x:c>
      <x:c r="G49" s="22" t="n">
        <x:f>IFERROR(F49/C49*100000,"")</x:f>
        <x:v>0</x:v>
      </x:c>
      <x:c r="H49" s="18" t="n">
        <x:f>COUNTIFS('Hospital Catalog'!$E:$E,B49,'Hospital Catalog'!$F:$F,"&lt;="&amp;A49,'Hospital Catalog'!$H:$H,"Yes",'Hospital Catalog'!$K:$K,"High") + COUNTIFS('Hospital Catalog'!$E:$E,B49,'Hospital Catalog'!$F:$F,"&lt;="&amp;A49,'Hospital Catalog'!$H:$H,"Yes",'Hospital Catalog'!$K:$K,"Medium")</x:f>
        <x:v>0</x:v>
      </x:c>
      <x:c r="I49" s="22" t="n">
        <x:f>IFERROR(H49/C49*100000,"")</x:f>
        <x:v>0</x:v>
      </x:c>
      <x:c r="J49" s="16" t="str"/>
    </x:row>
    <x:row r="50">
      <x:c r="A50" s="16" t="n">
        <x:v>1890</x:v>
      </x:c>
      <x:c r="B50" s="16" t="str">
        <x:v>Álvaro Obregón</x:v>
      </x:c>
      <x:c r="C50" s="20" t="n">
        <x:f>INDEX(Population!$B$2:$R$17,MATCH(B50,Population!$A$2:$A$17,0),MATCH(A50,Population!$B$1:$R$1,0))</x:f>
        <x:v>9750</x:v>
      </x:c>
      <x:c r="D50" s="18" t="n">
        <x:f>COUNTIFS('Hospital Catalog'!$E:$E,B50,'Hospital Catalog'!$F:$F,"&lt;="&amp;A50,'Hospital Catalog'!$H:$H,"Yes")</x:f>
        <x:v>1</x:v>
      </x:c>
      <x:c r="E50" s="22" t="n">
        <x:f>IFERROR(D50/C50*100000,"")</x:f>
        <x:v>10.256410256410255</x:v>
      </x:c>
      <x:c r="F50" s="18" t="n">
        <x:f>COUNTIFS('Hospital Catalog'!$E:$E,B50,'Hospital Catalog'!$F:$F,"&lt;="&amp;A50,'Hospital Catalog'!$H:$H,"Yes",'Hospital Catalog'!$D:$D,"*public*") + COUNTIFS('Hospital Catalog'!$E:$E,B50,'Hospital Catalog'!$F:$F,"&lt;="&amp;A50,'Hospital Catalog'!$H:$H,"Yes",'Hospital Catalog'!$D:$D,"IMSS public") + COUNTIFS('Hospital Catalog'!$E:$E,B50,'Hospital Catalog'!$F:$F,"&lt;="&amp;A50,'Hospital Catalog'!$H:$H,"Yes",'Hospital Catalog'!$D:$D,"ISSSTE public")</x:f>
        <x:v>0</x:v>
      </x:c>
      <x:c r="G50" s="22" t="n">
        <x:f>IFERROR(F50/C50*100000,"")</x:f>
        <x:v>0</x:v>
      </x:c>
      <x:c r="H50" s="18" t="n">
        <x:f>COUNTIFS('Hospital Catalog'!$E:$E,B50,'Hospital Catalog'!$F:$F,"&lt;="&amp;A50,'Hospital Catalog'!$H:$H,"Yes",'Hospital Catalog'!$K:$K,"High") + COUNTIFS('Hospital Catalog'!$E:$E,B50,'Hospital Catalog'!$F:$F,"&lt;="&amp;A50,'Hospital Catalog'!$H:$H,"Yes",'Hospital Catalog'!$K:$K,"Medium")</x:f>
        <x:v>1</x:v>
      </x:c>
      <x:c r="I50" s="22" t="n">
        <x:f>IFERROR(H50/C50*100000,"")</x:f>
        <x:v>10.256410256410255</x:v>
      </x:c>
      <x:c r="J50" s="16" t="str"/>
    </x:row>
    <x:row r="51">
      <x:c r="A51" s="16" t="n">
        <x:v>1890</x:v>
      </x:c>
      <x:c r="B51" s="16" t="str">
        <x:v>Azcapotzalco</x:v>
      </x:c>
      <x:c r="C51" s="20" t="n">
        <x:f>INDEX(Population!$B$2:$R$17,MATCH(B51,Population!$A$2:$A$17,0),MATCH(A51,Population!$B$1:$R$1,0))</x:f>
        <x:v>8938</x:v>
      </x:c>
      <x:c r="D51" s="18" t="n">
        <x:f>COUNTIFS('Hospital Catalog'!$E:$E,B51,'Hospital Catalog'!$F:$F,"&lt;="&amp;A51,'Hospital Catalog'!$H:$H,"Yes")</x:f>
        <x:v>0</x:v>
      </x:c>
      <x:c r="E51" s="22" t="n">
        <x:f>IFERROR(D51/C51*100000,"")</x:f>
        <x:v>0</x:v>
      </x:c>
      <x:c r="F51" s="18" t="n">
        <x:f>COUNTIFS('Hospital Catalog'!$E:$E,B51,'Hospital Catalog'!$F:$F,"&lt;="&amp;A51,'Hospital Catalog'!$H:$H,"Yes",'Hospital Catalog'!$D:$D,"*public*") + COUNTIFS('Hospital Catalog'!$E:$E,B51,'Hospital Catalog'!$F:$F,"&lt;="&amp;A51,'Hospital Catalog'!$H:$H,"Yes",'Hospital Catalog'!$D:$D,"IMSS public") + COUNTIFS('Hospital Catalog'!$E:$E,B51,'Hospital Catalog'!$F:$F,"&lt;="&amp;A51,'Hospital Catalog'!$H:$H,"Yes",'Hospital Catalog'!$D:$D,"ISSSTE public")</x:f>
        <x:v>0</x:v>
      </x:c>
      <x:c r="G51" s="22" t="n">
        <x:f>IFERROR(F51/C51*100000,"")</x:f>
        <x:v>0</x:v>
      </x:c>
      <x:c r="H51" s="18" t="n">
        <x:f>COUNTIFS('Hospital Catalog'!$E:$E,B51,'Hospital Catalog'!$F:$F,"&lt;="&amp;A51,'Hospital Catalog'!$H:$H,"Yes",'Hospital Catalog'!$K:$K,"High") + COUNTIFS('Hospital Catalog'!$E:$E,B51,'Hospital Catalog'!$F:$F,"&lt;="&amp;A51,'Hospital Catalog'!$H:$H,"Yes",'Hospital Catalog'!$K:$K,"Medium")</x:f>
        <x:v>0</x:v>
      </x:c>
      <x:c r="I51" s="22" t="n">
        <x:f>IFERROR(H51/C51*100000,"")</x:f>
        <x:v>0</x:v>
      </x:c>
      <x:c r="J51" s="16" t="str"/>
    </x:row>
    <x:row r="52">
      <x:c r="A52" s="16" t="n">
        <x:v>1890</x:v>
      </x:c>
      <x:c r="B52" s="16" t="str">
        <x:v>Benito Juárez</x:v>
      </x:c>
      <x:c r="C52" s="20" t="n">
        <x:f>INDEX(Population!$B$2:$R$17,MATCH(B52,Population!$A$2:$A$17,0),MATCH(A52,Population!$B$1:$R$1,0))</x:f>
        <x:v>56877</x:v>
      </x:c>
      <x:c r="D52" s="18" t="n">
        <x:f>COUNTIFS('Hospital Catalog'!$E:$E,B52,'Hospital Catalog'!$F:$F,"&lt;="&amp;A52,'Hospital Catalog'!$H:$H,"Yes")</x:f>
        <x:v>0</x:v>
      </x:c>
      <x:c r="E52" s="22" t="n">
        <x:f>IFERROR(D52/C52*100000,"")</x:f>
        <x:v>0</x:v>
      </x:c>
      <x:c r="F52" s="18" t="n">
        <x:f>COUNTIFS('Hospital Catalog'!$E:$E,B52,'Hospital Catalog'!$F:$F,"&lt;="&amp;A52,'Hospital Catalog'!$H:$H,"Yes",'Hospital Catalog'!$D:$D,"*public*") + COUNTIFS('Hospital Catalog'!$E:$E,B52,'Hospital Catalog'!$F:$F,"&lt;="&amp;A52,'Hospital Catalog'!$H:$H,"Yes",'Hospital Catalog'!$D:$D,"IMSS public") + COUNTIFS('Hospital Catalog'!$E:$E,B52,'Hospital Catalog'!$F:$F,"&lt;="&amp;A52,'Hospital Catalog'!$H:$H,"Yes",'Hospital Catalog'!$D:$D,"ISSSTE public")</x:f>
        <x:v>0</x:v>
      </x:c>
      <x:c r="G52" s="22" t="n">
        <x:f>IFERROR(F52/C52*100000,"")</x:f>
        <x:v>0</x:v>
      </x:c>
      <x:c r="H52" s="18" t="n">
        <x:f>COUNTIFS('Hospital Catalog'!$E:$E,B52,'Hospital Catalog'!$F:$F,"&lt;="&amp;A52,'Hospital Catalog'!$H:$H,"Yes",'Hospital Catalog'!$K:$K,"High") + COUNTIFS('Hospital Catalog'!$E:$E,B52,'Hospital Catalog'!$F:$F,"&lt;="&amp;A52,'Hospital Catalog'!$H:$H,"Yes",'Hospital Catalog'!$K:$K,"Medium")</x:f>
        <x:v>0</x:v>
      </x:c>
      <x:c r="I52" s="22" t="n">
        <x:f>IFERROR(H52/C52*100000,"")</x:f>
        <x:v>0</x:v>
      </x:c>
      <x:c r="J52" s="16" t="str"/>
    </x:row>
    <x:row r="53">
      <x:c r="A53" s="16" t="n">
        <x:v>1890</x:v>
      </x:c>
      <x:c r="B53" s="16" t="str">
        <x:v>Coyoacán</x:v>
      </x:c>
      <x:c r="C53" s="20" t="n">
        <x:f>INDEX(Population!$B$2:$R$17,MATCH(B53,Population!$A$2:$A$17,0),MATCH(A53,Population!$B$1:$R$1,0))</x:f>
        <x:v>7313</x:v>
      </x:c>
      <x:c r="D53" s="18" t="n">
        <x:f>COUNTIFS('Hospital Catalog'!$E:$E,B53,'Hospital Catalog'!$F:$F,"&lt;="&amp;A53,'Hospital Catalog'!$H:$H,"Yes")</x:f>
        <x:v>0</x:v>
      </x:c>
      <x:c r="E53" s="22" t="n">
        <x:f>IFERROR(D53/C53*100000,"")</x:f>
        <x:v>0</x:v>
      </x:c>
      <x:c r="F53" s="18" t="n">
        <x:f>COUNTIFS('Hospital Catalog'!$E:$E,B53,'Hospital Catalog'!$F:$F,"&lt;="&amp;A53,'Hospital Catalog'!$H:$H,"Yes",'Hospital Catalog'!$D:$D,"*public*") + COUNTIFS('Hospital Catalog'!$E:$E,B53,'Hospital Catalog'!$F:$F,"&lt;="&amp;A53,'Hospital Catalog'!$H:$H,"Yes",'Hospital Catalog'!$D:$D,"IMSS public") + COUNTIFS('Hospital Catalog'!$E:$E,B53,'Hospital Catalog'!$F:$F,"&lt;="&amp;A53,'Hospital Catalog'!$H:$H,"Yes",'Hospital Catalog'!$D:$D,"ISSSTE public")</x:f>
        <x:v>0</x:v>
      </x:c>
      <x:c r="G53" s="22" t="n">
        <x:f>IFERROR(F53/C53*100000,"")</x:f>
        <x:v>0</x:v>
      </x:c>
      <x:c r="H53" s="18" t="n">
        <x:f>COUNTIFS('Hospital Catalog'!$E:$E,B53,'Hospital Catalog'!$F:$F,"&lt;="&amp;A53,'Hospital Catalog'!$H:$H,"Yes",'Hospital Catalog'!$K:$K,"High") + COUNTIFS('Hospital Catalog'!$E:$E,B53,'Hospital Catalog'!$F:$F,"&lt;="&amp;A53,'Hospital Catalog'!$H:$H,"Yes",'Hospital Catalog'!$K:$K,"Medium")</x:f>
        <x:v>0</x:v>
      </x:c>
      <x:c r="I53" s="22" t="n">
        <x:f>IFERROR(H53/C53*100000,"")</x:f>
        <x:v>0</x:v>
      </x:c>
      <x:c r="J53" s="16" t="str"/>
    </x:row>
    <x:row r="54">
      <x:c r="A54" s="16" t="n">
        <x:v>1890</x:v>
      </x:c>
      <x:c r="B54" s="16" t="str">
        <x:v>Cuajimalpa de Morelos</x:v>
      </x:c>
      <x:c r="C54" s="20" t="n">
        <x:f>INDEX(Population!$B$2:$R$17,MATCH(B54,Population!$A$2:$A$17,0),MATCH(A54,Population!$B$1:$R$1,0))</x:f>
        <x:v>4063</x:v>
      </x:c>
      <x:c r="D54" s="18" t="n">
        <x:f>COUNTIFS('Hospital Catalog'!$E:$E,B54,'Hospital Catalog'!$F:$F,"&lt;="&amp;A54,'Hospital Catalog'!$H:$H,"Yes")</x:f>
        <x:v>0</x:v>
      </x:c>
      <x:c r="E54" s="22" t="n">
        <x:f>IFERROR(D54/C54*100000,"")</x:f>
        <x:v>0</x:v>
      </x:c>
      <x:c r="F54" s="18" t="n">
        <x:f>COUNTIFS('Hospital Catalog'!$E:$E,B54,'Hospital Catalog'!$F:$F,"&lt;="&amp;A54,'Hospital Catalog'!$H:$H,"Yes",'Hospital Catalog'!$D:$D,"*public*") + COUNTIFS('Hospital Catalog'!$E:$E,B54,'Hospital Catalog'!$F:$F,"&lt;="&amp;A54,'Hospital Catalog'!$H:$H,"Yes",'Hospital Catalog'!$D:$D,"IMSS public") + COUNTIFS('Hospital Catalog'!$E:$E,B54,'Hospital Catalog'!$F:$F,"&lt;="&amp;A54,'Hospital Catalog'!$H:$H,"Yes",'Hospital Catalog'!$D:$D,"ISSSTE public")</x:f>
        <x:v>0</x:v>
      </x:c>
      <x:c r="G54" s="22" t="n">
        <x:f>IFERROR(F54/C54*100000,"")</x:f>
        <x:v>0</x:v>
      </x:c>
      <x:c r="H54" s="18" t="n">
        <x:f>COUNTIFS('Hospital Catalog'!$E:$E,B54,'Hospital Catalog'!$F:$F,"&lt;="&amp;A54,'Hospital Catalog'!$H:$H,"Yes",'Hospital Catalog'!$K:$K,"High") + COUNTIFS('Hospital Catalog'!$E:$E,B54,'Hospital Catalog'!$F:$F,"&lt;="&amp;A54,'Hospital Catalog'!$H:$H,"Yes",'Hospital Catalog'!$K:$K,"Medium")</x:f>
        <x:v>0</x:v>
      </x:c>
      <x:c r="I54" s="22" t="n">
        <x:f>IFERROR(H54/C54*100000,"")</x:f>
        <x:v>0</x:v>
      </x:c>
      <x:c r="J54" s="16" t="str"/>
    </x:row>
    <x:row r="55">
      <x:c r="A55" s="16" t="n">
        <x:v>1890</x:v>
      </x:c>
      <x:c r="B55" s="16" t="str">
        <x:v>Cuauhtémoc</x:v>
      </x:c>
      <x:c r="C55" s="20" t="n">
        <x:f>INDEX(Population!$B$2:$R$17,MATCH(B55,Population!$A$2:$A$17,0),MATCH(A55,Population!$B$1:$R$1,0))</x:f>
        <x:v>130005</x:v>
      </x:c>
      <x:c r="D55" s="18" t="n">
        <x:f>COUNTIFS('Hospital Catalog'!$E:$E,B55,'Hospital Catalog'!$F:$F,"&lt;="&amp;A55,'Hospital Catalog'!$H:$H,"Yes")</x:f>
        <x:v>1</x:v>
      </x:c>
      <x:c r="E55" s="22" t="n">
        <x:f>IFERROR(D55/C55*100000,"")</x:f>
        <x:v>0.7692011845698242</x:v>
      </x:c>
      <x:c r="F55" s="18" t="n">
        <x:f>COUNTIFS('Hospital Catalog'!$E:$E,B55,'Hospital Catalog'!$F:$F,"&lt;="&amp;A55,'Hospital Catalog'!$H:$H,"Yes",'Hospital Catalog'!$D:$D,"*public*") + COUNTIFS('Hospital Catalog'!$E:$E,B55,'Hospital Catalog'!$F:$F,"&lt;="&amp;A55,'Hospital Catalog'!$H:$H,"Yes",'Hospital Catalog'!$D:$D,"IMSS public") + COUNTIFS('Hospital Catalog'!$E:$E,B55,'Hospital Catalog'!$F:$F,"&lt;="&amp;A55,'Hospital Catalog'!$H:$H,"Yes",'Hospital Catalog'!$D:$D,"ISSSTE public")</x:f>
        <x:v>0</x:v>
      </x:c>
      <x:c r="G55" s="22" t="n">
        <x:f>IFERROR(F55/C55*100000,"")</x:f>
        <x:v>0</x:v>
      </x:c>
      <x:c r="H55" s="18" t="n">
        <x:f>COUNTIFS('Hospital Catalog'!$E:$E,B55,'Hospital Catalog'!$F:$F,"&lt;="&amp;A55,'Hospital Catalog'!$H:$H,"Yes",'Hospital Catalog'!$K:$K,"High") + COUNTIFS('Hospital Catalog'!$E:$E,B55,'Hospital Catalog'!$F:$F,"&lt;="&amp;A55,'Hospital Catalog'!$H:$H,"Yes",'Hospital Catalog'!$K:$K,"Medium")</x:f>
        <x:v>1</x:v>
      </x:c>
      <x:c r="I55" s="22" t="n">
        <x:f>IFERROR(H55/C55*100000,"")</x:f>
        <x:v>0.7692011845698242</x:v>
      </x:c>
      <x:c r="J55" s="16" t="str"/>
    </x:row>
    <x:row r="56">
      <x:c r="A56" s="16" t="n">
        <x:v>1890</x:v>
      </x:c>
      <x:c r="B56" s="16" t="str">
        <x:v>Gustavo A. Madero</x:v>
      </x:c>
      <x:c r="C56" s="20" t="n">
        <x:f>INDEX(Population!$B$2:$R$17,MATCH(B56,Population!$A$2:$A$17,0),MATCH(A56,Population!$B$1:$R$1,0))</x:f>
        <x:v>8125</x:v>
      </x:c>
      <x:c r="D56" s="18" t="n">
        <x:f>COUNTIFS('Hospital Catalog'!$E:$E,B56,'Hospital Catalog'!$F:$F,"&lt;="&amp;A56,'Hospital Catalog'!$H:$H,"Yes")</x:f>
        <x:v>0</x:v>
      </x:c>
      <x:c r="E56" s="22" t="n">
        <x:f>IFERROR(D56/C56*100000,"")</x:f>
        <x:v>0</x:v>
      </x:c>
      <x:c r="F56" s="18" t="n">
        <x:f>COUNTIFS('Hospital Catalog'!$E:$E,B56,'Hospital Catalog'!$F:$F,"&lt;="&amp;A56,'Hospital Catalog'!$H:$H,"Yes",'Hospital Catalog'!$D:$D,"*public*") + COUNTIFS('Hospital Catalog'!$E:$E,B56,'Hospital Catalog'!$F:$F,"&lt;="&amp;A56,'Hospital Catalog'!$H:$H,"Yes",'Hospital Catalog'!$D:$D,"IMSS public") + COUNTIFS('Hospital Catalog'!$E:$E,B56,'Hospital Catalog'!$F:$F,"&lt;="&amp;A56,'Hospital Catalog'!$H:$H,"Yes",'Hospital Catalog'!$D:$D,"ISSSTE public")</x:f>
        <x:v>0</x:v>
      </x:c>
      <x:c r="G56" s="22" t="n">
        <x:f>IFERROR(F56/C56*100000,"")</x:f>
        <x:v>0</x:v>
      </x:c>
      <x:c r="H56" s="18" t="n">
        <x:f>COUNTIFS('Hospital Catalog'!$E:$E,B56,'Hospital Catalog'!$F:$F,"&lt;="&amp;A56,'Hospital Catalog'!$H:$H,"Yes",'Hospital Catalog'!$K:$K,"High") + COUNTIFS('Hospital Catalog'!$E:$E,B56,'Hospital Catalog'!$F:$F,"&lt;="&amp;A56,'Hospital Catalog'!$H:$H,"Yes",'Hospital Catalog'!$K:$K,"Medium")</x:f>
        <x:v>0</x:v>
      </x:c>
      <x:c r="I56" s="22" t="n">
        <x:f>IFERROR(H56/C56*100000,"")</x:f>
        <x:v>0</x:v>
      </x:c>
      <x:c r="J56" s="16" t="str"/>
    </x:row>
    <x:row r="57">
      <x:c r="A57" s="16" t="n">
        <x:v>1890</x:v>
      </x:c>
      <x:c r="B57" s="16" t="str">
        <x:v>Iztacalco</x:v>
      </x:c>
      <x:c r="C57" s="20" t="n">
        <x:f>INDEX(Population!$B$2:$R$17,MATCH(B57,Population!$A$2:$A$17,0),MATCH(A57,Population!$B$1:$R$1,0))</x:f>
        <x:v>3656</x:v>
      </x:c>
      <x:c r="D57" s="18" t="n">
        <x:f>COUNTIFS('Hospital Catalog'!$E:$E,B57,'Hospital Catalog'!$F:$F,"&lt;="&amp;A57,'Hospital Catalog'!$H:$H,"Yes")</x:f>
        <x:v>0</x:v>
      </x:c>
      <x:c r="E57" s="22" t="n">
        <x:f>IFERROR(D57/C57*100000,"")</x:f>
        <x:v>0</x:v>
      </x:c>
      <x:c r="F57" s="18" t="n">
        <x:f>COUNTIFS('Hospital Catalog'!$E:$E,B57,'Hospital Catalog'!$F:$F,"&lt;="&amp;A57,'Hospital Catalog'!$H:$H,"Yes",'Hospital Catalog'!$D:$D,"*public*") + COUNTIFS('Hospital Catalog'!$E:$E,B57,'Hospital Catalog'!$F:$F,"&lt;="&amp;A57,'Hospital Catalog'!$H:$H,"Yes",'Hospital Catalog'!$D:$D,"IMSS public") + COUNTIFS('Hospital Catalog'!$E:$E,B57,'Hospital Catalog'!$F:$F,"&lt;="&amp;A57,'Hospital Catalog'!$H:$H,"Yes",'Hospital Catalog'!$D:$D,"ISSSTE public")</x:f>
        <x:v>0</x:v>
      </x:c>
      <x:c r="G57" s="22" t="n">
        <x:f>IFERROR(F57/C57*100000,"")</x:f>
        <x:v>0</x:v>
      </x:c>
      <x:c r="H57" s="18" t="n">
        <x:f>COUNTIFS('Hospital Catalog'!$E:$E,B57,'Hospital Catalog'!$F:$F,"&lt;="&amp;A57,'Hospital Catalog'!$H:$H,"Yes",'Hospital Catalog'!$K:$K,"High") + COUNTIFS('Hospital Catalog'!$E:$E,B57,'Hospital Catalog'!$F:$F,"&lt;="&amp;A57,'Hospital Catalog'!$H:$H,"Yes",'Hospital Catalog'!$K:$K,"Medium")</x:f>
        <x:v>0</x:v>
      </x:c>
      <x:c r="I57" s="22" t="n">
        <x:f>IFERROR(H57/C57*100000,"")</x:f>
        <x:v>0</x:v>
      </x:c>
      <x:c r="J57" s="16" t="str"/>
    </x:row>
    <x:row r="58">
      <x:c r="A58" s="16" t="n">
        <x:v>1890</x:v>
      </x:c>
      <x:c r="B58" s="16" t="str">
        <x:v>Iztapalapa</x:v>
      </x:c>
      <x:c r="C58" s="20" t="n">
        <x:f>INDEX(Population!$B$2:$R$17,MATCH(B58,Population!$A$2:$A$17,0),MATCH(A58,Population!$B$1:$R$1,0))</x:f>
        <x:v>9750</x:v>
      </x:c>
      <x:c r="D58" s="18" t="n">
        <x:f>COUNTIFS('Hospital Catalog'!$E:$E,B58,'Hospital Catalog'!$F:$F,"&lt;="&amp;A58,'Hospital Catalog'!$H:$H,"Yes")</x:f>
        <x:v>0</x:v>
      </x:c>
      <x:c r="E58" s="22" t="n">
        <x:f>IFERROR(D58/C58*100000,"")</x:f>
        <x:v>0</x:v>
      </x:c>
      <x:c r="F58" s="18" t="n">
        <x:f>COUNTIFS('Hospital Catalog'!$E:$E,B58,'Hospital Catalog'!$F:$F,"&lt;="&amp;A58,'Hospital Catalog'!$H:$H,"Yes",'Hospital Catalog'!$D:$D,"*public*") + COUNTIFS('Hospital Catalog'!$E:$E,B58,'Hospital Catalog'!$F:$F,"&lt;="&amp;A58,'Hospital Catalog'!$H:$H,"Yes",'Hospital Catalog'!$D:$D,"IMSS public") + COUNTIFS('Hospital Catalog'!$E:$E,B58,'Hospital Catalog'!$F:$F,"&lt;="&amp;A58,'Hospital Catalog'!$H:$H,"Yes",'Hospital Catalog'!$D:$D,"ISSSTE public")</x:f>
        <x:v>0</x:v>
      </x:c>
      <x:c r="G58" s="22" t="n">
        <x:f>IFERROR(F58/C58*100000,"")</x:f>
        <x:v>0</x:v>
      </x:c>
      <x:c r="H58" s="18" t="n">
        <x:f>COUNTIFS('Hospital Catalog'!$E:$E,B58,'Hospital Catalog'!$F:$F,"&lt;="&amp;A58,'Hospital Catalog'!$H:$H,"Yes",'Hospital Catalog'!$K:$K,"High") + COUNTIFS('Hospital Catalog'!$E:$E,B58,'Hospital Catalog'!$F:$F,"&lt;="&amp;A58,'Hospital Catalog'!$H:$H,"Yes",'Hospital Catalog'!$K:$K,"Medium")</x:f>
        <x:v>0</x:v>
      </x:c>
      <x:c r="I58" s="22" t="n">
        <x:f>IFERROR(H58/C58*100000,"")</x:f>
        <x:v>0</x:v>
      </x:c>
      <x:c r="J58" s="16" t="str"/>
    </x:row>
    <x:row r="59">
      <x:c r="A59" s="16" t="n">
        <x:v>1890</x:v>
      </x:c>
      <x:c r="B59" s="16" t="str">
        <x:v>La Magdalena Contreras</x:v>
      </x:c>
      <x:c r="C59" s="20" t="n">
        <x:f>INDEX(Population!$B$2:$R$17,MATCH(B59,Population!$A$2:$A$17,0),MATCH(A59,Population!$B$1:$R$1,0))</x:f>
        <x:v>2844</x:v>
      </x:c>
      <x:c r="D59" s="18" t="n">
        <x:f>COUNTIFS('Hospital Catalog'!$E:$E,B59,'Hospital Catalog'!$F:$F,"&lt;="&amp;A59,'Hospital Catalog'!$H:$H,"Yes")</x:f>
        <x:v>0</x:v>
      </x:c>
      <x:c r="E59" s="22" t="n">
        <x:f>IFERROR(D59/C59*100000,"")</x:f>
        <x:v>0</x:v>
      </x:c>
      <x:c r="F59" s="18" t="n">
        <x:f>COUNTIFS('Hospital Catalog'!$E:$E,B59,'Hospital Catalog'!$F:$F,"&lt;="&amp;A59,'Hospital Catalog'!$H:$H,"Yes",'Hospital Catalog'!$D:$D,"*public*") + COUNTIFS('Hospital Catalog'!$E:$E,B59,'Hospital Catalog'!$F:$F,"&lt;="&amp;A59,'Hospital Catalog'!$H:$H,"Yes",'Hospital Catalog'!$D:$D,"IMSS public") + COUNTIFS('Hospital Catalog'!$E:$E,B59,'Hospital Catalog'!$F:$F,"&lt;="&amp;A59,'Hospital Catalog'!$H:$H,"Yes",'Hospital Catalog'!$D:$D,"ISSSTE public")</x:f>
        <x:v>0</x:v>
      </x:c>
      <x:c r="G59" s="22" t="n">
        <x:f>IFERROR(F59/C59*100000,"")</x:f>
        <x:v>0</x:v>
      </x:c>
      <x:c r="H59" s="18" t="n">
        <x:f>COUNTIFS('Hospital Catalog'!$E:$E,B59,'Hospital Catalog'!$F:$F,"&lt;="&amp;A59,'Hospital Catalog'!$H:$H,"Yes",'Hospital Catalog'!$K:$K,"High") + COUNTIFS('Hospital Catalog'!$E:$E,B59,'Hospital Catalog'!$F:$F,"&lt;="&amp;A59,'Hospital Catalog'!$H:$H,"Yes",'Hospital Catalog'!$K:$K,"Medium")</x:f>
        <x:v>0</x:v>
      </x:c>
      <x:c r="I59" s="22" t="n">
        <x:f>IFERROR(H59/C59*100000,"")</x:f>
        <x:v>0</x:v>
      </x:c>
      <x:c r="J59" s="16" t="str"/>
    </x:row>
    <x:row r="60">
      <x:c r="A60" s="16" t="n">
        <x:v>1890</x:v>
      </x:c>
      <x:c r="B60" s="16" t="str">
        <x:v>Miguel Hidalgo</x:v>
      </x:c>
      <x:c r="C60" s="20" t="n">
        <x:f>INDEX(Population!$B$2:$R$17,MATCH(B60,Population!$A$2:$A$17,0),MATCH(A60,Population!$B$1:$R$1,0))</x:f>
        <x:v>60940</x:v>
      </x:c>
      <x:c r="D60" s="18" t="n">
        <x:f>COUNTIFS('Hospital Catalog'!$E:$E,B60,'Hospital Catalog'!$F:$F,"&lt;="&amp;A60,'Hospital Catalog'!$H:$H,"Yes")</x:f>
        <x:v>1</x:v>
      </x:c>
      <x:c r="E60" s="22" t="n">
        <x:f>IFERROR(D60/C60*100000,"")</x:f>
        <x:v>1.6409583196586806</x:v>
      </x:c>
      <x:c r="F60" s="18" t="n">
        <x:f>COUNTIFS('Hospital Catalog'!$E:$E,B60,'Hospital Catalog'!$F:$F,"&lt;="&amp;A60,'Hospital Catalog'!$H:$H,"Yes",'Hospital Catalog'!$D:$D,"*public*") + COUNTIFS('Hospital Catalog'!$E:$E,B60,'Hospital Catalog'!$F:$F,"&lt;="&amp;A60,'Hospital Catalog'!$H:$H,"Yes",'Hospital Catalog'!$D:$D,"IMSS public") + COUNTIFS('Hospital Catalog'!$E:$E,B60,'Hospital Catalog'!$F:$F,"&lt;="&amp;A60,'Hospital Catalog'!$H:$H,"Yes",'Hospital Catalog'!$D:$D,"ISSSTE public")</x:f>
        <x:v>0</x:v>
      </x:c>
      <x:c r="G60" s="22" t="n">
        <x:f>IFERROR(F60/C60*100000,"")</x:f>
        <x:v>0</x:v>
      </x:c>
      <x:c r="H60" s="18" t="n">
        <x:f>COUNTIFS('Hospital Catalog'!$E:$E,B60,'Hospital Catalog'!$F:$F,"&lt;="&amp;A60,'Hospital Catalog'!$H:$H,"Yes",'Hospital Catalog'!$K:$K,"High") + COUNTIFS('Hospital Catalog'!$E:$E,B60,'Hospital Catalog'!$F:$F,"&lt;="&amp;A60,'Hospital Catalog'!$H:$H,"Yes",'Hospital Catalog'!$K:$K,"Medium")</x:f>
        <x:v>1</x:v>
      </x:c>
      <x:c r="I60" s="22" t="n">
        <x:f>IFERROR(H60/C60*100000,"")</x:f>
        <x:v>1.6409583196586806</x:v>
      </x:c>
      <x:c r="J60" s="16" t="str"/>
    </x:row>
    <x:row r="61">
      <x:c r="A61" s="16" t="n">
        <x:v>1890</x:v>
      </x:c>
      <x:c r="B61" s="16" t="str">
        <x:v>Milpa Alta</x:v>
      </x:c>
      <x:c r="C61" s="20" t="n">
        <x:f>INDEX(Population!$B$2:$R$17,MATCH(B61,Population!$A$2:$A$17,0),MATCH(A61,Population!$B$1:$R$1,0))</x:f>
        <x:v>7313</x:v>
      </x:c>
      <x:c r="D61" s="18" t="n">
        <x:f>COUNTIFS('Hospital Catalog'!$E:$E,B61,'Hospital Catalog'!$F:$F,"&lt;="&amp;A61,'Hospital Catalog'!$H:$H,"Yes")</x:f>
        <x:v>0</x:v>
      </x:c>
      <x:c r="E61" s="22" t="n">
        <x:f>IFERROR(D61/C61*100000,"")</x:f>
        <x:v>0</x:v>
      </x:c>
      <x:c r="F61" s="18" t="n">
        <x:f>COUNTIFS('Hospital Catalog'!$E:$E,B61,'Hospital Catalog'!$F:$F,"&lt;="&amp;A61,'Hospital Catalog'!$H:$H,"Yes",'Hospital Catalog'!$D:$D,"*public*") + COUNTIFS('Hospital Catalog'!$E:$E,B61,'Hospital Catalog'!$F:$F,"&lt;="&amp;A61,'Hospital Catalog'!$H:$H,"Yes",'Hospital Catalog'!$D:$D,"IMSS public") + COUNTIFS('Hospital Catalog'!$E:$E,B61,'Hospital Catalog'!$F:$F,"&lt;="&amp;A61,'Hospital Catalog'!$H:$H,"Yes",'Hospital Catalog'!$D:$D,"ISSSTE public")</x:f>
        <x:v>0</x:v>
      </x:c>
      <x:c r="G61" s="22" t="n">
        <x:f>IFERROR(F61/C61*100000,"")</x:f>
        <x:v>0</x:v>
      </x:c>
      <x:c r="H61" s="18" t="n">
        <x:f>COUNTIFS('Hospital Catalog'!$E:$E,B61,'Hospital Catalog'!$F:$F,"&lt;="&amp;A61,'Hospital Catalog'!$H:$H,"Yes",'Hospital Catalog'!$K:$K,"High") + COUNTIFS('Hospital Catalog'!$E:$E,B61,'Hospital Catalog'!$F:$F,"&lt;="&amp;A61,'Hospital Catalog'!$H:$H,"Yes",'Hospital Catalog'!$K:$K,"Medium")</x:f>
        <x:v>0</x:v>
      </x:c>
      <x:c r="I61" s="22" t="n">
        <x:f>IFERROR(H61/C61*100000,"")</x:f>
        <x:v>0</x:v>
      </x:c>
      <x:c r="J61" s="16" t="str"/>
    </x:row>
    <x:row r="62">
      <x:c r="A62" s="16" t="n">
        <x:v>1890</x:v>
      </x:c>
      <x:c r="B62" s="16" t="str">
        <x:v>Tláhuac</x:v>
      </x:c>
      <x:c r="C62" s="20" t="n">
        <x:f>INDEX(Population!$B$2:$R$17,MATCH(B62,Population!$A$2:$A$17,0),MATCH(A62,Population!$B$1:$R$1,0))</x:f>
        <x:v>2844</x:v>
      </x:c>
      <x:c r="D62" s="18" t="n">
        <x:f>COUNTIFS('Hospital Catalog'!$E:$E,B62,'Hospital Catalog'!$F:$F,"&lt;="&amp;A62,'Hospital Catalog'!$H:$H,"Yes")</x:f>
        <x:v>0</x:v>
      </x:c>
      <x:c r="E62" s="22" t="n">
        <x:f>IFERROR(D62/C62*100000,"")</x:f>
        <x:v>0</x:v>
      </x:c>
      <x:c r="F62" s="18" t="n">
        <x:f>COUNTIFS('Hospital Catalog'!$E:$E,B62,'Hospital Catalog'!$F:$F,"&lt;="&amp;A62,'Hospital Catalog'!$H:$H,"Yes",'Hospital Catalog'!$D:$D,"*public*") + COUNTIFS('Hospital Catalog'!$E:$E,B62,'Hospital Catalog'!$F:$F,"&lt;="&amp;A62,'Hospital Catalog'!$H:$H,"Yes",'Hospital Catalog'!$D:$D,"IMSS public") + COUNTIFS('Hospital Catalog'!$E:$E,B62,'Hospital Catalog'!$F:$F,"&lt;="&amp;A62,'Hospital Catalog'!$H:$H,"Yes",'Hospital Catalog'!$D:$D,"ISSSTE public")</x:f>
        <x:v>0</x:v>
      </x:c>
      <x:c r="G62" s="22" t="n">
        <x:f>IFERROR(F62/C62*100000,"")</x:f>
        <x:v>0</x:v>
      </x:c>
      <x:c r="H62" s="18" t="n">
        <x:f>COUNTIFS('Hospital Catalog'!$E:$E,B62,'Hospital Catalog'!$F:$F,"&lt;="&amp;A62,'Hospital Catalog'!$H:$H,"Yes",'Hospital Catalog'!$K:$K,"High") + COUNTIFS('Hospital Catalog'!$E:$E,B62,'Hospital Catalog'!$F:$F,"&lt;="&amp;A62,'Hospital Catalog'!$H:$H,"Yes",'Hospital Catalog'!$K:$K,"Medium")</x:f>
        <x:v>0</x:v>
      </x:c>
      <x:c r="I62" s="22" t="n">
        <x:f>IFERROR(H62/C62*100000,"")</x:f>
        <x:v>0</x:v>
      </x:c>
      <x:c r="J62" s="16" t="str"/>
    </x:row>
    <x:row r="63">
      <x:c r="A63" s="16" t="n">
        <x:v>1890</x:v>
      </x:c>
      <x:c r="B63" s="16" t="str">
        <x:v>Tlalpan</x:v>
      </x:c>
      <x:c r="C63" s="20" t="n">
        <x:f>INDEX(Population!$B$2:$R$17,MATCH(B63,Population!$A$2:$A$17,0),MATCH(A63,Population!$B$1:$R$1,0))</x:f>
        <x:v>4875</x:v>
      </x:c>
      <x:c r="D63" s="18" t="n">
        <x:f>COUNTIFS('Hospital Catalog'!$E:$E,B63,'Hospital Catalog'!$F:$F,"&lt;="&amp;A63,'Hospital Catalog'!$H:$H,"Yes")</x:f>
        <x:v>0</x:v>
      </x:c>
      <x:c r="E63" s="22" t="n">
        <x:f>IFERROR(D63/C63*100000,"")</x:f>
        <x:v>0</x:v>
      </x:c>
      <x:c r="F63" s="18" t="n">
        <x:f>COUNTIFS('Hospital Catalog'!$E:$E,B63,'Hospital Catalog'!$F:$F,"&lt;="&amp;A63,'Hospital Catalog'!$H:$H,"Yes",'Hospital Catalog'!$D:$D,"*public*") + COUNTIFS('Hospital Catalog'!$E:$E,B63,'Hospital Catalog'!$F:$F,"&lt;="&amp;A63,'Hospital Catalog'!$H:$H,"Yes",'Hospital Catalog'!$D:$D,"IMSS public") + COUNTIFS('Hospital Catalog'!$E:$E,B63,'Hospital Catalog'!$F:$F,"&lt;="&amp;A63,'Hospital Catalog'!$H:$H,"Yes",'Hospital Catalog'!$D:$D,"ISSSTE public")</x:f>
        <x:v>0</x:v>
      </x:c>
      <x:c r="G63" s="22" t="n">
        <x:f>IFERROR(F63/C63*100000,"")</x:f>
        <x:v>0</x:v>
      </x:c>
      <x:c r="H63" s="18" t="n">
        <x:f>COUNTIFS('Hospital Catalog'!$E:$E,B63,'Hospital Catalog'!$F:$F,"&lt;="&amp;A63,'Hospital Catalog'!$H:$H,"Yes",'Hospital Catalog'!$K:$K,"High") + COUNTIFS('Hospital Catalog'!$E:$E,B63,'Hospital Catalog'!$F:$F,"&lt;="&amp;A63,'Hospital Catalog'!$H:$H,"Yes",'Hospital Catalog'!$K:$K,"Medium")</x:f>
        <x:v>0</x:v>
      </x:c>
      <x:c r="I63" s="22" t="n">
        <x:f>IFERROR(H63/C63*100000,"")</x:f>
        <x:v>0</x:v>
      </x:c>
      <x:c r="J63" s="16" t="str"/>
    </x:row>
    <x:row r="64">
      <x:c r="A64" s="16" t="n">
        <x:v>1890</x:v>
      </x:c>
      <x:c r="B64" s="16" t="str">
        <x:v>Venustiano Carranza</x:v>
      </x:c>
      <x:c r="C64" s="20" t="n">
        <x:f>INDEX(Population!$B$2:$R$17,MATCH(B64,Population!$A$2:$A$17,0),MATCH(A64,Population!$B$1:$R$1,0))</x:f>
        <x:v>69065</x:v>
      </x:c>
      <x:c r="D64" s="18" t="n">
        <x:f>COUNTIFS('Hospital Catalog'!$E:$E,B64,'Hospital Catalog'!$F:$F,"&lt;="&amp;A64,'Hospital Catalog'!$H:$H,"Yes")</x:f>
        <x:v>0</x:v>
      </x:c>
      <x:c r="E64" s="22" t="n">
        <x:f>IFERROR(D64/C64*100000,"")</x:f>
        <x:v>0</x:v>
      </x:c>
      <x:c r="F64" s="18" t="n">
        <x:f>COUNTIFS('Hospital Catalog'!$E:$E,B64,'Hospital Catalog'!$F:$F,"&lt;="&amp;A64,'Hospital Catalog'!$H:$H,"Yes",'Hospital Catalog'!$D:$D,"*public*") + COUNTIFS('Hospital Catalog'!$E:$E,B64,'Hospital Catalog'!$F:$F,"&lt;="&amp;A64,'Hospital Catalog'!$H:$H,"Yes",'Hospital Catalog'!$D:$D,"IMSS public") + COUNTIFS('Hospital Catalog'!$E:$E,B64,'Hospital Catalog'!$F:$F,"&lt;="&amp;A64,'Hospital Catalog'!$H:$H,"Yes",'Hospital Catalog'!$D:$D,"ISSSTE public")</x:f>
        <x:v>0</x:v>
      </x:c>
      <x:c r="G64" s="22" t="n">
        <x:f>IFERROR(F64/C64*100000,"")</x:f>
        <x:v>0</x:v>
      </x:c>
      <x:c r="H64" s="18" t="n">
        <x:f>COUNTIFS('Hospital Catalog'!$E:$E,B64,'Hospital Catalog'!$F:$F,"&lt;="&amp;A64,'Hospital Catalog'!$H:$H,"Yes",'Hospital Catalog'!$K:$K,"High") + COUNTIFS('Hospital Catalog'!$E:$E,B64,'Hospital Catalog'!$F:$F,"&lt;="&amp;A64,'Hospital Catalog'!$H:$H,"Yes",'Hospital Catalog'!$K:$K,"Medium")</x:f>
        <x:v>0</x:v>
      </x:c>
      <x:c r="I64" s="22" t="n">
        <x:f>IFERROR(H64/C64*100000,"")</x:f>
        <x:v>0</x:v>
      </x:c>
      <x:c r="J64" s="16" t="str"/>
    </x:row>
    <x:row r="65">
      <x:c r="A65" s="16" t="n">
        <x:v>1890</x:v>
      </x:c>
      <x:c r="B65" s="16" t="str">
        <x:v>Xochimilco</x:v>
      </x:c>
      <x:c r="C65" s="20" t="n">
        <x:f>INDEX(Population!$B$2:$R$17,MATCH(B65,Population!$A$2:$A$17,0),MATCH(A65,Population!$B$1:$R$1,0))</x:f>
        <x:v>13813</x:v>
      </x:c>
      <x:c r="D65" s="18" t="n">
        <x:f>COUNTIFS('Hospital Catalog'!$E:$E,B65,'Hospital Catalog'!$F:$F,"&lt;="&amp;A65,'Hospital Catalog'!$H:$H,"Yes")</x:f>
        <x:v>0</x:v>
      </x:c>
      <x:c r="E65" s="22" t="n">
        <x:f>IFERROR(D65/C65*100000,"")</x:f>
        <x:v>0</x:v>
      </x:c>
      <x:c r="F65" s="18" t="n">
        <x:f>COUNTIFS('Hospital Catalog'!$E:$E,B65,'Hospital Catalog'!$F:$F,"&lt;="&amp;A65,'Hospital Catalog'!$H:$H,"Yes",'Hospital Catalog'!$D:$D,"*public*") + COUNTIFS('Hospital Catalog'!$E:$E,B65,'Hospital Catalog'!$F:$F,"&lt;="&amp;A65,'Hospital Catalog'!$H:$H,"Yes",'Hospital Catalog'!$D:$D,"IMSS public") + COUNTIFS('Hospital Catalog'!$E:$E,B65,'Hospital Catalog'!$F:$F,"&lt;="&amp;A65,'Hospital Catalog'!$H:$H,"Yes",'Hospital Catalog'!$D:$D,"ISSSTE public")</x:f>
        <x:v>0</x:v>
      </x:c>
      <x:c r="G65" s="22" t="n">
        <x:f>IFERROR(F65/C65*100000,"")</x:f>
        <x:v>0</x:v>
      </x:c>
      <x:c r="H65" s="18" t="n">
        <x:f>COUNTIFS('Hospital Catalog'!$E:$E,B65,'Hospital Catalog'!$F:$F,"&lt;="&amp;A65,'Hospital Catalog'!$H:$H,"Yes",'Hospital Catalog'!$K:$K,"High") + COUNTIFS('Hospital Catalog'!$E:$E,B65,'Hospital Catalog'!$F:$F,"&lt;="&amp;A65,'Hospital Catalog'!$H:$H,"Yes",'Hospital Catalog'!$K:$K,"Medium")</x:f>
        <x:v>0</x:v>
      </x:c>
      <x:c r="I65" s="22" t="n">
        <x:f>IFERROR(H65/C65*100000,"")</x:f>
        <x:v>0</x:v>
      </x:c>
      <x:c r="J65" s="16" t="str"/>
    </x:row>
    <x:row r="66">
      <x:c r="A66" s="16" t="n">
        <x:v>1900</x:v>
      </x:c>
      <x:c r="B66" s="16" t="str">
        <x:v>Álvaro Obregón</x:v>
      </x:c>
      <x:c r="C66" s="20" t="n">
        <x:f>INDEX(Population!$B$2:$R$17,MATCH(B66,Population!$A$2:$A$17,0),MATCH(A66,Population!$B$1:$R$1,0))</x:f>
        <x:v>13194</x:v>
      </x:c>
      <x:c r="D66" s="18" t="n">
        <x:f>COUNTIFS('Hospital Catalog'!$E:$E,B66,'Hospital Catalog'!$F:$F,"&lt;="&amp;A66,'Hospital Catalog'!$H:$H,"Yes")</x:f>
        <x:v>1</x:v>
      </x:c>
      <x:c r="E66" s="22" t="n">
        <x:f>IFERROR(D66/C66*100000,"")</x:f>
        <x:v>7.579202667879339</x:v>
      </x:c>
      <x:c r="F66" s="18" t="n">
        <x:f>COUNTIFS('Hospital Catalog'!$E:$E,B66,'Hospital Catalog'!$F:$F,"&lt;="&amp;A66,'Hospital Catalog'!$H:$H,"Yes",'Hospital Catalog'!$D:$D,"*public*") + COUNTIFS('Hospital Catalog'!$E:$E,B66,'Hospital Catalog'!$F:$F,"&lt;="&amp;A66,'Hospital Catalog'!$H:$H,"Yes",'Hospital Catalog'!$D:$D,"IMSS public") + COUNTIFS('Hospital Catalog'!$E:$E,B66,'Hospital Catalog'!$F:$F,"&lt;="&amp;A66,'Hospital Catalog'!$H:$H,"Yes",'Hospital Catalog'!$D:$D,"ISSSTE public")</x:f>
        <x:v>0</x:v>
      </x:c>
      <x:c r="G66" s="22" t="n">
        <x:f>IFERROR(F66/C66*100000,"")</x:f>
        <x:v>0</x:v>
      </x:c>
      <x:c r="H66" s="18" t="n">
        <x:f>COUNTIFS('Hospital Catalog'!$E:$E,B66,'Hospital Catalog'!$F:$F,"&lt;="&amp;A66,'Hospital Catalog'!$H:$H,"Yes",'Hospital Catalog'!$K:$K,"High") + COUNTIFS('Hospital Catalog'!$E:$E,B66,'Hospital Catalog'!$F:$F,"&lt;="&amp;A66,'Hospital Catalog'!$H:$H,"Yes",'Hospital Catalog'!$K:$K,"Medium")</x:f>
        <x:v>1</x:v>
      </x:c>
      <x:c r="I66" s="22" t="n">
        <x:f>IFERROR(H66/C66*100000,"")</x:f>
        <x:v>7.579202667879339</x:v>
      </x:c>
      <x:c r="J66" s="16" t="str"/>
    </x:row>
    <x:row r="67">
      <x:c r="A67" s="16" t="n">
        <x:v>1900</x:v>
      </x:c>
      <x:c r="B67" s="16" t="str">
        <x:v>Azcapotzalco</x:v>
      </x:c>
      <x:c r="C67" s="20" t="n">
        <x:f>INDEX(Population!$B$2:$R$17,MATCH(B67,Population!$A$2:$A$17,0),MATCH(A67,Population!$B$1:$R$1,0))</x:f>
        <x:v>12095</x:v>
      </x:c>
      <x:c r="D67" s="18" t="n">
        <x:f>COUNTIFS('Hospital Catalog'!$E:$E,B67,'Hospital Catalog'!$F:$F,"&lt;="&amp;A67,'Hospital Catalog'!$H:$H,"Yes")</x:f>
        <x:v>0</x:v>
      </x:c>
      <x:c r="E67" s="22" t="n">
        <x:f>IFERROR(D67/C67*100000,"")</x:f>
        <x:v>0</x:v>
      </x:c>
      <x:c r="F67" s="18" t="n">
        <x:f>COUNTIFS('Hospital Catalog'!$E:$E,B67,'Hospital Catalog'!$F:$F,"&lt;="&amp;A67,'Hospital Catalog'!$H:$H,"Yes",'Hospital Catalog'!$D:$D,"*public*") + COUNTIFS('Hospital Catalog'!$E:$E,B67,'Hospital Catalog'!$F:$F,"&lt;="&amp;A67,'Hospital Catalog'!$H:$H,"Yes",'Hospital Catalog'!$D:$D,"IMSS public") + COUNTIFS('Hospital Catalog'!$E:$E,B67,'Hospital Catalog'!$F:$F,"&lt;="&amp;A67,'Hospital Catalog'!$H:$H,"Yes",'Hospital Catalog'!$D:$D,"ISSSTE public")</x:f>
        <x:v>0</x:v>
      </x:c>
      <x:c r="G67" s="22" t="n">
        <x:f>IFERROR(F67/C67*100000,"")</x:f>
        <x:v>0</x:v>
      </x:c>
      <x:c r="H67" s="18" t="n">
        <x:f>COUNTIFS('Hospital Catalog'!$E:$E,B67,'Hospital Catalog'!$F:$F,"&lt;="&amp;A67,'Hospital Catalog'!$H:$H,"Yes",'Hospital Catalog'!$K:$K,"High") + COUNTIFS('Hospital Catalog'!$E:$E,B67,'Hospital Catalog'!$F:$F,"&lt;="&amp;A67,'Hospital Catalog'!$H:$H,"Yes",'Hospital Catalog'!$K:$K,"Medium")</x:f>
        <x:v>0</x:v>
      </x:c>
      <x:c r="I67" s="22" t="n">
        <x:f>IFERROR(H67/C67*100000,"")</x:f>
        <x:v>0</x:v>
      </x:c>
      <x:c r="J67" s="16" t="str"/>
    </x:row>
    <x:row r="68">
      <x:c r="A68" s="16" t="n">
        <x:v>1900</x:v>
      </x:c>
      <x:c r="B68" s="16" t="str">
        <x:v>Benito Juárez</x:v>
      </x:c>
      <x:c r="C68" s="20" t="n">
        <x:f>INDEX(Population!$B$2:$R$17,MATCH(B68,Population!$A$2:$A$17,0),MATCH(A68,Population!$B$1:$R$1,0))</x:f>
        <x:v>76967</x:v>
      </x:c>
      <x:c r="D68" s="18" t="n">
        <x:f>COUNTIFS('Hospital Catalog'!$E:$E,B68,'Hospital Catalog'!$F:$F,"&lt;="&amp;A68,'Hospital Catalog'!$H:$H,"Yes")</x:f>
        <x:v>0</x:v>
      </x:c>
      <x:c r="E68" s="22" t="n">
        <x:f>IFERROR(D68/C68*100000,"")</x:f>
        <x:v>0</x:v>
      </x:c>
      <x:c r="F68" s="18" t="n">
        <x:f>COUNTIFS('Hospital Catalog'!$E:$E,B68,'Hospital Catalog'!$F:$F,"&lt;="&amp;A68,'Hospital Catalog'!$H:$H,"Yes",'Hospital Catalog'!$D:$D,"*public*") + COUNTIFS('Hospital Catalog'!$E:$E,B68,'Hospital Catalog'!$F:$F,"&lt;="&amp;A68,'Hospital Catalog'!$H:$H,"Yes",'Hospital Catalog'!$D:$D,"IMSS public") + COUNTIFS('Hospital Catalog'!$E:$E,B68,'Hospital Catalog'!$F:$F,"&lt;="&amp;A68,'Hospital Catalog'!$H:$H,"Yes",'Hospital Catalog'!$D:$D,"ISSSTE public")</x:f>
        <x:v>0</x:v>
      </x:c>
      <x:c r="G68" s="22" t="n">
        <x:f>IFERROR(F68/C68*100000,"")</x:f>
        <x:v>0</x:v>
      </x:c>
      <x:c r="H68" s="18" t="n">
        <x:f>COUNTIFS('Hospital Catalog'!$E:$E,B68,'Hospital Catalog'!$F:$F,"&lt;="&amp;A68,'Hospital Catalog'!$H:$H,"Yes",'Hospital Catalog'!$K:$K,"High") + COUNTIFS('Hospital Catalog'!$E:$E,B68,'Hospital Catalog'!$F:$F,"&lt;="&amp;A68,'Hospital Catalog'!$H:$H,"Yes",'Hospital Catalog'!$K:$K,"Medium")</x:f>
        <x:v>0</x:v>
      </x:c>
      <x:c r="I68" s="22" t="n">
        <x:f>IFERROR(H68/C68*100000,"")</x:f>
        <x:v>0</x:v>
      </x:c>
      <x:c r="J68" s="16" t="str"/>
    </x:row>
    <x:row r="69">
      <x:c r="A69" s="16" t="n">
        <x:v>1900</x:v>
      </x:c>
      <x:c r="B69" s="16" t="str">
        <x:v>Coyoacán</x:v>
      </x:c>
      <x:c r="C69" s="20" t="n">
        <x:f>INDEX(Population!$B$2:$R$17,MATCH(B69,Population!$A$2:$A$17,0),MATCH(A69,Population!$B$1:$R$1,0))</x:f>
        <x:v>9896</x:v>
      </x:c>
      <x:c r="D69" s="18" t="n">
        <x:f>COUNTIFS('Hospital Catalog'!$E:$E,B69,'Hospital Catalog'!$F:$F,"&lt;="&amp;A69,'Hospital Catalog'!$H:$H,"Yes")</x:f>
        <x:v>0</x:v>
      </x:c>
      <x:c r="E69" s="22" t="n">
        <x:f>IFERROR(D69/C69*100000,"")</x:f>
        <x:v>0</x:v>
      </x:c>
      <x:c r="F69" s="18" t="n">
        <x:f>COUNTIFS('Hospital Catalog'!$E:$E,B69,'Hospital Catalog'!$F:$F,"&lt;="&amp;A69,'Hospital Catalog'!$H:$H,"Yes",'Hospital Catalog'!$D:$D,"*public*") + COUNTIFS('Hospital Catalog'!$E:$E,B69,'Hospital Catalog'!$F:$F,"&lt;="&amp;A69,'Hospital Catalog'!$H:$H,"Yes",'Hospital Catalog'!$D:$D,"IMSS public") + COUNTIFS('Hospital Catalog'!$E:$E,B69,'Hospital Catalog'!$F:$F,"&lt;="&amp;A69,'Hospital Catalog'!$H:$H,"Yes",'Hospital Catalog'!$D:$D,"ISSSTE public")</x:f>
        <x:v>0</x:v>
      </x:c>
      <x:c r="G69" s="22" t="n">
        <x:f>IFERROR(F69/C69*100000,"")</x:f>
        <x:v>0</x:v>
      </x:c>
      <x:c r="H69" s="18" t="n">
        <x:f>COUNTIFS('Hospital Catalog'!$E:$E,B69,'Hospital Catalog'!$F:$F,"&lt;="&amp;A69,'Hospital Catalog'!$H:$H,"Yes",'Hospital Catalog'!$K:$K,"High") + COUNTIFS('Hospital Catalog'!$E:$E,B69,'Hospital Catalog'!$F:$F,"&lt;="&amp;A69,'Hospital Catalog'!$H:$H,"Yes",'Hospital Catalog'!$K:$K,"Medium")</x:f>
        <x:v>0</x:v>
      </x:c>
      <x:c r="I69" s="22" t="n">
        <x:f>IFERROR(H69/C69*100000,"")</x:f>
        <x:v>0</x:v>
      </x:c>
      <x:c r="J69" s="16" t="str"/>
    </x:row>
    <x:row r="70">
      <x:c r="A70" s="16" t="n">
        <x:v>1900</x:v>
      </x:c>
      <x:c r="B70" s="16" t="str">
        <x:v>Cuajimalpa de Morelos</x:v>
      </x:c>
      <x:c r="C70" s="20" t="n">
        <x:f>INDEX(Population!$B$2:$R$17,MATCH(B70,Population!$A$2:$A$17,0),MATCH(A70,Population!$B$1:$R$1,0))</x:f>
        <x:v>5498</x:v>
      </x:c>
      <x:c r="D70" s="18" t="n">
        <x:f>COUNTIFS('Hospital Catalog'!$E:$E,B70,'Hospital Catalog'!$F:$F,"&lt;="&amp;A70,'Hospital Catalog'!$H:$H,"Yes")</x:f>
        <x:v>0</x:v>
      </x:c>
      <x:c r="E70" s="22" t="n">
        <x:f>IFERROR(D70/C70*100000,"")</x:f>
        <x:v>0</x:v>
      </x:c>
      <x:c r="F70" s="18" t="n">
        <x:f>COUNTIFS('Hospital Catalog'!$E:$E,B70,'Hospital Catalog'!$F:$F,"&lt;="&amp;A70,'Hospital Catalog'!$H:$H,"Yes",'Hospital Catalog'!$D:$D,"*public*") + COUNTIFS('Hospital Catalog'!$E:$E,B70,'Hospital Catalog'!$F:$F,"&lt;="&amp;A70,'Hospital Catalog'!$H:$H,"Yes",'Hospital Catalog'!$D:$D,"IMSS public") + COUNTIFS('Hospital Catalog'!$E:$E,B70,'Hospital Catalog'!$F:$F,"&lt;="&amp;A70,'Hospital Catalog'!$H:$H,"Yes",'Hospital Catalog'!$D:$D,"ISSSTE public")</x:f>
        <x:v>0</x:v>
      </x:c>
      <x:c r="G70" s="22" t="n">
        <x:f>IFERROR(F70/C70*100000,"")</x:f>
        <x:v>0</x:v>
      </x:c>
      <x:c r="H70" s="18" t="n">
        <x:f>COUNTIFS('Hospital Catalog'!$E:$E,B70,'Hospital Catalog'!$F:$F,"&lt;="&amp;A70,'Hospital Catalog'!$H:$H,"Yes",'Hospital Catalog'!$K:$K,"High") + COUNTIFS('Hospital Catalog'!$E:$E,B70,'Hospital Catalog'!$F:$F,"&lt;="&amp;A70,'Hospital Catalog'!$H:$H,"Yes",'Hospital Catalog'!$K:$K,"Medium")</x:f>
        <x:v>0</x:v>
      </x:c>
      <x:c r="I70" s="22" t="n">
        <x:f>IFERROR(H70/C70*100000,"")</x:f>
        <x:v>0</x:v>
      </x:c>
      <x:c r="J70" s="16" t="str"/>
    </x:row>
    <x:row r="71">
      <x:c r="A71" s="16" t="n">
        <x:v>1900</x:v>
      </x:c>
      <x:c r="B71" s="16" t="str">
        <x:v>Cuauhtémoc</x:v>
      </x:c>
      <x:c r="C71" s="20" t="n">
        <x:f>INDEX(Population!$B$2:$R$17,MATCH(B71,Population!$A$2:$A$17,0),MATCH(A71,Population!$B$1:$R$1,0))</x:f>
        <x:v>175924</x:v>
      </x:c>
      <x:c r="D71" s="18" t="n">
        <x:f>COUNTIFS('Hospital Catalog'!$E:$E,B71,'Hospital Catalog'!$F:$F,"&lt;="&amp;A71,'Hospital Catalog'!$H:$H,"Yes")</x:f>
        <x:v>1</x:v>
      </x:c>
      <x:c r="E71" s="22" t="n">
        <x:f>IFERROR(D71/C71*100000,"")</x:f>
        <x:v>0.5684272754143834</x:v>
      </x:c>
      <x:c r="F71" s="18" t="n">
        <x:f>COUNTIFS('Hospital Catalog'!$E:$E,B71,'Hospital Catalog'!$F:$F,"&lt;="&amp;A71,'Hospital Catalog'!$H:$H,"Yes",'Hospital Catalog'!$D:$D,"*public*") + COUNTIFS('Hospital Catalog'!$E:$E,B71,'Hospital Catalog'!$F:$F,"&lt;="&amp;A71,'Hospital Catalog'!$H:$H,"Yes",'Hospital Catalog'!$D:$D,"IMSS public") + COUNTIFS('Hospital Catalog'!$E:$E,B71,'Hospital Catalog'!$F:$F,"&lt;="&amp;A71,'Hospital Catalog'!$H:$H,"Yes",'Hospital Catalog'!$D:$D,"ISSSTE public")</x:f>
        <x:v>0</x:v>
      </x:c>
      <x:c r="G71" s="22" t="n">
        <x:f>IFERROR(F71/C71*100000,"")</x:f>
        <x:v>0</x:v>
      </x:c>
      <x:c r="H71" s="18" t="n">
        <x:f>COUNTIFS('Hospital Catalog'!$E:$E,B71,'Hospital Catalog'!$F:$F,"&lt;="&amp;A71,'Hospital Catalog'!$H:$H,"Yes",'Hospital Catalog'!$K:$K,"High") + COUNTIFS('Hospital Catalog'!$E:$E,B71,'Hospital Catalog'!$F:$F,"&lt;="&amp;A71,'Hospital Catalog'!$H:$H,"Yes",'Hospital Catalog'!$K:$K,"Medium")</x:f>
        <x:v>1</x:v>
      </x:c>
      <x:c r="I71" s="22" t="n">
        <x:f>IFERROR(H71/C71*100000,"")</x:f>
        <x:v>0.5684272754143834</x:v>
      </x:c>
      <x:c r="J71" s="16" t="str"/>
    </x:row>
    <x:row r="72">
      <x:c r="A72" s="16" t="n">
        <x:v>1900</x:v>
      </x:c>
      <x:c r="B72" s="16" t="str">
        <x:v>Gustavo A. Madero</x:v>
      </x:c>
      <x:c r="C72" s="20" t="n">
        <x:f>INDEX(Population!$B$2:$R$17,MATCH(B72,Population!$A$2:$A$17,0),MATCH(A72,Population!$B$1:$R$1,0))</x:f>
        <x:v>10995</x:v>
      </x:c>
      <x:c r="D72" s="18" t="n">
        <x:f>COUNTIFS('Hospital Catalog'!$E:$E,B72,'Hospital Catalog'!$F:$F,"&lt;="&amp;A72,'Hospital Catalog'!$H:$H,"Yes")</x:f>
        <x:v>0</x:v>
      </x:c>
      <x:c r="E72" s="22" t="n">
        <x:f>IFERROR(D72/C72*100000,"")</x:f>
        <x:v>0</x:v>
      </x:c>
      <x:c r="F72" s="18" t="n">
        <x:f>COUNTIFS('Hospital Catalog'!$E:$E,B72,'Hospital Catalog'!$F:$F,"&lt;="&amp;A72,'Hospital Catalog'!$H:$H,"Yes",'Hospital Catalog'!$D:$D,"*public*") + COUNTIFS('Hospital Catalog'!$E:$E,B72,'Hospital Catalog'!$F:$F,"&lt;="&amp;A72,'Hospital Catalog'!$H:$H,"Yes",'Hospital Catalog'!$D:$D,"IMSS public") + COUNTIFS('Hospital Catalog'!$E:$E,B72,'Hospital Catalog'!$F:$F,"&lt;="&amp;A72,'Hospital Catalog'!$H:$H,"Yes",'Hospital Catalog'!$D:$D,"ISSSTE public")</x:f>
        <x:v>0</x:v>
      </x:c>
      <x:c r="G72" s="22" t="n">
        <x:f>IFERROR(F72/C72*100000,"")</x:f>
        <x:v>0</x:v>
      </x:c>
      <x:c r="H72" s="18" t="n">
        <x:f>COUNTIFS('Hospital Catalog'!$E:$E,B72,'Hospital Catalog'!$F:$F,"&lt;="&amp;A72,'Hospital Catalog'!$H:$H,"Yes",'Hospital Catalog'!$K:$K,"High") + COUNTIFS('Hospital Catalog'!$E:$E,B72,'Hospital Catalog'!$F:$F,"&lt;="&amp;A72,'Hospital Catalog'!$H:$H,"Yes",'Hospital Catalog'!$K:$K,"Medium")</x:f>
        <x:v>0</x:v>
      </x:c>
      <x:c r="I72" s="22" t="n">
        <x:f>IFERROR(H72/C72*100000,"")</x:f>
        <x:v>0</x:v>
      </x:c>
      <x:c r="J72" s="16" t="str"/>
    </x:row>
    <x:row r="73">
      <x:c r="A73" s="16" t="n">
        <x:v>1900</x:v>
      </x:c>
      <x:c r="B73" s="16" t="str">
        <x:v>Iztacalco</x:v>
      </x:c>
      <x:c r="C73" s="20" t="n">
        <x:f>INDEX(Population!$B$2:$R$17,MATCH(B73,Population!$A$2:$A$17,0),MATCH(A73,Population!$B$1:$R$1,0))</x:f>
        <x:v>4948</x:v>
      </x:c>
      <x:c r="D73" s="18" t="n">
        <x:f>COUNTIFS('Hospital Catalog'!$E:$E,B73,'Hospital Catalog'!$F:$F,"&lt;="&amp;A73,'Hospital Catalog'!$H:$H,"Yes")</x:f>
        <x:v>0</x:v>
      </x:c>
      <x:c r="E73" s="22" t="n">
        <x:f>IFERROR(D73/C73*100000,"")</x:f>
        <x:v>0</x:v>
      </x:c>
      <x:c r="F73" s="18" t="n">
        <x:f>COUNTIFS('Hospital Catalog'!$E:$E,B73,'Hospital Catalog'!$F:$F,"&lt;="&amp;A73,'Hospital Catalog'!$H:$H,"Yes",'Hospital Catalog'!$D:$D,"*public*") + COUNTIFS('Hospital Catalog'!$E:$E,B73,'Hospital Catalog'!$F:$F,"&lt;="&amp;A73,'Hospital Catalog'!$H:$H,"Yes",'Hospital Catalog'!$D:$D,"IMSS public") + COUNTIFS('Hospital Catalog'!$E:$E,B73,'Hospital Catalog'!$F:$F,"&lt;="&amp;A73,'Hospital Catalog'!$H:$H,"Yes",'Hospital Catalog'!$D:$D,"ISSSTE public")</x:f>
        <x:v>0</x:v>
      </x:c>
      <x:c r="G73" s="22" t="n">
        <x:f>IFERROR(F73/C73*100000,"")</x:f>
        <x:v>0</x:v>
      </x:c>
      <x:c r="H73" s="18" t="n">
        <x:f>COUNTIFS('Hospital Catalog'!$E:$E,B73,'Hospital Catalog'!$F:$F,"&lt;="&amp;A73,'Hospital Catalog'!$H:$H,"Yes",'Hospital Catalog'!$K:$K,"High") + COUNTIFS('Hospital Catalog'!$E:$E,B73,'Hospital Catalog'!$F:$F,"&lt;="&amp;A73,'Hospital Catalog'!$H:$H,"Yes",'Hospital Catalog'!$K:$K,"Medium")</x:f>
        <x:v>0</x:v>
      </x:c>
      <x:c r="I73" s="22" t="n">
        <x:f>IFERROR(H73/C73*100000,"")</x:f>
        <x:v>0</x:v>
      </x:c>
      <x:c r="J73" s="16" t="str"/>
    </x:row>
    <x:row r="74">
      <x:c r="A74" s="16" t="n">
        <x:v>1900</x:v>
      </x:c>
      <x:c r="B74" s="16" t="str">
        <x:v>Iztapalapa</x:v>
      </x:c>
      <x:c r="C74" s="20" t="n">
        <x:f>INDEX(Population!$B$2:$R$17,MATCH(B74,Population!$A$2:$A$17,0),MATCH(A74,Population!$B$1:$R$1,0))</x:f>
        <x:v>13194</x:v>
      </x:c>
      <x:c r="D74" s="18" t="n">
        <x:f>COUNTIFS('Hospital Catalog'!$E:$E,B74,'Hospital Catalog'!$F:$F,"&lt;="&amp;A74,'Hospital Catalog'!$H:$H,"Yes")</x:f>
        <x:v>0</x:v>
      </x:c>
      <x:c r="E74" s="22" t="n">
        <x:f>IFERROR(D74/C74*100000,"")</x:f>
        <x:v>0</x:v>
      </x:c>
      <x:c r="F74" s="18" t="n">
        <x:f>COUNTIFS('Hospital Catalog'!$E:$E,B74,'Hospital Catalog'!$F:$F,"&lt;="&amp;A74,'Hospital Catalog'!$H:$H,"Yes",'Hospital Catalog'!$D:$D,"*public*") + COUNTIFS('Hospital Catalog'!$E:$E,B74,'Hospital Catalog'!$F:$F,"&lt;="&amp;A74,'Hospital Catalog'!$H:$H,"Yes",'Hospital Catalog'!$D:$D,"IMSS public") + COUNTIFS('Hospital Catalog'!$E:$E,B74,'Hospital Catalog'!$F:$F,"&lt;="&amp;A74,'Hospital Catalog'!$H:$H,"Yes",'Hospital Catalog'!$D:$D,"ISSSTE public")</x:f>
        <x:v>0</x:v>
      </x:c>
      <x:c r="G74" s="22" t="n">
        <x:f>IFERROR(F74/C74*100000,"")</x:f>
        <x:v>0</x:v>
      </x:c>
      <x:c r="H74" s="18" t="n">
        <x:f>COUNTIFS('Hospital Catalog'!$E:$E,B74,'Hospital Catalog'!$F:$F,"&lt;="&amp;A74,'Hospital Catalog'!$H:$H,"Yes",'Hospital Catalog'!$K:$K,"High") + COUNTIFS('Hospital Catalog'!$E:$E,B74,'Hospital Catalog'!$F:$F,"&lt;="&amp;A74,'Hospital Catalog'!$H:$H,"Yes",'Hospital Catalog'!$K:$K,"Medium")</x:f>
        <x:v>0</x:v>
      </x:c>
      <x:c r="I74" s="22" t="n">
        <x:f>IFERROR(H74/C74*100000,"")</x:f>
        <x:v>0</x:v>
      </x:c>
      <x:c r="J74" s="16" t="str"/>
    </x:row>
    <x:row r="75">
      <x:c r="A75" s="16" t="n">
        <x:v>1900</x:v>
      </x:c>
      <x:c r="B75" s="16" t="str">
        <x:v>La Magdalena Contreras</x:v>
      </x:c>
      <x:c r="C75" s="20" t="n">
        <x:f>INDEX(Population!$B$2:$R$17,MATCH(B75,Population!$A$2:$A$17,0),MATCH(A75,Population!$B$1:$R$1,0))</x:f>
        <x:v>3848</x:v>
      </x:c>
      <x:c r="D75" s="18" t="n">
        <x:f>COUNTIFS('Hospital Catalog'!$E:$E,B75,'Hospital Catalog'!$F:$F,"&lt;="&amp;A75,'Hospital Catalog'!$H:$H,"Yes")</x:f>
        <x:v>0</x:v>
      </x:c>
      <x:c r="E75" s="22" t="n">
        <x:f>IFERROR(D75/C75*100000,"")</x:f>
        <x:v>0</x:v>
      </x:c>
      <x:c r="F75" s="18" t="n">
        <x:f>COUNTIFS('Hospital Catalog'!$E:$E,B75,'Hospital Catalog'!$F:$F,"&lt;="&amp;A75,'Hospital Catalog'!$H:$H,"Yes",'Hospital Catalog'!$D:$D,"*public*") + COUNTIFS('Hospital Catalog'!$E:$E,B75,'Hospital Catalog'!$F:$F,"&lt;="&amp;A75,'Hospital Catalog'!$H:$H,"Yes",'Hospital Catalog'!$D:$D,"IMSS public") + COUNTIFS('Hospital Catalog'!$E:$E,B75,'Hospital Catalog'!$F:$F,"&lt;="&amp;A75,'Hospital Catalog'!$H:$H,"Yes",'Hospital Catalog'!$D:$D,"ISSSTE public")</x:f>
        <x:v>0</x:v>
      </x:c>
      <x:c r="G75" s="22" t="n">
        <x:f>IFERROR(F75/C75*100000,"")</x:f>
        <x:v>0</x:v>
      </x:c>
      <x:c r="H75" s="18" t="n">
        <x:f>COUNTIFS('Hospital Catalog'!$E:$E,B75,'Hospital Catalog'!$F:$F,"&lt;="&amp;A75,'Hospital Catalog'!$H:$H,"Yes",'Hospital Catalog'!$K:$K,"High") + COUNTIFS('Hospital Catalog'!$E:$E,B75,'Hospital Catalog'!$F:$F,"&lt;="&amp;A75,'Hospital Catalog'!$H:$H,"Yes",'Hospital Catalog'!$K:$K,"Medium")</x:f>
        <x:v>0</x:v>
      </x:c>
      <x:c r="I75" s="22" t="n">
        <x:f>IFERROR(H75/C75*100000,"")</x:f>
        <x:v>0</x:v>
      </x:c>
      <x:c r="J75" s="16" t="str"/>
    </x:row>
    <x:row r="76">
      <x:c r="A76" s="16" t="n">
        <x:v>1900</x:v>
      </x:c>
      <x:c r="B76" s="16" t="str">
        <x:v>Miguel Hidalgo</x:v>
      </x:c>
      <x:c r="C76" s="20" t="n">
        <x:f>INDEX(Population!$B$2:$R$17,MATCH(B76,Population!$A$2:$A$17,0),MATCH(A76,Population!$B$1:$R$1,0))</x:f>
        <x:v>82464</x:v>
      </x:c>
      <x:c r="D76" s="18" t="n">
        <x:f>COUNTIFS('Hospital Catalog'!$E:$E,B76,'Hospital Catalog'!$F:$F,"&lt;="&amp;A76,'Hospital Catalog'!$H:$H,"Yes")</x:f>
        <x:v>1</x:v>
      </x:c>
      <x:c r="E76" s="22" t="n">
        <x:f>IFERROR(D76/C76*100000,"")</x:f>
        <x:v>1.212650368645712</x:v>
      </x:c>
      <x:c r="F76" s="18" t="n">
        <x:f>COUNTIFS('Hospital Catalog'!$E:$E,B76,'Hospital Catalog'!$F:$F,"&lt;="&amp;A76,'Hospital Catalog'!$H:$H,"Yes",'Hospital Catalog'!$D:$D,"*public*") + COUNTIFS('Hospital Catalog'!$E:$E,B76,'Hospital Catalog'!$F:$F,"&lt;="&amp;A76,'Hospital Catalog'!$H:$H,"Yes",'Hospital Catalog'!$D:$D,"IMSS public") + COUNTIFS('Hospital Catalog'!$E:$E,B76,'Hospital Catalog'!$F:$F,"&lt;="&amp;A76,'Hospital Catalog'!$H:$H,"Yes",'Hospital Catalog'!$D:$D,"ISSSTE public")</x:f>
        <x:v>0</x:v>
      </x:c>
      <x:c r="G76" s="22" t="n">
        <x:f>IFERROR(F76/C76*100000,"")</x:f>
        <x:v>0</x:v>
      </x:c>
      <x:c r="H76" s="18" t="n">
        <x:f>COUNTIFS('Hospital Catalog'!$E:$E,B76,'Hospital Catalog'!$F:$F,"&lt;="&amp;A76,'Hospital Catalog'!$H:$H,"Yes",'Hospital Catalog'!$K:$K,"High") + COUNTIFS('Hospital Catalog'!$E:$E,B76,'Hospital Catalog'!$F:$F,"&lt;="&amp;A76,'Hospital Catalog'!$H:$H,"Yes",'Hospital Catalog'!$K:$K,"Medium")</x:f>
        <x:v>1</x:v>
      </x:c>
      <x:c r="I76" s="22" t="n">
        <x:f>IFERROR(H76/C76*100000,"")</x:f>
        <x:v>1.212650368645712</x:v>
      </x:c>
      <x:c r="J76" s="16" t="str"/>
    </x:row>
    <x:row r="77">
      <x:c r="A77" s="16" t="n">
        <x:v>1900</x:v>
      </x:c>
      <x:c r="B77" s="16" t="str">
        <x:v>Milpa Alta</x:v>
      </x:c>
      <x:c r="C77" s="20" t="n">
        <x:f>INDEX(Population!$B$2:$R$17,MATCH(B77,Population!$A$2:$A$17,0),MATCH(A77,Population!$B$1:$R$1,0))</x:f>
        <x:v>9896</x:v>
      </x:c>
      <x:c r="D77" s="18" t="n">
        <x:f>COUNTIFS('Hospital Catalog'!$E:$E,B77,'Hospital Catalog'!$F:$F,"&lt;="&amp;A77,'Hospital Catalog'!$H:$H,"Yes")</x:f>
        <x:v>0</x:v>
      </x:c>
      <x:c r="E77" s="22" t="n">
        <x:f>IFERROR(D77/C77*100000,"")</x:f>
        <x:v>0</x:v>
      </x:c>
      <x:c r="F77" s="18" t="n">
        <x:f>COUNTIFS('Hospital Catalog'!$E:$E,B77,'Hospital Catalog'!$F:$F,"&lt;="&amp;A77,'Hospital Catalog'!$H:$H,"Yes",'Hospital Catalog'!$D:$D,"*public*") + COUNTIFS('Hospital Catalog'!$E:$E,B77,'Hospital Catalog'!$F:$F,"&lt;="&amp;A77,'Hospital Catalog'!$H:$H,"Yes",'Hospital Catalog'!$D:$D,"IMSS public") + COUNTIFS('Hospital Catalog'!$E:$E,B77,'Hospital Catalog'!$F:$F,"&lt;="&amp;A77,'Hospital Catalog'!$H:$H,"Yes",'Hospital Catalog'!$D:$D,"ISSSTE public")</x:f>
        <x:v>0</x:v>
      </x:c>
      <x:c r="G77" s="22" t="n">
        <x:f>IFERROR(F77/C77*100000,"")</x:f>
        <x:v>0</x:v>
      </x:c>
      <x:c r="H77" s="18" t="n">
        <x:f>COUNTIFS('Hospital Catalog'!$E:$E,B77,'Hospital Catalog'!$F:$F,"&lt;="&amp;A77,'Hospital Catalog'!$H:$H,"Yes",'Hospital Catalog'!$K:$K,"High") + COUNTIFS('Hospital Catalog'!$E:$E,B77,'Hospital Catalog'!$F:$F,"&lt;="&amp;A77,'Hospital Catalog'!$H:$H,"Yes",'Hospital Catalog'!$K:$K,"Medium")</x:f>
        <x:v>0</x:v>
      </x:c>
      <x:c r="I77" s="22" t="n">
        <x:f>IFERROR(H77/C77*100000,"")</x:f>
        <x:v>0</x:v>
      </x:c>
      <x:c r="J77" s="16" t="str"/>
    </x:row>
    <x:row r="78">
      <x:c r="A78" s="16" t="n">
        <x:v>1900</x:v>
      </x:c>
      <x:c r="B78" s="16" t="str">
        <x:v>Tláhuac</x:v>
      </x:c>
      <x:c r="C78" s="20" t="n">
        <x:f>INDEX(Population!$B$2:$R$17,MATCH(B78,Population!$A$2:$A$17,0),MATCH(A78,Population!$B$1:$R$1,0))</x:f>
        <x:v>3848</x:v>
      </x:c>
      <x:c r="D78" s="18" t="n">
        <x:f>COUNTIFS('Hospital Catalog'!$E:$E,B78,'Hospital Catalog'!$F:$F,"&lt;="&amp;A78,'Hospital Catalog'!$H:$H,"Yes")</x:f>
        <x:v>0</x:v>
      </x:c>
      <x:c r="E78" s="22" t="n">
        <x:f>IFERROR(D78/C78*100000,"")</x:f>
        <x:v>0</x:v>
      </x:c>
      <x:c r="F78" s="18" t="n">
        <x:f>COUNTIFS('Hospital Catalog'!$E:$E,B78,'Hospital Catalog'!$F:$F,"&lt;="&amp;A78,'Hospital Catalog'!$H:$H,"Yes",'Hospital Catalog'!$D:$D,"*public*") + COUNTIFS('Hospital Catalog'!$E:$E,B78,'Hospital Catalog'!$F:$F,"&lt;="&amp;A78,'Hospital Catalog'!$H:$H,"Yes",'Hospital Catalog'!$D:$D,"IMSS public") + COUNTIFS('Hospital Catalog'!$E:$E,B78,'Hospital Catalog'!$F:$F,"&lt;="&amp;A78,'Hospital Catalog'!$H:$H,"Yes",'Hospital Catalog'!$D:$D,"ISSSTE public")</x:f>
        <x:v>0</x:v>
      </x:c>
      <x:c r="G78" s="22" t="n">
        <x:f>IFERROR(F78/C78*100000,"")</x:f>
        <x:v>0</x:v>
      </x:c>
      <x:c r="H78" s="18" t="n">
        <x:f>COUNTIFS('Hospital Catalog'!$E:$E,B78,'Hospital Catalog'!$F:$F,"&lt;="&amp;A78,'Hospital Catalog'!$H:$H,"Yes",'Hospital Catalog'!$K:$K,"High") + COUNTIFS('Hospital Catalog'!$E:$E,B78,'Hospital Catalog'!$F:$F,"&lt;="&amp;A78,'Hospital Catalog'!$H:$H,"Yes",'Hospital Catalog'!$K:$K,"Medium")</x:f>
        <x:v>0</x:v>
      </x:c>
      <x:c r="I78" s="22" t="n">
        <x:f>IFERROR(H78/C78*100000,"")</x:f>
        <x:v>0</x:v>
      </x:c>
      <x:c r="J78" s="16" t="str"/>
    </x:row>
    <x:row r="79">
      <x:c r="A79" s="16" t="n">
        <x:v>1900</x:v>
      </x:c>
      <x:c r="B79" s="16" t="str">
        <x:v>Tlalpan</x:v>
      </x:c>
      <x:c r="C79" s="20" t="n">
        <x:f>INDEX(Population!$B$2:$R$17,MATCH(B79,Population!$A$2:$A$17,0),MATCH(A79,Population!$B$1:$R$1,0))</x:f>
        <x:v>6597</x:v>
      </x:c>
      <x:c r="D79" s="18" t="n">
        <x:f>COUNTIFS('Hospital Catalog'!$E:$E,B79,'Hospital Catalog'!$F:$F,"&lt;="&amp;A79,'Hospital Catalog'!$H:$H,"Yes")</x:f>
        <x:v>0</x:v>
      </x:c>
      <x:c r="E79" s="22" t="n">
        <x:f>IFERROR(D79/C79*100000,"")</x:f>
        <x:v>0</x:v>
      </x:c>
      <x:c r="F79" s="18" t="n">
        <x:f>COUNTIFS('Hospital Catalog'!$E:$E,B79,'Hospital Catalog'!$F:$F,"&lt;="&amp;A79,'Hospital Catalog'!$H:$H,"Yes",'Hospital Catalog'!$D:$D,"*public*") + COUNTIFS('Hospital Catalog'!$E:$E,B79,'Hospital Catalog'!$F:$F,"&lt;="&amp;A79,'Hospital Catalog'!$H:$H,"Yes",'Hospital Catalog'!$D:$D,"IMSS public") + COUNTIFS('Hospital Catalog'!$E:$E,B79,'Hospital Catalog'!$F:$F,"&lt;="&amp;A79,'Hospital Catalog'!$H:$H,"Yes",'Hospital Catalog'!$D:$D,"ISSSTE public")</x:f>
        <x:v>0</x:v>
      </x:c>
      <x:c r="G79" s="22" t="n">
        <x:f>IFERROR(F79/C79*100000,"")</x:f>
        <x:v>0</x:v>
      </x:c>
      <x:c r="H79" s="18" t="n">
        <x:f>COUNTIFS('Hospital Catalog'!$E:$E,B79,'Hospital Catalog'!$F:$F,"&lt;="&amp;A79,'Hospital Catalog'!$H:$H,"Yes",'Hospital Catalog'!$K:$K,"High") + COUNTIFS('Hospital Catalog'!$E:$E,B79,'Hospital Catalog'!$F:$F,"&lt;="&amp;A79,'Hospital Catalog'!$H:$H,"Yes",'Hospital Catalog'!$K:$K,"Medium")</x:f>
        <x:v>0</x:v>
      </x:c>
      <x:c r="I79" s="22" t="n">
        <x:f>IFERROR(H79/C79*100000,"")</x:f>
        <x:v>0</x:v>
      </x:c>
      <x:c r="J79" s="16" t="str"/>
    </x:row>
    <x:row r="80">
      <x:c r="A80" s="16" t="n">
        <x:v>1900</x:v>
      </x:c>
      <x:c r="B80" s="16" t="str">
        <x:v>Venustiano Carranza</x:v>
      </x:c>
      <x:c r="C80" s="20" t="n">
        <x:f>INDEX(Population!$B$2:$R$17,MATCH(B80,Population!$A$2:$A$17,0),MATCH(A80,Population!$B$1:$R$1,0))</x:f>
        <x:v>93460</x:v>
      </x:c>
      <x:c r="D80" s="18" t="n">
        <x:f>COUNTIFS('Hospital Catalog'!$E:$E,B80,'Hospital Catalog'!$F:$F,"&lt;="&amp;A80,'Hospital Catalog'!$H:$H,"Yes")</x:f>
        <x:v>0</x:v>
      </x:c>
      <x:c r="E80" s="22" t="n">
        <x:f>IFERROR(D80/C80*100000,"")</x:f>
        <x:v>0</x:v>
      </x:c>
      <x:c r="F80" s="18" t="n">
        <x:f>COUNTIFS('Hospital Catalog'!$E:$E,B80,'Hospital Catalog'!$F:$F,"&lt;="&amp;A80,'Hospital Catalog'!$H:$H,"Yes",'Hospital Catalog'!$D:$D,"*public*") + COUNTIFS('Hospital Catalog'!$E:$E,B80,'Hospital Catalog'!$F:$F,"&lt;="&amp;A80,'Hospital Catalog'!$H:$H,"Yes",'Hospital Catalog'!$D:$D,"IMSS public") + COUNTIFS('Hospital Catalog'!$E:$E,B80,'Hospital Catalog'!$F:$F,"&lt;="&amp;A80,'Hospital Catalog'!$H:$H,"Yes",'Hospital Catalog'!$D:$D,"ISSSTE public")</x:f>
        <x:v>0</x:v>
      </x:c>
      <x:c r="G80" s="22" t="n">
        <x:f>IFERROR(F80/C80*100000,"")</x:f>
        <x:v>0</x:v>
      </x:c>
      <x:c r="H80" s="18" t="n">
        <x:f>COUNTIFS('Hospital Catalog'!$E:$E,B80,'Hospital Catalog'!$F:$F,"&lt;="&amp;A80,'Hospital Catalog'!$H:$H,"Yes",'Hospital Catalog'!$K:$K,"High") + COUNTIFS('Hospital Catalog'!$E:$E,B80,'Hospital Catalog'!$F:$F,"&lt;="&amp;A80,'Hospital Catalog'!$H:$H,"Yes",'Hospital Catalog'!$K:$K,"Medium")</x:f>
        <x:v>0</x:v>
      </x:c>
      <x:c r="I80" s="22" t="n">
        <x:f>IFERROR(H80/C80*100000,"")</x:f>
        <x:v>0</x:v>
      </x:c>
      <x:c r="J80" s="16" t="str"/>
    </x:row>
    <x:row r="81">
      <x:c r="A81" s="16" t="n">
        <x:v>1900</x:v>
      </x:c>
      <x:c r="B81" s="16" t="str">
        <x:v>Xochimilco</x:v>
      </x:c>
      <x:c r="C81" s="20" t="n">
        <x:f>INDEX(Population!$B$2:$R$17,MATCH(B81,Population!$A$2:$A$17,0),MATCH(A81,Population!$B$1:$R$1,0))</x:f>
        <x:v>18692</x:v>
      </x:c>
      <x:c r="D81" s="18" t="n">
        <x:f>COUNTIFS('Hospital Catalog'!$E:$E,B81,'Hospital Catalog'!$F:$F,"&lt;="&amp;A81,'Hospital Catalog'!$H:$H,"Yes")</x:f>
        <x:v>0</x:v>
      </x:c>
      <x:c r="E81" s="22" t="n">
        <x:f>IFERROR(D81/C81*100000,"")</x:f>
        <x:v>0</x:v>
      </x:c>
      <x:c r="F81" s="18" t="n">
        <x:f>COUNTIFS('Hospital Catalog'!$E:$E,B81,'Hospital Catalog'!$F:$F,"&lt;="&amp;A81,'Hospital Catalog'!$H:$H,"Yes",'Hospital Catalog'!$D:$D,"*public*") + COUNTIFS('Hospital Catalog'!$E:$E,B81,'Hospital Catalog'!$F:$F,"&lt;="&amp;A81,'Hospital Catalog'!$H:$H,"Yes",'Hospital Catalog'!$D:$D,"IMSS public") + COUNTIFS('Hospital Catalog'!$E:$E,B81,'Hospital Catalog'!$F:$F,"&lt;="&amp;A81,'Hospital Catalog'!$H:$H,"Yes",'Hospital Catalog'!$D:$D,"ISSSTE public")</x:f>
        <x:v>0</x:v>
      </x:c>
      <x:c r="G81" s="22" t="n">
        <x:f>IFERROR(F81/C81*100000,"")</x:f>
        <x:v>0</x:v>
      </x:c>
      <x:c r="H81" s="18" t="n">
        <x:f>COUNTIFS('Hospital Catalog'!$E:$E,B81,'Hospital Catalog'!$F:$F,"&lt;="&amp;A81,'Hospital Catalog'!$H:$H,"Yes",'Hospital Catalog'!$K:$K,"High") + COUNTIFS('Hospital Catalog'!$E:$E,B81,'Hospital Catalog'!$F:$F,"&lt;="&amp;A81,'Hospital Catalog'!$H:$H,"Yes",'Hospital Catalog'!$K:$K,"Medium")</x:f>
        <x:v>0</x:v>
      </x:c>
      <x:c r="I81" s="22" t="n">
        <x:f>IFERROR(H81/C81*100000,"")</x:f>
        <x:v>0</x:v>
      </x:c>
      <x:c r="J81" s="16" t="str"/>
    </x:row>
    <x:row r="82">
      <x:c r="A82" s="16" t="n">
        <x:v>1910</x:v>
      </x:c>
      <x:c r="B82" s="16" t="str">
        <x:v>Álvaro Obregón</x:v>
      </x:c>
      <x:c r="C82" s="20" t="n">
        <x:f>INDEX(Population!$B$2:$R$17,MATCH(B82,Population!$A$2:$A$17,0),MATCH(A82,Population!$B$1:$R$1,0))</x:f>
        <x:v>20166</x:v>
      </x:c>
      <x:c r="D82" s="18" t="n">
        <x:f>COUNTIFS('Hospital Catalog'!$E:$E,B82,'Hospital Catalog'!$F:$F,"&lt;="&amp;A82,'Hospital Catalog'!$H:$H,"Yes")</x:f>
        <x:v>1</x:v>
      </x:c>
      <x:c r="E82" s="22" t="n">
        <x:f>IFERROR(D82/C82*100000,"")</x:f>
        <x:v>4.958841614598829</x:v>
      </x:c>
      <x:c r="F82" s="18" t="n">
        <x:f>COUNTIFS('Hospital Catalog'!$E:$E,B82,'Hospital Catalog'!$F:$F,"&lt;="&amp;A82,'Hospital Catalog'!$H:$H,"Yes",'Hospital Catalog'!$D:$D,"*public*") + COUNTIFS('Hospital Catalog'!$E:$E,B82,'Hospital Catalog'!$F:$F,"&lt;="&amp;A82,'Hospital Catalog'!$H:$H,"Yes",'Hospital Catalog'!$D:$D,"IMSS public") + COUNTIFS('Hospital Catalog'!$E:$E,B82,'Hospital Catalog'!$F:$F,"&lt;="&amp;A82,'Hospital Catalog'!$H:$H,"Yes",'Hospital Catalog'!$D:$D,"ISSSTE public")</x:f>
        <x:v>0</x:v>
      </x:c>
      <x:c r="G82" s="22" t="n">
        <x:f>IFERROR(F82/C82*100000,"")</x:f>
        <x:v>0</x:v>
      </x:c>
      <x:c r="H82" s="18" t="n">
        <x:f>COUNTIFS('Hospital Catalog'!$E:$E,B82,'Hospital Catalog'!$F:$F,"&lt;="&amp;A82,'Hospital Catalog'!$H:$H,"Yes",'Hospital Catalog'!$K:$K,"High") + COUNTIFS('Hospital Catalog'!$E:$E,B82,'Hospital Catalog'!$F:$F,"&lt;="&amp;A82,'Hospital Catalog'!$H:$H,"Yes",'Hospital Catalog'!$K:$K,"Medium")</x:f>
        <x:v>1</x:v>
      </x:c>
      <x:c r="I82" s="22" t="n">
        <x:f>IFERROR(H82/C82*100000,"")</x:f>
        <x:v>4.958841614598829</x:v>
      </x:c>
      <x:c r="J82" s="16" t="str"/>
    </x:row>
    <x:row r="83">
      <x:c r="A83" s="16" t="n">
        <x:v>1910</x:v>
      </x:c>
      <x:c r="B83" s="16" t="str">
        <x:v>Azcapotzalco</x:v>
      </x:c>
      <x:c r="C83" s="20" t="n">
        <x:f>INDEX(Population!$B$2:$R$17,MATCH(B83,Population!$A$2:$A$17,0),MATCH(A83,Population!$B$1:$R$1,0))</x:f>
        <x:v>32638</x:v>
      </x:c>
      <x:c r="D83" s="18" t="n">
        <x:f>COUNTIFS('Hospital Catalog'!$E:$E,B83,'Hospital Catalog'!$F:$F,"&lt;="&amp;A83,'Hospital Catalog'!$H:$H,"Yes")</x:f>
        <x:v>0</x:v>
      </x:c>
      <x:c r="E83" s="22" t="n">
        <x:f>IFERROR(D83/C83*100000,"")</x:f>
        <x:v>0</x:v>
      </x:c>
      <x:c r="F83" s="18" t="n">
        <x:f>COUNTIFS('Hospital Catalog'!$E:$E,B83,'Hospital Catalog'!$F:$F,"&lt;="&amp;A83,'Hospital Catalog'!$H:$H,"Yes",'Hospital Catalog'!$D:$D,"*public*") + COUNTIFS('Hospital Catalog'!$E:$E,B83,'Hospital Catalog'!$F:$F,"&lt;="&amp;A83,'Hospital Catalog'!$H:$H,"Yes",'Hospital Catalog'!$D:$D,"IMSS public") + COUNTIFS('Hospital Catalog'!$E:$E,B83,'Hospital Catalog'!$F:$F,"&lt;="&amp;A83,'Hospital Catalog'!$H:$H,"Yes",'Hospital Catalog'!$D:$D,"ISSSTE public")</x:f>
        <x:v>0</x:v>
      </x:c>
      <x:c r="G83" s="22" t="n">
        <x:f>IFERROR(F83/C83*100000,"")</x:f>
        <x:v>0</x:v>
      </x:c>
      <x:c r="H83" s="18" t="n">
        <x:f>COUNTIFS('Hospital Catalog'!$E:$E,B83,'Hospital Catalog'!$F:$F,"&lt;="&amp;A83,'Hospital Catalog'!$H:$H,"Yes",'Hospital Catalog'!$K:$K,"High") + COUNTIFS('Hospital Catalog'!$E:$E,B83,'Hospital Catalog'!$F:$F,"&lt;="&amp;A83,'Hospital Catalog'!$H:$H,"Yes",'Hospital Catalog'!$K:$K,"Medium")</x:f>
        <x:v>0</x:v>
      </x:c>
      <x:c r="I83" s="22" t="n">
        <x:f>IFERROR(H83/C83*100000,"")</x:f>
        <x:v>0</x:v>
      </x:c>
      <x:c r="J83" s="16" t="str"/>
    </x:row>
    <x:row r="84">
      <x:c r="A84" s="16" t="n">
        <x:v>1910</x:v>
      </x:c>
      <x:c r="B84" s="16" t="str">
        <x:v>Benito Juárez</x:v>
      </x:c>
      <x:c r="C84" s="20" t="n">
        <x:f>INDEX(Population!$B$2:$R$17,MATCH(B84,Population!$A$2:$A$17,0),MATCH(A84,Population!$B$1:$R$1,0))</x:f>
        <x:v>107351</x:v>
      </x:c>
      <x:c r="D84" s="18" t="n">
        <x:f>COUNTIFS('Hospital Catalog'!$E:$E,B84,'Hospital Catalog'!$F:$F,"&lt;="&amp;A84,'Hospital Catalog'!$H:$H,"Yes")</x:f>
        <x:v>0</x:v>
      </x:c>
      <x:c r="E84" s="22" t="n">
        <x:f>IFERROR(D84/C84*100000,"")</x:f>
        <x:v>0</x:v>
      </x:c>
      <x:c r="F84" s="18" t="n">
        <x:f>COUNTIFS('Hospital Catalog'!$E:$E,B84,'Hospital Catalog'!$F:$F,"&lt;="&amp;A84,'Hospital Catalog'!$H:$H,"Yes",'Hospital Catalog'!$D:$D,"*public*") + COUNTIFS('Hospital Catalog'!$E:$E,B84,'Hospital Catalog'!$F:$F,"&lt;="&amp;A84,'Hospital Catalog'!$H:$H,"Yes",'Hospital Catalog'!$D:$D,"IMSS public") + COUNTIFS('Hospital Catalog'!$E:$E,B84,'Hospital Catalog'!$F:$F,"&lt;="&amp;A84,'Hospital Catalog'!$H:$H,"Yes",'Hospital Catalog'!$D:$D,"ISSSTE public")</x:f>
        <x:v>0</x:v>
      </x:c>
      <x:c r="G84" s="22" t="n">
        <x:f>IFERROR(F84/C84*100000,"")</x:f>
        <x:v>0</x:v>
      </x:c>
      <x:c r="H84" s="18" t="n">
        <x:f>COUNTIFS('Hospital Catalog'!$E:$E,B84,'Hospital Catalog'!$F:$F,"&lt;="&amp;A84,'Hospital Catalog'!$H:$H,"Yes",'Hospital Catalog'!$K:$K,"High") + COUNTIFS('Hospital Catalog'!$E:$E,B84,'Hospital Catalog'!$F:$F,"&lt;="&amp;A84,'Hospital Catalog'!$H:$H,"Yes",'Hospital Catalog'!$K:$K,"Medium")</x:f>
        <x:v>0</x:v>
      </x:c>
      <x:c r="I84" s="22" t="n">
        <x:f>IFERROR(H84/C84*100000,"")</x:f>
        <x:v>0</x:v>
      </x:c>
      <x:c r="J84" s="16" t="str"/>
    </x:row>
    <x:row r="85">
      <x:c r="A85" s="16" t="n">
        <x:v>1910</x:v>
      </x:c>
      <x:c r="B85" s="16" t="str">
        <x:v>Coyoacán</x:v>
      </x:c>
      <x:c r="C85" s="20" t="n">
        <x:f>INDEX(Population!$B$2:$R$17,MATCH(B85,Population!$A$2:$A$17,0),MATCH(A85,Population!$B$1:$R$1,0))</x:f>
        <x:v>15141</x:v>
      </x:c>
      <x:c r="D85" s="18" t="n">
        <x:f>COUNTIFS('Hospital Catalog'!$E:$E,B85,'Hospital Catalog'!$F:$F,"&lt;="&amp;A85,'Hospital Catalog'!$H:$H,"Yes")</x:f>
        <x:v>0</x:v>
      </x:c>
      <x:c r="E85" s="22" t="n">
        <x:f>IFERROR(D85/C85*100000,"")</x:f>
        <x:v>0</x:v>
      </x:c>
      <x:c r="F85" s="18" t="n">
        <x:f>COUNTIFS('Hospital Catalog'!$E:$E,B85,'Hospital Catalog'!$F:$F,"&lt;="&amp;A85,'Hospital Catalog'!$H:$H,"Yes",'Hospital Catalog'!$D:$D,"*public*") + COUNTIFS('Hospital Catalog'!$E:$E,B85,'Hospital Catalog'!$F:$F,"&lt;="&amp;A85,'Hospital Catalog'!$H:$H,"Yes",'Hospital Catalog'!$D:$D,"IMSS public") + COUNTIFS('Hospital Catalog'!$E:$E,B85,'Hospital Catalog'!$F:$F,"&lt;="&amp;A85,'Hospital Catalog'!$H:$H,"Yes",'Hospital Catalog'!$D:$D,"ISSSTE public")</x:f>
        <x:v>0</x:v>
      </x:c>
      <x:c r="G85" s="22" t="n">
        <x:f>IFERROR(F85/C85*100000,"")</x:f>
        <x:v>0</x:v>
      </x:c>
      <x:c r="H85" s="18" t="n">
        <x:f>COUNTIFS('Hospital Catalog'!$E:$E,B85,'Hospital Catalog'!$F:$F,"&lt;="&amp;A85,'Hospital Catalog'!$H:$H,"Yes",'Hospital Catalog'!$K:$K,"High") + COUNTIFS('Hospital Catalog'!$E:$E,B85,'Hospital Catalog'!$F:$F,"&lt;="&amp;A85,'Hospital Catalog'!$H:$H,"Yes",'Hospital Catalog'!$K:$K,"Medium")</x:f>
        <x:v>0</x:v>
      </x:c>
      <x:c r="I85" s="22" t="n">
        <x:f>IFERROR(H85/C85*100000,"")</x:f>
        <x:v>0</x:v>
      </x:c>
      <x:c r="J85" s="16" t="str"/>
    </x:row>
    <x:row r="86">
      <x:c r="A86" s="16" t="n">
        <x:v>1910</x:v>
      </x:c>
      <x:c r="B86" s="16" t="str">
        <x:v>Cuajimalpa de Morelos</x:v>
      </x:c>
      <x:c r="C86" s="20" t="n">
        <x:f>INDEX(Population!$B$2:$R$17,MATCH(B86,Population!$A$2:$A$17,0),MATCH(A86,Population!$B$1:$R$1,0))</x:f>
        <x:v>4376</x:v>
      </x:c>
      <x:c r="D86" s="18" t="n">
        <x:f>COUNTIFS('Hospital Catalog'!$E:$E,B86,'Hospital Catalog'!$F:$F,"&lt;="&amp;A86,'Hospital Catalog'!$H:$H,"Yes")</x:f>
        <x:v>0</x:v>
      </x:c>
      <x:c r="E86" s="22" t="n">
        <x:f>IFERROR(D86/C86*100000,"")</x:f>
        <x:v>0</x:v>
      </x:c>
      <x:c r="F86" s="18" t="n">
        <x:f>COUNTIFS('Hospital Catalog'!$E:$E,B86,'Hospital Catalog'!$F:$F,"&lt;="&amp;A86,'Hospital Catalog'!$H:$H,"Yes",'Hospital Catalog'!$D:$D,"*public*") + COUNTIFS('Hospital Catalog'!$E:$E,B86,'Hospital Catalog'!$F:$F,"&lt;="&amp;A86,'Hospital Catalog'!$H:$H,"Yes",'Hospital Catalog'!$D:$D,"IMSS public") + COUNTIFS('Hospital Catalog'!$E:$E,B86,'Hospital Catalog'!$F:$F,"&lt;="&amp;A86,'Hospital Catalog'!$H:$H,"Yes",'Hospital Catalog'!$D:$D,"ISSSTE public")</x:f>
        <x:v>0</x:v>
      </x:c>
      <x:c r="G86" s="22" t="n">
        <x:f>IFERROR(F86/C86*100000,"")</x:f>
        <x:v>0</x:v>
      </x:c>
      <x:c r="H86" s="18" t="n">
        <x:f>COUNTIFS('Hospital Catalog'!$E:$E,B86,'Hospital Catalog'!$F:$F,"&lt;="&amp;A86,'Hospital Catalog'!$H:$H,"Yes",'Hospital Catalog'!$K:$K,"High") + COUNTIFS('Hospital Catalog'!$E:$E,B86,'Hospital Catalog'!$F:$F,"&lt;="&amp;A86,'Hospital Catalog'!$H:$H,"Yes",'Hospital Catalog'!$K:$K,"Medium")</x:f>
        <x:v>0</x:v>
      </x:c>
      <x:c r="I86" s="22" t="n">
        <x:f>IFERROR(H86/C86*100000,"")</x:f>
        <x:v>0</x:v>
      </x:c>
      <x:c r="J86" s="16" t="str"/>
    </x:row>
    <x:row r="87">
      <x:c r="A87" s="16" t="n">
        <x:v>1910</x:v>
      </x:c>
      <x:c r="B87" s="16" t="str">
        <x:v>Cuauhtémoc</x:v>
      </x:c>
      <x:c r="C87" s="20" t="n">
        <x:f>INDEX(Population!$B$2:$R$17,MATCH(B87,Population!$A$2:$A$17,0),MATCH(A87,Population!$B$1:$R$1,0))</x:f>
        <x:v>194179</x:v>
      </x:c>
      <x:c r="D87" s="18" t="n">
        <x:f>COUNTIFS('Hospital Catalog'!$E:$E,B87,'Hospital Catalog'!$F:$F,"&lt;="&amp;A87,'Hospital Catalog'!$H:$H,"Yes")</x:f>
        <x:v>2</x:v>
      </x:c>
      <x:c r="E87" s="22" t="n">
        <x:f>IFERROR(D87/C87*100000,"")</x:f>
        <x:v>1.0299774949917344</x:v>
      </x:c>
      <x:c r="F87" s="18" t="n">
        <x:f>COUNTIFS('Hospital Catalog'!$E:$E,B87,'Hospital Catalog'!$F:$F,"&lt;="&amp;A87,'Hospital Catalog'!$H:$H,"Yes",'Hospital Catalog'!$D:$D,"*public*") + COUNTIFS('Hospital Catalog'!$E:$E,B87,'Hospital Catalog'!$F:$F,"&lt;="&amp;A87,'Hospital Catalog'!$H:$H,"Yes",'Hospital Catalog'!$D:$D,"IMSS public") + COUNTIFS('Hospital Catalog'!$E:$E,B87,'Hospital Catalog'!$F:$F,"&lt;="&amp;A87,'Hospital Catalog'!$H:$H,"Yes",'Hospital Catalog'!$D:$D,"ISSSTE public")</x:f>
        <x:v>0</x:v>
      </x:c>
      <x:c r="G87" s="22" t="n">
        <x:f>IFERROR(F87/C87*100000,"")</x:f>
        <x:v>0</x:v>
      </x:c>
      <x:c r="H87" s="18" t="n">
        <x:f>COUNTIFS('Hospital Catalog'!$E:$E,B87,'Hospital Catalog'!$F:$F,"&lt;="&amp;A87,'Hospital Catalog'!$H:$H,"Yes",'Hospital Catalog'!$K:$K,"High") + COUNTIFS('Hospital Catalog'!$E:$E,B87,'Hospital Catalog'!$F:$F,"&lt;="&amp;A87,'Hospital Catalog'!$H:$H,"Yes",'Hospital Catalog'!$K:$K,"Medium")</x:f>
        <x:v>2</x:v>
      </x:c>
      <x:c r="I87" s="22" t="n">
        <x:f>IFERROR(H87/C87*100000,"")</x:f>
        <x:v>1.0299774949917344</x:v>
      </x:c>
      <x:c r="J87" s="16" t="str"/>
    </x:row>
    <x:row r="88">
      <x:c r="A88" s="16" t="n">
        <x:v>1910</x:v>
      </x:c>
      <x:c r="B88" s="16" t="str">
        <x:v>Gustavo A. Madero</x:v>
      </x:c>
      <x:c r="C88" s="20" t="n">
        <x:f>INDEX(Population!$B$2:$R$17,MATCH(B88,Population!$A$2:$A$17,0),MATCH(A88,Population!$B$1:$R$1,0))</x:f>
        <x:v>34375</x:v>
      </x:c>
      <x:c r="D88" s="18" t="n">
        <x:f>COUNTIFS('Hospital Catalog'!$E:$E,B88,'Hospital Catalog'!$F:$F,"&lt;="&amp;A88,'Hospital Catalog'!$H:$H,"Yes")</x:f>
        <x:v>0</x:v>
      </x:c>
      <x:c r="E88" s="22" t="n">
        <x:f>IFERROR(D88/C88*100000,"")</x:f>
        <x:v>0</x:v>
      </x:c>
      <x:c r="F88" s="18" t="n">
        <x:f>COUNTIFS('Hospital Catalog'!$E:$E,B88,'Hospital Catalog'!$F:$F,"&lt;="&amp;A88,'Hospital Catalog'!$H:$H,"Yes",'Hospital Catalog'!$D:$D,"*public*") + COUNTIFS('Hospital Catalog'!$E:$E,B88,'Hospital Catalog'!$F:$F,"&lt;="&amp;A88,'Hospital Catalog'!$H:$H,"Yes",'Hospital Catalog'!$D:$D,"IMSS public") + COUNTIFS('Hospital Catalog'!$E:$E,B88,'Hospital Catalog'!$F:$F,"&lt;="&amp;A88,'Hospital Catalog'!$H:$H,"Yes",'Hospital Catalog'!$D:$D,"ISSSTE public")</x:f>
        <x:v>0</x:v>
      </x:c>
      <x:c r="G88" s="22" t="n">
        <x:f>IFERROR(F88/C88*100000,"")</x:f>
        <x:v>0</x:v>
      </x:c>
      <x:c r="H88" s="18" t="n">
        <x:f>COUNTIFS('Hospital Catalog'!$E:$E,B88,'Hospital Catalog'!$F:$F,"&lt;="&amp;A88,'Hospital Catalog'!$H:$H,"Yes",'Hospital Catalog'!$K:$K,"High") + COUNTIFS('Hospital Catalog'!$E:$E,B88,'Hospital Catalog'!$F:$F,"&lt;="&amp;A88,'Hospital Catalog'!$H:$H,"Yes",'Hospital Catalog'!$K:$K,"Medium")</x:f>
        <x:v>0</x:v>
      </x:c>
      <x:c r="I88" s="22" t="n">
        <x:f>IFERROR(H88/C88*100000,"")</x:f>
        <x:v>0</x:v>
      </x:c>
      <x:c r="J88" s="16" t="str"/>
    </x:row>
    <x:row r="89">
      <x:c r="A89" s="16" t="n">
        <x:v>1910</x:v>
      </x:c>
      <x:c r="B89" s="16" t="str">
        <x:v>Iztacalco</x:v>
      </x:c>
      <x:c r="C89" s="20" t="n">
        <x:f>INDEX(Population!$B$2:$R$17,MATCH(B89,Population!$A$2:$A$17,0),MATCH(A89,Population!$B$1:$R$1,0))</x:f>
        <x:v>7424</x:v>
      </x:c>
      <x:c r="D89" s="18" t="n">
        <x:f>COUNTIFS('Hospital Catalog'!$E:$E,B89,'Hospital Catalog'!$F:$F,"&lt;="&amp;A89,'Hospital Catalog'!$H:$H,"Yes")</x:f>
        <x:v>0</x:v>
      </x:c>
      <x:c r="E89" s="22" t="n">
        <x:f>IFERROR(D89/C89*100000,"")</x:f>
        <x:v>0</x:v>
      </x:c>
      <x:c r="F89" s="18" t="n">
        <x:f>COUNTIFS('Hospital Catalog'!$E:$E,B89,'Hospital Catalog'!$F:$F,"&lt;="&amp;A89,'Hospital Catalog'!$H:$H,"Yes",'Hospital Catalog'!$D:$D,"*public*") + COUNTIFS('Hospital Catalog'!$E:$E,B89,'Hospital Catalog'!$F:$F,"&lt;="&amp;A89,'Hospital Catalog'!$H:$H,"Yes",'Hospital Catalog'!$D:$D,"IMSS public") + COUNTIFS('Hospital Catalog'!$E:$E,B89,'Hospital Catalog'!$F:$F,"&lt;="&amp;A89,'Hospital Catalog'!$H:$H,"Yes",'Hospital Catalog'!$D:$D,"ISSSTE public")</x:f>
        <x:v>0</x:v>
      </x:c>
      <x:c r="G89" s="22" t="n">
        <x:f>IFERROR(F89/C89*100000,"")</x:f>
        <x:v>0</x:v>
      </x:c>
      <x:c r="H89" s="18" t="n">
        <x:f>COUNTIFS('Hospital Catalog'!$E:$E,B89,'Hospital Catalog'!$F:$F,"&lt;="&amp;A89,'Hospital Catalog'!$H:$H,"Yes",'Hospital Catalog'!$K:$K,"High") + COUNTIFS('Hospital Catalog'!$E:$E,B89,'Hospital Catalog'!$F:$F,"&lt;="&amp;A89,'Hospital Catalog'!$H:$H,"Yes",'Hospital Catalog'!$K:$K,"Medium")</x:f>
        <x:v>0</x:v>
      </x:c>
      <x:c r="I89" s="22" t="n">
        <x:f>IFERROR(H89/C89*100000,"")</x:f>
        <x:v>0</x:v>
      </x:c>
      <x:c r="J89" s="16" t="str"/>
    </x:row>
    <x:row r="90">
      <x:c r="A90" s="16" t="n">
        <x:v>1910</x:v>
      </x:c>
      <x:c r="B90" s="16" t="str">
        <x:v>Iztapalapa</x:v>
      </x:c>
      <x:c r="C90" s="20" t="n">
        <x:f>INDEX(Population!$B$2:$R$17,MATCH(B90,Population!$A$2:$A$17,0),MATCH(A90,Population!$B$1:$R$1,0))</x:f>
        <x:v>17879</x:v>
      </x:c>
      <x:c r="D90" s="18" t="n">
        <x:f>COUNTIFS('Hospital Catalog'!$E:$E,B90,'Hospital Catalog'!$F:$F,"&lt;="&amp;A90,'Hospital Catalog'!$H:$H,"Yes")</x:f>
        <x:v>0</x:v>
      </x:c>
      <x:c r="E90" s="22" t="n">
        <x:f>IFERROR(D90/C90*100000,"")</x:f>
        <x:v>0</x:v>
      </x:c>
      <x:c r="F90" s="18" t="n">
        <x:f>COUNTIFS('Hospital Catalog'!$E:$E,B90,'Hospital Catalog'!$F:$F,"&lt;="&amp;A90,'Hospital Catalog'!$H:$H,"Yes",'Hospital Catalog'!$D:$D,"*public*") + COUNTIFS('Hospital Catalog'!$E:$E,B90,'Hospital Catalog'!$F:$F,"&lt;="&amp;A90,'Hospital Catalog'!$H:$H,"Yes",'Hospital Catalog'!$D:$D,"IMSS public") + COUNTIFS('Hospital Catalog'!$E:$E,B90,'Hospital Catalog'!$F:$F,"&lt;="&amp;A90,'Hospital Catalog'!$H:$H,"Yes",'Hospital Catalog'!$D:$D,"ISSSTE public")</x:f>
        <x:v>0</x:v>
      </x:c>
      <x:c r="G90" s="22" t="n">
        <x:f>IFERROR(F90/C90*100000,"")</x:f>
        <x:v>0</x:v>
      </x:c>
      <x:c r="H90" s="18" t="n">
        <x:f>COUNTIFS('Hospital Catalog'!$E:$E,B90,'Hospital Catalog'!$F:$F,"&lt;="&amp;A90,'Hospital Catalog'!$H:$H,"Yes",'Hospital Catalog'!$K:$K,"High") + COUNTIFS('Hospital Catalog'!$E:$E,B90,'Hospital Catalog'!$F:$F,"&lt;="&amp;A90,'Hospital Catalog'!$H:$H,"Yes",'Hospital Catalog'!$K:$K,"Medium")</x:f>
        <x:v>0</x:v>
      </x:c>
      <x:c r="I90" s="22" t="n">
        <x:f>IFERROR(H90/C90*100000,"")</x:f>
        <x:v>0</x:v>
      </x:c>
      <x:c r="J90" s="16" t="str"/>
    </x:row>
    <x:row r="91">
      <x:c r="A91" s="16" t="n">
        <x:v>1910</x:v>
      </x:c>
      <x:c r="B91" s="16" t="str">
        <x:v>La Magdalena Contreras</x:v>
      </x:c>
      <x:c r="C91" s="20" t="n">
        <x:f>INDEX(Population!$B$2:$R$17,MATCH(B91,Population!$A$2:$A$17,0),MATCH(A91,Population!$B$1:$R$1,0))</x:f>
        <x:v>5160</x:v>
      </x:c>
      <x:c r="D91" s="18" t="n">
        <x:f>COUNTIFS('Hospital Catalog'!$E:$E,B91,'Hospital Catalog'!$F:$F,"&lt;="&amp;A91,'Hospital Catalog'!$H:$H,"Yes")</x:f>
        <x:v>0</x:v>
      </x:c>
      <x:c r="E91" s="22" t="n">
        <x:f>IFERROR(D91/C91*100000,"")</x:f>
        <x:v>0</x:v>
      </x:c>
      <x:c r="F91" s="18" t="n">
        <x:f>COUNTIFS('Hospital Catalog'!$E:$E,B91,'Hospital Catalog'!$F:$F,"&lt;="&amp;A91,'Hospital Catalog'!$H:$H,"Yes",'Hospital Catalog'!$D:$D,"*public*") + COUNTIFS('Hospital Catalog'!$E:$E,B91,'Hospital Catalog'!$F:$F,"&lt;="&amp;A91,'Hospital Catalog'!$H:$H,"Yes",'Hospital Catalog'!$D:$D,"IMSS public") + COUNTIFS('Hospital Catalog'!$E:$E,B91,'Hospital Catalog'!$F:$F,"&lt;="&amp;A91,'Hospital Catalog'!$H:$H,"Yes",'Hospital Catalog'!$D:$D,"ISSSTE public")</x:f>
        <x:v>0</x:v>
      </x:c>
      <x:c r="G91" s="22" t="n">
        <x:f>IFERROR(F91/C91*100000,"")</x:f>
        <x:v>0</x:v>
      </x:c>
      <x:c r="H91" s="18" t="n">
        <x:f>COUNTIFS('Hospital Catalog'!$E:$E,B91,'Hospital Catalog'!$F:$F,"&lt;="&amp;A91,'Hospital Catalog'!$H:$H,"Yes",'Hospital Catalog'!$K:$K,"High") + COUNTIFS('Hospital Catalog'!$E:$E,B91,'Hospital Catalog'!$F:$F,"&lt;="&amp;A91,'Hospital Catalog'!$H:$H,"Yes",'Hospital Catalog'!$K:$K,"Medium")</x:f>
        <x:v>0</x:v>
      </x:c>
      <x:c r="I91" s="22" t="n">
        <x:f>IFERROR(H91/C91*100000,"")</x:f>
        <x:v>0</x:v>
      </x:c>
      <x:c r="J91" s="16" t="str"/>
    </x:row>
    <x:row r="92">
      <x:c r="A92" s="16" t="n">
        <x:v>1910</x:v>
      </x:c>
      <x:c r="B92" s="16" t="str">
        <x:v>Miguel Hidalgo</x:v>
      </x:c>
      <x:c r="C92" s="20" t="n">
        <x:f>INDEX(Population!$B$2:$R$17,MATCH(B92,Population!$A$2:$A$17,0),MATCH(A92,Population!$B$1:$R$1,0))</x:f>
        <x:v>110174</x:v>
      </x:c>
      <x:c r="D92" s="18" t="n">
        <x:f>COUNTIFS('Hospital Catalog'!$E:$E,B92,'Hospital Catalog'!$F:$F,"&lt;="&amp;A92,'Hospital Catalog'!$H:$H,"Yes")</x:f>
        <x:v>1</x:v>
      </x:c>
      <x:c r="E92" s="22" t="n">
        <x:f>IFERROR(D92/C92*100000,"")</x:f>
        <x:v>0.9076551636502261</x:v>
      </x:c>
      <x:c r="F92" s="18" t="n">
        <x:f>COUNTIFS('Hospital Catalog'!$E:$E,B92,'Hospital Catalog'!$F:$F,"&lt;="&amp;A92,'Hospital Catalog'!$H:$H,"Yes",'Hospital Catalog'!$D:$D,"*public*") + COUNTIFS('Hospital Catalog'!$E:$E,B92,'Hospital Catalog'!$F:$F,"&lt;="&amp;A92,'Hospital Catalog'!$H:$H,"Yes",'Hospital Catalog'!$D:$D,"IMSS public") + COUNTIFS('Hospital Catalog'!$E:$E,B92,'Hospital Catalog'!$F:$F,"&lt;="&amp;A92,'Hospital Catalog'!$H:$H,"Yes",'Hospital Catalog'!$D:$D,"ISSSTE public")</x:f>
        <x:v>0</x:v>
      </x:c>
      <x:c r="G92" s="22" t="n">
        <x:f>IFERROR(F92/C92*100000,"")</x:f>
        <x:v>0</x:v>
      </x:c>
      <x:c r="H92" s="18" t="n">
        <x:f>COUNTIFS('Hospital Catalog'!$E:$E,B92,'Hospital Catalog'!$F:$F,"&lt;="&amp;A92,'Hospital Catalog'!$H:$H,"Yes",'Hospital Catalog'!$K:$K,"High") + COUNTIFS('Hospital Catalog'!$E:$E,B92,'Hospital Catalog'!$F:$F,"&lt;="&amp;A92,'Hospital Catalog'!$H:$H,"Yes",'Hospital Catalog'!$K:$K,"Medium")</x:f>
        <x:v>1</x:v>
      </x:c>
      <x:c r="I92" s="22" t="n">
        <x:f>IFERROR(H92/C92*100000,"")</x:f>
        <x:v>0.9076551636502261</x:v>
      </x:c>
      <x:c r="J92" s="16" t="str"/>
    </x:row>
    <x:row r="93">
      <x:c r="A93" s="16" t="n">
        <x:v>1910</x:v>
      </x:c>
      <x:c r="B93" s="16" t="str">
        <x:v>Milpa Alta</x:v>
      </x:c>
      <x:c r="C93" s="20" t="n">
        <x:f>INDEX(Population!$B$2:$R$17,MATCH(B93,Population!$A$2:$A$17,0),MATCH(A93,Population!$B$1:$R$1,0))</x:f>
        <x:v>7986</x:v>
      </x:c>
      <x:c r="D93" s="18" t="n">
        <x:f>COUNTIFS('Hospital Catalog'!$E:$E,B93,'Hospital Catalog'!$F:$F,"&lt;="&amp;A93,'Hospital Catalog'!$H:$H,"Yes")</x:f>
        <x:v>0</x:v>
      </x:c>
      <x:c r="E93" s="22" t="n">
        <x:f>IFERROR(D93/C93*100000,"")</x:f>
        <x:v>0</x:v>
      </x:c>
      <x:c r="F93" s="18" t="n">
        <x:f>COUNTIFS('Hospital Catalog'!$E:$E,B93,'Hospital Catalog'!$F:$F,"&lt;="&amp;A93,'Hospital Catalog'!$H:$H,"Yes",'Hospital Catalog'!$D:$D,"*public*") + COUNTIFS('Hospital Catalog'!$E:$E,B93,'Hospital Catalog'!$F:$F,"&lt;="&amp;A93,'Hospital Catalog'!$H:$H,"Yes",'Hospital Catalog'!$D:$D,"IMSS public") + COUNTIFS('Hospital Catalog'!$E:$E,B93,'Hospital Catalog'!$F:$F,"&lt;="&amp;A93,'Hospital Catalog'!$H:$H,"Yes",'Hospital Catalog'!$D:$D,"ISSSTE public")</x:f>
        <x:v>0</x:v>
      </x:c>
      <x:c r="G93" s="22" t="n">
        <x:f>IFERROR(F93/C93*100000,"")</x:f>
        <x:v>0</x:v>
      </x:c>
      <x:c r="H93" s="18" t="n">
        <x:f>COUNTIFS('Hospital Catalog'!$E:$E,B93,'Hospital Catalog'!$F:$F,"&lt;="&amp;A93,'Hospital Catalog'!$H:$H,"Yes",'Hospital Catalog'!$K:$K,"High") + COUNTIFS('Hospital Catalog'!$E:$E,B93,'Hospital Catalog'!$F:$F,"&lt;="&amp;A93,'Hospital Catalog'!$H:$H,"Yes",'Hospital Catalog'!$K:$K,"Medium")</x:f>
        <x:v>0</x:v>
      </x:c>
      <x:c r="I93" s="22" t="n">
        <x:f>IFERROR(H93/C93*100000,"")</x:f>
        <x:v>0</x:v>
      </x:c>
      <x:c r="J93" s="16" t="str"/>
    </x:row>
    <x:row r="94">
      <x:c r="A94" s="16" t="n">
        <x:v>1910</x:v>
      </x:c>
      <x:c r="B94" s="16" t="str">
        <x:v>Tláhuac</x:v>
      </x:c>
      <x:c r="C94" s="20" t="n">
        <x:f>INDEX(Population!$B$2:$R$17,MATCH(B94,Population!$A$2:$A$17,0),MATCH(A94,Population!$B$1:$R$1,0))</x:f>
        <x:v>4823</x:v>
      </x:c>
      <x:c r="D94" s="18" t="n">
        <x:f>COUNTIFS('Hospital Catalog'!$E:$E,B94,'Hospital Catalog'!$F:$F,"&lt;="&amp;A94,'Hospital Catalog'!$H:$H,"Yes")</x:f>
        <x:v>0</x:v>
      </x:c>
      <x:c r="E94" s="22" t="n">
        <x:f>IFERROR(D94/C94*100000,"")</x:f>
        <x:v>0</x:v>
      </x:c>
      <x:c r="F94" s="18" t="n">
        <x:f>COUNTIFS('Hospital Catalog'!$E:$E,B94,'Hospital Catalog'!$F:$F,"&lt;="&amp;A94,'Hospital Catalog'!$H:$H,"Yes",'Hospital Catalog'!$D:$D,"*public*") + COUNTIFS('Hospital Catalog'!$E:$E,B94,'Hospital Catalog'!$F:$F,"&lt;="&amp;A94,'Hospital Catalog'!$H:$H,"Yes",'Hospital Catalog'!$D:$D,"IMSS public") + COUNTIFS('Hospital Catalog'!$E:$E,B94,'Hospital Catalog'!$F:$F,"&lt;="&amp;A94,'Hospital Catalog'!$H:$H,"Yes",'Hospital Catalog'!$D:$D,"ISSSTE public")</x:f>
        <x:v>0</x:v>
      </x:c>
      <x:c r="G94" s="22" t="n">
        <x:f>IFERROR(F94/C94*100000,"")</x:f>
        <x:v>0</x:v>
      </x:c>
      <x:c r="H94" s="18" t="n">
        <x:f>COUNTIFS('Hospital Catalog'!$E:$E,B94,'Hospital Catalog'!$F:$F,"&lt;="&amp;A94,'Hospital Catalog'!$H:$H,"Yes",'Hospital Catalog'!$K:$K,"High") + COUNTIFS('Hospital Catalog'!$E:$E,B94,'Hospital Catalog'!$F:$F,"&lt;="&amp;A94,'Hospital Catalog'!$H:$H,"Yes",'Hospital Catalog'!$K:$K,"Medium")</x:f>
        <x:v>0</x:v>
      </x:c>
      <x:c r="I94" s="22" t="n">
        <x:f>IFERROR(H94/C94*100000,"")</x:f>
        <x:v>0</x:v>
      </x:c>
      <x:c r="J94" s="16" t="str"/>
    </x:row>
    <x:row r="95">
      <x:c r="A95" s="16" t="n">
        <x:v>1910</x:v>
      </x:c>
      <x:c r="B95" s="16" t="str">
        <x:v>Tlalpan</x:v>
      </x:c>
      <x:c r="C95" s="20" t="n">
        <x:f>INDEX(Population!$B$2:$R$17,MATCH(B95,Population!$A$2:$A$17,0),MATCH(A95,Population!$B$1:$R$1,0))</x:f>
        <x:v>8174</x:v>
      </x:c>
      <x:c r="D95" s="18" t="n">
        <x:f>COUNTIFS('Hospital Catalog'!$E:$E,B95,'Hospital Catalog'!$F:$F,"&lt;="&amp;A95,'Hospital Catalog'!$H:$H,"Yes")</x:f>
        <x:v>0</x:v>
      </x:c>
      <x:c r="E95" s="22" t="n">
        <x:f>IFERROR(D95/C95*100000,"")</x:f>
        <x:v>0</x:v>
      </x:c>
      <x:c r="F95" s="18" t="n">
        <x:f>COUNTIFS('Hospital Catalog'!$E:$E,B95,'Hospital Catalog'!$F:$F,"&lt;="&amp;A95,'Hospital Catalog'!$H:$H,"Yes",'Hospital Catalog'!$D:$D,"*public*") + COUNTIFS('Hospital Catalog'!$E:$E,B95,'Hospital Catalog'!$F:$F,"&lt;="&amp;A95,'Hospital Catalog'!$H:$H,"Yes",'Hospital Catalog'!$D:$D,"IMSS public") + COUNTIFS('Hospital Catalog'!$E:$E,B95,'Hospital Catalog'!$F:$F,"&lt;="&amp;A95,'Hospital Catalog'!$H:$H,"Yes",'Hospital Catalog'!$D:$D,"ISSSTE public")</x:f>
        <x:v>0</x:v>
      </x:c>
      <x:c r="G95" s="22" t="n">
        <x:f>IFERROR(F95/C95*100000,"")</x:f>
        <x:v>0</x:v>
      </x:c>
      <x:c r="H95" s="18" t="n">
        <x:f>COUNTIFS('Hospital Catalog'!$E:$E,B95,'Hospital Catalog'!$F:$F,"&lt;="&amp;A95,'Hospital Catalog'!$H:$H,"Yes",'Hospital Catalog'!$K:$K,"High") + COUNTIFS('Hospital Catalog'!$E:$E,B95,'Hospital Catalog'!$F:$F,"&lt;="&amp;A95,'Hospital Catalog'!$H:$H,"Yes",'Hospital Catalog'!$K:$K,"Medium")</x:f>
        <x:v>0</x:v>
      </x:c>
      <x:c r="I95" s="22" t="n">
        <x:f>IFERROR(H95/C95*100000,"")</x:f>
        <x:v>0</x:v>
      </x:c>
      <x:c r="J95" s="16" t="str"/>
    </x:row>
    <x:row r="96">
      <x:c r="A96" s="16" t="n">
        <x:v>1910</x:v>
      </x:c>
      <x:c r="B96" s="16" t="str">
        <x:v>Venustiano Carranza</x:v>
      </x:c>
      <x:c r="C96" s="20" t="n">
        <x:f>INDEX(Population!$B$2:$R$17,MATCH(B96,Population!$A$2:$A$17,0),MATCH(A96,Population!$B$1:$R$1,0))</x:f>
        <x:v>134072</x:v>
      </x:c>
      <x:c r="D96" s="18" t="n">
        <x:f>COUNTIFS('Hospital Catalog'!$E:$E,B96,'Hospital Catalog'!$F:$F,"&lt;="&amp;A96,'Hospital Catalog'!$H:$H,"Yes")</x:f>
        <x:v>0</x:v>
      </x:c>
      <x:c r="E96" s="22" t="n">
        <x:f>IFERROR(D96/C96*100000,"")</x:f>
        <x:v>0</x:v>
      </x:c>
      <x:c r="F96" s="18" t="n">
        <x:f>COUNTIFS('Hospital Catalog'!$E:$E,B96,'Hospital Catalog'!$F:$F,"&lt;="&amp;A96,'Hospital Catalog'!$H:$H,"Yes",'Hospital Catalog'!$D:$D,"*public*") + COUNTIFS('Hospital Catalog'!$E:$E,B96,'Hospital Catalog'!$F:$F,"&lt;="&amp;A96,'Hospital Catalog'!$H:$H,"Yes",'Hospital Catalog'!$D:$D,"IMSS public") + COUNTIFS('Hospital Catalog'!$E:$E,B96,'Hospital Catalog'!$F:$F,"&lt;="&amp;A96,'Hospital Catalog'!$H:$H,"Yes",'Hospital Catalog'!$D:$D,"ISSSTE public")</x:f>
        <x:v>0</x:v>
      </x:c>
      <x:c r="G96" s="22" t="n">
        <x:f>IFERROR(F96/C96*100000,"")</x:f>
        <x:v>0</x:v>
      </x:c>
      <x:c r="H96" s="18" t="n">
        <x:f>COUNTIFS('Hospital Catalog'!$E:$E,B96,'Hospital Catalog'!$F:$F,"&lt;="&amp;A96,'Hospital Catalog'!$H:$H,"Yes",'Hospital Catalog'!$K:$K,"High") + COUNTIFS('Hospital Catalog'!$E:$E,B96,'Hospital Catalog'!$F:$F,"&lt;="&amp;A96,'Hospital Catalog'!$H:$H,"Yes",'Hospital Catalog'!$K:$K,"Medium")</x:f>
        <x:v>0</x:v>
      </x:c>
      <x:c r="I96" s="22" t="n">
        <x:f>IFERROR(H96/C96*100000,"")</x:f>
        <x:v>0</x:v>
      </x:c>
      <x:c r="J96" s="16" t="str"/>
    </x:row>
    <x:row r="97">
      <x:c r="A97" s="16" t="n">
        <x:v>1910</x:v>
      </x:c>
      <x:c r="B97" s="16" t="str">
        <x:v>Xochimilco</x:v>
      </x:c>
      <x:c r="C97" s="20" t="n">
        <x:f>INDEX(Population!$B$2:$R$17,MATCH(B97,Population!$A$2:$A$17,0),MATCH(A97,Population!$B$1:$R$1,0))</x:f>
        <x:v>16837</x:v>
      </x:c>
      <x:c r="D97" s="18" t="n">
        <x:f>COUNTIFS('Hospital Catalog'!$E:$E,B97,'Hospital Catalog'!$F:$F,"&lt;="&amp;A97,'Hospital Catalog'!$H:$H,"Yes")</x:f>
        <x:v>0</x:v>
      </x:c>
      <x:c r="E97" s="22" t="n">
        <x:f>IFERROR(D97/C97*100000,"")</x:f>
        <x:v>0</x:v>
      </x:c>
      <x:c r="F97" s="18" t="n">
        <x:f>COUNTIFS('Hospital Catalog'!$E:$E,B97,'Hospital Catalog'!$F:$F,"&lt;="&amp;A97,'Hospital Catalog'!$H:$H,"Yes",'Hospital Catalog'!$D:$D,"*public*") + COUNTIFS('Hospital Catalog'!$E:$E,B97,'Hospital Catalog'!$F:$F,"&lt;="&amp;A97,'Hospital Catalog'!$H:$H,"Yes",'Hospital Catalog'!$D:$D,"IMSS public") + COUNTIFS('Hospital Catalog'!$E:$E,B97,'Hospital Catalog'!$F:$F,"&lt;="&amp;A97,'Hospital Catalog'!$H:$H,"Yes",'Hospital Catalog'!$D:$D,"ISSSTE public")</x:f>
        <x:v>0</x:v>
      </x:c>
      <x:c r="G97" s="22" t="n">
        <x:f>IFERROR(F97/C97*100000,"")</x:f>
        <x:v>0</x:v>
      </x:c>
      <x:c r="H97" s="18" t="n">
        <x:f>COUNTIFS('Hospital Catalog'!$E:$E,B97,'Hospital Catalog'!$F:$F,"&lt;="&amp;A97,'Hospital Catalog'!$H:$H,"Yes",'Hospital Catalog'!$K:$K,"High") + COUNTIFS('Hospital Catalog'!$E:$E,B97,'Hospital Catalog'!$F:$F,"&lt;="&amp;A97,'Hospital Catalog'!$H:$H,"Yes",'Hospital Catalog'!$K:$K,"Medium")</x:f>
        <x:v>0</x:v>
      </x:c>
      <x:c r="I97" s="22" t="n">
        <x:f>IFERROR(H97/C97*100000,"")</x:f>
        <x:v>0</x:v>
      </x:c>
      <x:c r="J97" s="16" t="str"/>
    </x:row>
    <x:row r="98">
      <x:c r="A98" s="16" t="n">
        <x:v>1920</x:v>
      </x:c>
      <x:c r="B98" s="16" t="str">
        <x:v>Álvaro Obregón</x:v>
      </x:c>
      <x:c r="C98" s="20" t="n">
        <x:f>INDEX(Population!$B$2:$R$17,MATCH(B98,Population!$A$2:$A$17,0),MATCH(A98,Population!$B$1:$R$1,0))</x:f>
        <x:v>26498</x:v>
      </x:c>
      <x:c r="D98" s="18" t="n">
        <x:f>COUNTIFS('Hospital Catalog'!$E:$E,B98,'Hospital Catalog'!$F:$F,"&lt;="&amp;A98,'Hospital Catalog'!$H:$H,"Yes")</x:f>
        <x:v>1</x:v>
      </x:c>
      <x:c r="E98" s="22" t="n">
        <x:f>IFERROR(D98/C98*100000,"")</x:f>
        <x:v>3.773869726017058</x:v>
      </x:c>
      <x:c r="F98" s="18" t="n">
        <x:f>COUNTIFS('Hospital Catalog'!$E:$E,B98,'Hospital Catalog'!$F:$F,"&lt;="&amp;A98,'Hospital Catalog'!$H:$H,"Yes",'Hospital Catalog'!$D:$D,"*public*") + COUNTIFS('Hospital Catalog'!$E:$E,B98,'Hospital Catalog'!$F:$F,"&lt;="&amp;A98,'Hospital Catalog'!$H:$H,"Yes",'Hospital Catalog'!$D:$D,"IMSS public") + COUNTIFS('Hospital Catalog'!$E:$E,B98,'Hospital Catalog'!$F:$F,"&lt;="&amp;A98,'Hospital Catalog'!$H:$H,"Yes",'Hospital Catalog'!$D:$D,"ISSSTE public")</x:f>
        <x:v>0</x:v>
      </x:c>
      <x:c r="G98" s="22" t="n">
        <x:f>IFERROR(F98/C98*100000,"")</x:f>
        <x:v>0</x:v>
      </x:c>
      <x:c r="H98" s="18" t="n">
        <x:f>COUNTIFS('Hospital Catalog'!$E:$E,B98,'Hospital Catalog'!$F:$F,"&lt;="&amp;A98,'Hospital Catalog'!$H:$H,"Yes",'Hospital Catalog'!$K:$K,"High") + COUNTIFS('Hospital Catalog'!$E:$E,B98,'Hospital Catalog'!$F:$F,"&lt;="&amp;A98,'Hospital Catalog'!$H:$H,"Yes",'Hospital Catalog'!$K:$K,"Medium")</x:f>
        <x:v>1</x:v>
      </x:c>
      <x:c r="I98" s="22" t="n">
        <x:f>IFERROR(H98/C98*100000,"")</x:f>
        <x:v>3.773869726017058</x:v>
      </x:c>
      <x:c r="J98" s="16" t="str"/>
    </x:row>
    <x:row r="99">
      <x:c r="A99" s="16" t="n">
        <x:v>1920</x:v>
      </x:c>
      <x:c r="B99" s="16" t="str">
        <x:v>Azcapotzalco</x:v>
      </x:c>
      <x:c r="C99" s="20" t="n">
        <x:f>INDEX(Population!$B$2:$R$17,MATCH(B99,Population!$A$2:$A$17,0),MATCH(A99,Population!$B$1:$R$1,0))</x:f>
        <x:v>48320</x:v>
      </x:c>
      <x:c r="D99" s="18" t="n">
        <x:f>COUNTIFS('Hospital Catalog'!$E:$E,B99,'Hospital Catalog'!$F:$F,"&lt;="&amp;A99,'Hospital Catalog'!$H:$H,"Yes")</x:f>
        <x:v>0</x:v>
      </x:c>
      <x:c r="E99" s="22" t="n">
        <x:f>IFERROR(D99/C99*100000,"")</x:f>
        <x:v>0</x:v>
      </x:c>
      <x:c r="F99" s="18" t="n">
        <x:f>COUNTIFS('Hospital Catalog'!$E:$E,B99,'Hospital Catalog'!$F:$F,"&lt;="&amp;A99,'Hospital Catalog'!$H:$H,"Yes",'Hospital Catalog'!$D:$D,"*public*") + COUNTIFS('Hospital Catalog'!$E:$E,B99,'Hospital Catalog'!$F:$F,"&lt;="&amp;A99,'Hospital Catalog'!$H:$H,"Yes",'Hospital Catalog'!$D:$D,"IMSS public") + COUNTIFS('Hospital Catalog'!$E:$E,B99,'Hospital Catalog'!$F:$F,"&lt;="&amp;A99,'Hospital Catalog'!$H:$H,"Yes",'Hospital Catalog'!$D:$D,"ISSSTE public")</x:f>
        <x:v>0</x:v>
      </x:c>
      <x:c r="G99" s="22" t="n">
        <x:f>IFERROR(F99/C99*100000,"")</x:f>
        <x:v>0</x:v>
      </x:c>
      <x:c r="H99" s="18" t="n">
        <x:f>COUNTIFS('Hospital Catalog'!$E:$E,B99,'Hospital Catalog'!$F:$F,"&lt;="&amp;A99,'Hospital Catalog'!$H:$H,"Yes",'Hospital Catalog'!$K:$K,"High") + COUNTIFS('Hospital Catalog'!$E:$E,B99,'Hospital Catalog'!$F:$F,"&lt;="&amp;A99,'Hospital Catalog'!$H:$H,"Yes",'Hospital Catalog'!$K:$K,"Medium")</x:f>
        <x:v>0</x:v>
      </x:c>
      <x:c r="I99" s="22" t="n">
        <x:f>IFERROR(H99/C99*100000,"")</x:f>
        <x:v>0</x:v>
      </x:c>
      <x:c r="J99" s="16" t="str"/>
    </x:row>
    <x:row r="100">
      <x:c r="A100" s="16" t="n">
        <x:v>1920</x:v>
      </x:c>
      <x:c r="B100" s="16" t="str">
        <x:v>Benito Juárez</x:v>
      </x:c>
      <x:c r="C100" s="20" t="n">
        <x:f>INDEX(Population!$B$2:$R$17,MATCH(B100,Population!$A$2:$A$17,0),MATCH(A100,Population!$B$1:$R$1,0))</x:f>
        <x:v>137115</x:v>
      </x:c>
      <x:c r="D100" s="18" t="n">
        <x:f>COUNTIFS('Hospital Catalog'!$E:$E,B100,'Hospital Catalog'!$F:$F,"&lt;="&amp;A100,'Hospital Catalog'!$H:$H,"Yes")</x:f>
        <x:v>0</x:v>
      </x:c>
      <x:c r="E100" s="22" t="n">
        <x:f>IFERROR(D100/C100*100000,"")</x:f>
        <x:v>0</x:v>
      </x:c>
      <x:c r="F100" s="18" t="n">
        <x:f>COUNTIFS('Hospital Catalog'!$E:$E,B100,'Hospital Catalog'!$F:$F,"&lt;="&amp;A100,'Hospital Catalog'!$H:$H,"Yes",'Hospital Catalog'!$D:$D,"*public*") + COUNTIFS('Hospital Catalog'!$E:$E,B100,'Hospital Catalog'!$F:$F,"&lt;="&amp;A100,'Hospital Catalog'!$H:$H,"Yes",'Hospital Catalog'!$D:$D,"IMSS public") + COUNTIFS('Hospital Catalog'!$E:$E,B100,'Hospital Catalog'!$F:$F,"&lt;="&amp;A100,'Hospital Catalog'!$H:$H,"Yes",'Hospital Catalog'!$D:$D,"ISSSTE public")</x:f>
        <x:v>0</x:v>
      </x:c>
      <x:c r="G100" s="22" t="n">
        <x:f>IFERROR(F100/C100*100000,"")</x:f>
        <x:v>0</x:v>
      </x:c>
      <x:c r="H100" s="18" t="n">
        <x:f>COUNTIFS('Hospital Catalog'!$E:$E,B100,'Hospital Catalog'!$F:$F,"&lt;="&amp;A100,'Hospital Catalog'!$H:$H,"Yes",'Hospital Catalog'!$K:$K,"High") + COUNTIFS('Hospital Catalog'!$E:$E,B100,'Hospital Catalog'!$F:$F,"&lt;="&amp;A100,'Hospital Catalog'!$H:$H,"Yes",'Hospital Catalog'!$K:$K,"Medium")</x:f>
        <x:v>0</x:v>
      </x:c>
      <x:c r="I100" s="22" t="n">
        <x:f>IFERROR(H100/C100*100000,"")</x:f>
        <x:v>0</x:v>
      </x:c>
      <x:c r="J100" s="16" t="str"/>
    </x:row>
    <x:row r="101">
      <x:c r="A101" s="16" t="n">
        <x:v>1920</x:v>
      </x:c>
      <x:c r="B101" s="16" t="str">
        <x:v>Coyoacán</x:v>
      </x:c>
      <x:c r="C101" s="20" t="n">
        <x:f>INDEX(Population!$B$2:$R$17,MATCH(B101,Population!$A$2:$A$17,0),MATCH(A101,Population!$B$1:$R$1,0))</x:f>
        <x:v>19902</x:v>
      </x:c>
      <x:c r="D101" s="18" t="n">
        <x:f>COUNTIFS('Hospital Catalog'!$E:$E,B101,'Hospital Catalog'!$F:$F,"&lt;="&amp;A101,'Hospital Catalog'!$H:$H,"Yes")</x:f>
        <x:v>0</x:v>
      </x:c>
      <x:c r="E101" s="22" t="n">
        <x:f>IFERROR(D101/C101*100000,"")</x:f>
        <x:v>0</x:v>
      </x:c>
      <x:c r="F101" s="18" t="n">
        <x:f>COUNTIFS('Hospital Catalog'!$E:$E,B101,'Hospital Catalog'!$F:$F,"&lt;="&amp;A101,'Hospital Catalog'!$H:$H,"Yes",'Hospital Catalog'!$D:$D,"*public*") + COUNTIFS('Hospital Catalog'!$E:$E,B101,'Hospital Catalog'!$F:$F,"&lt;="&amp;A101,'Hospital Catalog'!$H:$H,"Yes",'Hospital Catalog'!$D:$D,"IMSS public") + COUNTIFS('Hospital Catalog'!$E:$E,B101,'Hospital Catalog'!$F:$F,"&lt;="&amp;A101,'Hospital Catalog'!$H:$H,"Yes",'Hospital Catalog'!$D:$D,"ISSSTE public")</x:f>
        <x:v>0</x:v>
      </x:c>
      <x:c r="G101" s="22" t="n">
        <x:f>IFERROR(F101/C101*100000,"")</x:f>
        <x:v>0</x:v>
      </x:c>
      <x:c r="H101" s="18" t="n">
        <x:f>COUNTIFS('Hospital Catalog'!$E:$E,B101,'Hospital Catalog'!$F:$F,"&lt;="&amp;A101,'Hospital Catalog'!$H:$H,"Yes",'Hospital Catalog'!$K:$K,"High") + COUNTIFS('Hospital Catalog'!$E:$E,B101,'Hospital Catalog'!$F:$F,"&lt;="&amp;A101,'Hospital Catalog'!$H:$H,"Yes",'Hospital Catalog'!$K:$K,"Medium")</x:f>
        <x:v>0</x:v>
      </x:c>
      <x:c r="I101" s="22" t="n">
        <x:f>IFERROR(H101/C101*100000,"")</x:f>
        <x:v>0</x:v>
      </x:c>
      <x:c r="J101" s="16" t="str"/>
    </x:row>
    <x:row r="102">
      <x:c r="A102" s="16" t="n">
        <x:v>1920</x:v>
      </x:c>
      <x:c r="B102" s="16" t="str">
        <x:v>Cuajimalpa de Morelos</x:v>
      </x:c>
      <x:c r="C102" s="20" t="n">
        <x:f>INDEX(Population!$B$2:$R$17,MATCH(B102,Population!$A$2:$A$17,0),MATCH(A102,Population!$B$1:$R$1,0))</x:f>
        <x:v>4204</x:v>
      </x:c>
      <x:c r="D102" s="18" t="n">
        <x:f>COUNTIFS('Hospital Catalog'!$E:$E,B102,'Hospital Catalog'!$F:$F,"&lt;="&amp;A102,'Hospital Catalog'!$H:$H,"Yes")</x:f>
        <x:v>0</x:v>
      </x:c>
      <x:c r="E102" s="22" t="n">
        <x:f>IFERROR(D102/C102*100000,"")</x:f>
        <x:v>0</x:v>
      </x:c>
      <x:c r="F102" s="18" t="n">
        <x:f>COUNTIFS('Hospital Catalog'!$E:$E,B102,'Hospital Catalog'!$F:$F,"&lt;="&amp;A102,'Hospital Catalog'!$H:$H,"Yes",'Hospital Catalog'!$D:$D,"*public*") + COUNTIFS('Hospital Catalog'!$E:$E,B102,'Hospital Catalog'!$F:$F,"&lt;="&amp;A102,'Hospital Catalog'!$H:$H,"Yes",'Hospital Catalog'!$D:$D,"IMSS public") + COUNTIFS('Hospital Catalog'!$E:$E,B102,'Hospital Catalog'!$F:$F,"&lt;="&amp;A102,'Hospital Catalog'!$H:$H,"Yes",'Hospital Catalog'!$D:$D,"ISSSTE public")</x:f>
        <x:v>0</x:v>
      </x:c>
      <x:c r="G102" s="22" t="n">
        <x:f>IFERROR(F102/C102*100000,"")</x:f>
        <x:v>0</x:v>
      </x:c>
      <x:c r="H102" s="18" t="n">
        <x:f>COUNTIFS('Hospital Catalog'!$E:$E,B102,'Hospital Catalog'!$F:$F,"&lt;="&amp;A102,'Hospital Catalog'!$H:$H,"Yes",'Hospital Catalog'!$K:$K,"High") + COUNTIFS('Hospital Catalog'!$E:$E,B102,'Hospital Catalog'!$F:$F,"&lt;="&amp;A102,'Hospital Catalog'!$H:$H,"Yes",'Hospital Catalog'!$K:$K,"Medium")</x:f>
        <x:v>0</x:v>
      </x:c>
      <x:c r="I102" s="22" t="n">
        <x:f>IFERROR(H102/C102*100000,"")</x:f>
        <x:v>0</x:v>
      </x:c>
      <x:c r="J102" s="16" t="str"/>
    </x:row>
    <x:row r="103">
      <x:c r="A103" s="16" t="n">
        <x:v>1920</x:v>
      </x:c>
      <x:c r="B103" s="16" t="str">
        <x:v>Cuauhtémoc</x:v>
      </x:c>
      <x:c r="C103" s="20" t="n">
        <x:f>INDEX(Population!$B$2:$R$17,MATCH(B103,Population!$A$2:$A$17,0),MATCH(A103,Population!$B$1:$R$1,0))</x:f>
        <x:v>226485</x:v>
      </x:c>
      <x:c r="D103" s="18" t="n">
        <x:f>COUNTIFS('Hospital Catalog'!$E:$E,B103,'Hospital Catalog'!$F:$F,"&lt;="&amp;A103,'Hospital Catalog'!$H:$H,"Yes")</x:f>
        <x:v>2</x:v>
      </x:c>
      <x:c r="E103" s="22" t="n">
        <x:f>IFERROR(D103/C103*100000,"")</x:f>
        <x:v>0.8830606883458065</x:v>
      </x:c>
      <x:c r="F103" s="18" t="n">
        <x:f>COUNTIFS('Hospital Catalog'!$E:$E,B103,'Hospital Catalog'!$F:$F,"&lt;="&amp;A103,'Hospital Catalog'!$H:$H,"Yes",'Hospital Catalog'!$D:$D,"*public*") + COUNTIFS('Hospital Catalog'!$E:$E,B103,'Hospital Catalog'!$F:$F,"&lt;="&amp;A103,'Hospital Catalog'!$H:$H,"Yes",'Hospital Catalog'!$D:$D,"IMSS public") + COUNTIFS('Hospital Catalog'!$E:$E,B103,'Hospital Catalog'!$F:$F,"&lt;="&amp;A103,'Hospital Catalog'!$H:$H,"Yes",'Hospital Catalog'!$D:$D,"ISSSTE public")</x:f>
        <x:v>0</x:v>
      </x:c>
      <x:c r="G103" s="22" t="n">
        <x:f>IFERROR(F103/C103*100000,"")</x:f>
        <x:v>0</x:v>
      </x:c>
      <x:c r="H103" s="18" t="n">
        <x:f>COUNTIFS('Hospital Catalog'!$E:$E,B103,'Hospital Catalog'!$F:$F,"&lt;="&amp;A103,'Hospital Catalog'!$H:$H,"Yes",'Hospital Catalog'!$K:$K,"High") + COUNTIFS('Hospital Catalog'!$E:$E,B103,'Hospital Catalog'!$F:$F,"&lt;="&amp;A103,'Hospital Catalog'!$H:$H,"Yes",'Hospital Catalog'!$K:$K,"Medium")</x:f>
        <x:v>2</x:v>
      </x:c>
      <x:c r="I103" s="22" t="n">
        <x:f>IFERROR(H103/C103*100000,"")</x:f>
        <x:v>0.8830606883458065</x:v>
      </x:c>
      <x:c r="J103" s="16" t="str"/>
    </x:row>
    <x:row r="104">
      <x:c r="A104" s="16" t="n">
        <x:v>1920</x:v>
      </x:c>
      <x:c r="B104" s="16" t="str">
        <x:v>Gustavo A. Madero</x:v>
      </x:c>
      <x:c r="C104" s="20" t="n">
        <x:f>INDEX(Population!$B$2:$R$17,MATCH(B104,Population!$A$2:$A$17,0),MATCH(A104,Population!$B$1:$R$1,0))</x:f>
        <x:v>51913</x:v>
      </x:c>
      <x:c r="D104" s="18" t="n">
        <x:f>COUNTIFS('Hospital Catalog'!$E:$E,B104,'Hospital Catalog'!$F:$F,"&lt;="&amp;A104,'Hospital Catalog'!$H:$H,"Yes")</x:f>
        <x:v>0</x:v>
      </x:c>
      <x:c r="E104" s="22" t="n">
        <x:f>IFERROR(D104/C104*100000,"")</x:f>
        <x:v>0</x:v>
      </x:c>
      <x:c r="F104" s="18" t="n">
        <x:f>COUNTIFS('Hospital Catalog'!$E:$E,B104,'Hospital Catalog'!$F:$F,"&lt;="&amp;A104,'Hospital Catalog'!$H:$H,"Yes",'Hospital Catalog'!$D:$D,"*public*") + COUNTIFS('Hospital Catalog'!$E:$E,B104,'Hospital Catalog'!$F:$F,"&lt;="&amp;A104,'Hospital Catalog'!$H:$H,"Yes",'Hospital Catalog'!$D:$D,"IMSS public") + COUNTIFS('Hospital Catalog'!$E:$E,B104,'Hospital Catalog'!$F:$F,"&lt;="&amp;A104,'Hospital Catalog'!$H:$H,"Yes",'Hospital Catalog'!$D:$D,"ISSSTE public")</x:f>
        <x:v>0</x:v>
      </x:c>
      <x:c r="G104" s="22" t="n">
        <x:f>IFERROR(F104/C104*100000,"")</x:f>
        <x:v>0</x:v>
      </x:c>
      <x:c r="H104" s="18" t="n">
        <x:f>COUNTIFS('Hospital Catalog'!$E:$E,B104,'Hospital Catalog'!$F:$F,"&lt;="&amp;A104,'Hospital Catalog'!$H:$H,"Yes",'Hospital Catalog'!$K:$K,"High") + COUNTIFS('Hospital Catalog'!$E:$E,B104,'Hospital Catalog'!$F:$F,"&lt;="&amp;A104,'Hospital Catalog'!$H:$H,"Yes",'Hospital Catalog'!$K:$K,"Medium")</x:f>
        <x:v>0</x:v>
      </x:c>
      <x:c r="I104" s="22" t="n">
        <x:f>IFERROR(H104/C104*100000,"")</x:f>
        <x:v>0</x:v>
      </x:c>
      <x:c r="J104" s="16" t="str"/>
    </x:row>
    <x:row r="105">
      <x:c r="A105" s="16" t="n">
        <x:v>1920</x:v>
      </x:c>
      <x:c r="B105" s="16" t="str">
        <x:v>Iztacalco</x:v>
      </x:c>
      <x:c r="C105" s="20" t="n">
        <x:f>INDEX(Population!$B$2:$R$17,MATCH(B105,Population!$A$2:$A$17,0),MATCH(A105,Population!$B$1:$R$1,0))</x:f>
        <x:v>9703</x:v>
      </x:c>
      <x:c r="D105" s="18" t="n">
        <x:f>COUNTIFS('Hospital Catalog'!$E:$E,B105,'Hospital Catalog'!$F:$F,"&lt;="&amp;A105,'Hospital Catalog'!$H:$H,"Yes")</x:f>
        <x:v>0</x:v>
      </x:c>
      <x:c r="E105" s="22" t="n">
        <x:f>IFERROR(D105/C105*100000,"")</x:f>
        <x:v>0</x:v>
      </x:c>
      <x:c r="F105" s="18" t="n">
        <x:f>COUNTIFS('Hospital Catalog'!$E:$E,B105,'Hospital Catalog'!$F:$F,"&lt;="&amp;A105,'Hospital Catalog'!$H:$H,"Yes",'Hospital Catalog'!$D:$D,"*public*") + COUNTIFS('Hospital Catalog'!$E:$E,B105,'Hospital Catalog'!$F:$F,"&lt;="&amp;A105,'Hospital Catalog'!$H:$H,"Yes",'Hospital Catalog'!$D:$D,"IMSS public") + COUNTIFS('Hospital Catalog'!$E:$E,B105,'Hospital Catalog'!$F:$F,"&lt;="&amp;A105,'Hospital Catalog'!$H:$H,"Yes",'Hospital Catalog'!$D:$D,"ISSSTE public")</x:f>
        <x:v>0</x:v>
      </x:c>
      <x:c r="G105" s="22" t="n">
        <x:f>IFERROR(F105/C105*100000,"")</x:f>
        <x:v>0</x:v>
      </x:c>
      <x:c r="H105" s="18" t="n">
        <x:f>COUNTIFS('Hospital Catalog'!$E:$E,B105,'Hospital Catalog'!$F:$F,"&lt;="&amp;A105,'Hospital Catalog'!$H:$H,"Yes",'Hospital Catalog'!$K:$K,"High") + COUNTIFS('Hospital Catalog'!$E:$E,B105,'Hospital Catalog'!$F:$F,"&lt;="&amp;A105,'Hospital Catalog'!$H:$H,"Yes",'Hospital Catalog'!$K:$K,"Medium")</x:f>
        <x:v>0</x:v>
      </x:c>
      <x:c r="I105" s="22" t="n">
        <x:f>IFERROR(H105/C105*100000,"")</x:f>
        <x:v>0</x:v>
      </x:c>
      <x:c r="J105" s="16" t="str"/>
    </x:row>
    <x:row r="106">
      <x:c r="A106" s="16" t="n">
        <x:v>1920</x:v>
      </x:c>
      <x:c r="B106" s="16" t="str">
        <x:v>Iztapalapa</x:v>
      </x:c>
      <x:c r="C106" s="20" t="n">
        <x:f>INDEX(Population!$B$2:$R$17,MATCH(B106,Population!$A$2:$A$17,0),MATCH(A106,Population!$B$1:$R$1,0))</x:f>
        <x:v>22615</x:v>
      </x:c>
      <x:c r="D106" s="18" t="n">
        <x:f>COUNTIFS('Hospital Catalog'!$E:$E,B106,'Hospital Catalog'!$F:$F,"&lt;="&amp;A106,'Hospital Catalog'!$H:$H,"Yes")</x:f>
        <x:v>0</x:v>
      </x:c>
      <x:c r="E106" s="22" t="n">
        <x:f>IFERROR(D106/C106*100000,"")</x:f>
        <x:v>0</x:v>
      </x:c>
      <x:c r="F106" s="18" t="n">
        <x:f>COUNTIFS('Hospital Catalog'!$E:$E,B106,'Hospital Catalog'!$F:$F,"&lt;="&amp;A106,'Hospital Catalog'!$H:$H,"Yes",'Hospital Catalog'!$D:$D,"*public*") + COUNTIFS('Hospital Catalog'!$E:$E,B106,'Hospital Catalog'!$F:$F,"&lt;="&amp;A106,'Hospital Catalog'!$H:$H,"Yes",'Hospital Catalog'!$D:$D,"IMSS public") + COUNTIFS('Hospital Catalog'!$E:$E,B106,'Hospital Catalog'!$F:$F,"&lt;="&amp;A106,'Hospital Catalog'!$H:$H,"Yes",'Hospital Catalog'!$D:$D,"ISSSTE public")</x:f>
        <x:v>0</x:v>
      </x:c>
      <x:c r="G106" s="22" t="n">
        <x:f>IFERROR(F106/C106*100000,"")</x:f>
        <x:v>0</x:v>
      </x:c>
      <x:c r="H106" s="18" t="n">
        <x:f>COUNTIFS('Hospital Catalog'!$E:$E,B106,'Hospital Catalog'!$F:$F,"&lt;="&amp;A106,'Hospital Catalog'!$H:$H,"Yes",'Hospital Catalog'!$K:$K,"High") + COUNTIFS('Hospital Catalog'!$E:$E,B106,'Hospital Catalog'!$F:$F,"&lt;="&amp;A106,'Hospital Catalog'!$H:$H,"Yes",'Hospital Catalog'!$K:$K,"Medium")</x:f>
        <x:v>0</x:v>
      </x:c>
      <x:c r="I106" s="22" t="n">
        <x:f>IFERROR(H106/C106*100000,"")</x:f>
        <x:v>0</x:v>
      </x:c>
      <x:c r="J106" s="16" t="str"/>
    </x:row>
    <x:row r="107">
      <x:c r="A107" s="16" t="n">
        <x:v>1920</x:v>
      </x:c>
      <x:c r="B107" s="16" t="str">
        <x:v>La Magdalena Contreras</x:v>
      </x:c>
      <x:c r="C107" s="20" t="n">
        <x:f>INDEX(Population!$B$2:$R$17,MATCH(B107,Population!$A$2:$A$17,0),MATCH(A107,Population!$B$1:$R$1,0))</x:f>
        <x:v>6504</x:v>
      </x:c>
      <x:c r="D107" s="18" t="n">
        <x:f>COUNTIFS('Hospital Catalog'!$E:$E,B107,'Hospital Catalog'!$F:$F,"&lt;="&amp;A107,'Hospital Catalog'!$H:$H,"Yes")</x:f>
        <x:v>0</x:v>
      </x:c>
      <x:c r="E107" s="22" t="n">
        <x:f>IFERROR(D107/C107*100000,"")</x:f>
        <x:v>0</x:v>
      </x:c>
      <x:c r="F107" s="18" t="n">
        <x:f>COUNTIFS('Hospital Catalog'!$E:$E,B107,'Hospital Catalog'!$F:$F,"&lt;="&amp;A107,'Hospital Catalog'!$H:$H,"Yes",'Hospital Catalog'!$D:$D,"*public*") + COUNTIFS('Hospital Catalog'!$E:$E,B107,'Hospital Catalog'!$F:$F,"&lt;="&amp;A107,'Hospital Catalog'!$H:$H,"Yes",'Hospital Catalog'!$D:$D,"IMSS public") + COUNTIFS('Hospital Catalog'!$E:$E,B107,'Hospital Catalog'!$F:$F,"&lt;="&amp;A107,'Hospital Catalog'!$H:$H,"Yes",'Hospital Catalog'!$D:$D,"ISSSTE public")</x:f>
        <x:v>0</x:v>
      </x:c>
      <x:c r="G107" s="22" t="n">
        <x:f>IFERROR(F107/C107*100000,"")</x:f>
        <x:v>0</x:v>
      </x:c>
      <x:c r="H107" s="18" t="n">
        <x:f>COUNTIFS('Hospital Catalog'!$E:$E,B107,'Hospital Catalog'!$F:$F,"&lt;="&amp;A107,'Hospital Catalog'!$H:$H,"Yes",'Hospital Catalog'!$K:$K,"High") + COUNTIFS('Hospital Catalog'!$E:$E,B107,'Hospital Catalog'!$F:$F,"&lt;="&amp;A107,'Hospital Catalog'!$H:$H,"Yes",'Hospital Catalog'!$K:$K,"Medium")</x:f>
        <x:v>0</x:v>
      </x:c>
      <x:c r="I107" s="22" t="n">
        <x:f>IFERROR(H107/C107*100000,"")</x:f>
        <x:v>0</x:v>
      </x:c>
      <x:c r="J107" s="16" t="str"/>
    </x:row>
    <x:row r="108">
      <x:c r="A108" s="16" t="n">
        <x:v>1920</x:v>
      </x:c>
      <x:c r="B108" s="16" t="str">
        <x:v>Miguel Hidalgo</x:v>
      </x:c>
      <x:c r="C108" s="20" t="n">
        <x:f>INDEX(Population!$B$2:$R$17,MATCH(B108,Population!$A$2:$A$17,0),MATCH(A108,Population!$B$1:$R$1,0))</x:f>
        <x:v>138682</x:v>
      </x:c>
      <x:c r="D108" s="18" t="n">
        <x:f>COUNTIFS('Hospital Catalog'!$E:$E,B108,'Hospital Catalog'!$F:$F,"&lt;="&amp;A108,'Hospital Catalog'!$H:$H,"Yes")</x:f>
        <x:v>1</x:v>
      </x:c>
      <x:c r="E108" s="22" t="n">
        <x:f>IFERROR(D108/C108*100000,"")</x:f>
        <x:v>0.721074111997231</x:v>
      </x:c>
      <x:c r="F108" s="18" t="n">
        <x:f>COUNTIFS('Hospital Catalog'!$E:$E,B108,'Hospital Catalog'!$F:$F,"&lt;="&amp;A108,'Hospital Catalog'!$H:$H,"Yes",'Hospital Catalog'!$D:$D,"*public*") + COUNTIFS('Hospital Catalog'!$E:$E,B108,'Hospital Catalog'!$F:$F,"&lt;="&amp;A108,'Hospital Catalog'!$H:$H,"Yes",'Hospital Catalog'!$D:$D,"IMSS public") + COUNTIFS('Hospital Catalog'!$E:$E,B108,'Hospital Catalog'!$F:$F,"&lt;="&amp;A108,'Hospital Catalog'!$H:$H,"Yes",'Hospital Catalog'!$D:$D,"ISSSTE public")</x:f>
        <x:v>0</x:v>
      </x:c>
      <x:c r="G108" s="22" t="n">
        <x:f>IFERROR(F108/C108*100000,"")</x:f>
        <x:v>0</x:v>
      </x:c>
      <x:c r="H108" s="18" t="n">
        <x:f>COUNTIFS('Hospital Catalog'!$E:$E,B108,'Hospital Catalog'!$F:$F,"&lt;="&amp;A108,'Hospital Catalog'!$H:$H,"Yes",'Hospital Catalog'!$K:$K,"High") + COUNTIFS('Hospital Catalog'!$E:$E,B108,'Hospital Catalog'!$F:$F,"&lt;="&amp;A108,'Hospital Catalog'!$H:$H,"Yes",'Hospital Catalog'!$K:$K,"Medium")</x:f>
        <x:v>1</x:v>
      </x:c>
      <x:c r="I108" s="22" t="n">
        <x:f>IFERROR(H108/C108*100000,"")</x:f>
        <x:v>0.721074111997231</x:v>
      </x:c>
      <x:c r="J108" s="16" t="str"/>
    </x:row>
    <x:row r="109">
      <x:c r="A109" s="16" t="n">
        <x:v>1920</x:v>
      </x:c>
      <x:c r="B109" s="16" t="str">
        <x:v>Milpa Alta</x:v>
      </x:c>
      <x:c r="C109" s="20" t="n">
        <x:f>INDEX(Population!$B$2:$R$17,MATCH(B109,Population!$A$2:$A$17,0),MATCH(A109,Population!$B$1:$R$1,0))</x:f>
        <x:v>7755</x:v>
      </x:c>
      <x:c r="D109" s="18" t="n">
        <x:f>COUNTIFS('Hospital Catalog'!$E:$E,B109,'Hospital Catalog'!$F:$F,"&lt;="&amp;A109,'Hospital Catalog'!$H:$H,"Yes")</x:f>
        <x:v>0</x:v>
      </x:c>
      <x:c r="E109" s="22" t="n">
        <x:f>IFERROR(D109/C109*100000,"")</x:f>
        <x:v>0</x:v>
      </x:c>
      <x:c r="F109" s="18" t="n">
        <x:f>COUNTIFS('Hospital Catalog'!$E:$E,B109,'Hospital Catalog'!$F:$F,"&lt;="&amp;A109,'Hospital Catalog'!$H:$H,"Yes",'Hospital Catalog'!$D:$D,"*public*") + COUNTIFS('Hospital Catalog'!$E:$E,B109,'Hospital Catalog'!$F:$F,"&lt;="&amp;A109,'Hospital Catalog'!$H:$H,"Yes",'Hospital Catalog'!$D:$D,"IMSS public") + COUNTIFS('Hospital Catalog'!$E:$E,B109,'Hospital Catalog'!$F:$F,"&lt;="&amp;A109,'Hospital Catalog'!$H:$H,"Yes",'Hospital Catalog'!$D:$D,"ISSSTE public")</x:f>
        <x:v>0</x:v>
      </x:c>
      <x:c r="G109" s="22" t="n">
        <x:f>IFERROR(F109/C109*100000,"")</x:f>
        <x:v>0</x:v>
      </x:c>
      <x:c r="H109" s="18" t="n">
        <x:f>COUNTIFS('Hospital Catalog'!$E:$E,B109,'Hospital Catalog'!$F:$F,"&lt;="&amp;A109,'Hospital Catalog'!$H:$H,"Yes",'Hospital Catalog'!$K:$K,"High") + COUNTIFS('Hospital Catalog'!$E:$E,B109,'Hospital Catalog'!$F:$F,"&lt;="&amp;A109,'Hospital Catalog'!$H:$H,"Yes",'Hospital Catalog'!$K:$K,"Medium")</x:f>
        <x:v>0</x:v>
      </x:c>
      <x:c r="I109" s="22" t="n">
        <x:f>IFERROR(H109/C109*100000,"")</x:f>
        <x:v>0</x:v>
      </x:c>
      <x:c r="J109" s="16" t="str"/>
    </x:row>
    <x:row r="110">
      <x:c r="A110" s="16" t="n">
        <x:v>1920</x:v>
      </x:c>
      <x:c r="B110" s="16" t="str">
        <x:v>Tláhuac</x:v>
      </x:c>
      <x:c r="C110" s="20" t="n">
        <x:f>INDEX(Population!$B$2:$R$17,MATCH(B110,Population!$A$2:$A$17,0),MATCH(A110,Population!$B$1:$R$1,0))</x:f>
        <x:v>5931</x:v>
      </x:c>
      <x:c r="D110" s="18" t="n">
        <x:f>COUNTIFS('Hospital Catalog'!$E:$E,B110,'Hospital Catalog'!$F:$F,"&lt;="&amp;A110,'Hospital Catalog'!$H:$H,"Yes")</x:f>
        <x:v>0</x:v>
      </x:c>
      <x:c r="E110" s="22" t="n">
        <x:f>IFERROR(D110/C110*100000,"")</x:f>
        <x:v>0</x:v>
      </x:c>
      <x:c r="F110" s="18" t="n">
        <x:f>COUNTIFS('Hospital Catalog'!$E:$E,B110,'Hospital Catalog'!$F:$F,"&lt;="&amp;A110,'Hospital Catalog'!$H:$H,"Yes",'Hospital Catalog'!$D:$D,"*public*") + COUNTIFS('Hospital Catalog'!$E:$E,B110,'Hospital Catalog'!$F:$F,"&lt;="&amp;A110,'Hospital Catalog'!$H:$H,"Yes",'Hospital Catalog'!$D:$D,"IMSS public") + COUNTIFS('Hospital Catalog'!$E:$E,B110,'Hospital Catalog'!$F:$F,"&lt;="&amp;A110,'Hospital Catalog'!$H:$H,"Yes",'Hospital Catalog'!$D:$D,"ISSSTE public")</x:f>
        <x:v>0</x:v>
      </x:c>
      <x:c r="G110" s="22" t="n">
        <x:f>IFERROR(F110/C110*100000,"")</x:f>
        <x:v>0</x:v>
      </x:c>
      <x:c r="H110" s="18" t="n">
        <x:f>COUNTIFS('Hospital Catalog'!$E:$E,B110,'Hospital Catalog'!$F:$F,"&lt;="&amp;A110,'Hospital Catalog'!$H:$H,"Yes",'Hospital Catalog'!$K:$K,"High") + COUNTIFS('Hospital Catalog'!$E:$E,B110,'Hospital Catalog'!$F:$F,"&lt;="&amp;A110,'Hospital Catalog'!$H:$H,"Yes",'Hospital Catalog'!$K:$K,"Medium")</x:f>
        <x:v>0</x:v>
      </x:c>
      <x:c r="I110" s="22" t="n">
        <x:f>IFERROR(H110/C110*100000,"")</x:f>
        <x:v>0</x:v>
      </x:c>
      <x:c r="J110" s="16" t="str"/>
    </x:row>
    <x:row r="111">
      <x:c r="A111" s="16" t="n">
        <x:v>1920</x:v>
      </x:c>
      <x:c r="B111" s="16" t="str">
        <x:v>Tlalpan</x:v>
      </x:c>
      <x:c r="C111" s="20" t="n">
        <x:f>INDEX(Population!$B$2:$R$17,MATCH(B111,Population!$A$2:$A$17,0),MATCH(A111,Population!$B$1:$R$1,0))</x:f>
        <x:v>10007</x:v>
      </x:c>
      <x:c r="D111" s="18" t="n">
        <x:f>COUNTIFS('Hospital Catalog'!$E:$E,B111,'Hospital Catalog'!$F:$F,"&lt;="&amp;A111,'Hospital Catalog'!$H:$H,"Yes")</x:f>
        <x:v>0</x:v>
      </x:c>
      <x:c r="E111" s="22" t="n">
        <x:f>IFERROR(D111/C111*100000,"")</x:f>
        <x:v>0</x:v>
      </x:c>
      <x:c r="F111" s="18" t="n">
        <x:f>COUNTIFS('Hospital Catalog'!$E:$E,B111,'Hospital Catalog'!$F:$F,"&lt;="&amp;A111,'Hospital Catalog'!$H:$H,"Yes",'Hospital Catalog'!$D:$D,"*public*") + COUNTIFS('Hospital Catalog'!$E:$E,B111,'Hospital Catalog'!$F:$F,"&lt;="&amp;A111,'Hospital Catalog'!$H:$H,"Yes",'Hospital Catalog'!$D:$D,"IMSS public") + COUNTIFS('Hospital Catalog'!$E:$E,B111,'Hospital Catalog'!$F:$F,"&lt;="&amp;A111,'Hospital Catalog'!$H:$H,"Yes",'Hospital Catalog'!$D:$D,"ISSSTE public")</x:f>
        <x:v>0</x:v>
      </x:c>
      <x:c r="G111" s="22" t="n">
        <x:f>IFERROR(F111/C111*100000,"")</x:f>
        <x:v>0</x:v>
      </x:c>
      <x:c r="H111" s="18" t="n">
        <x:f>COUNTIFS('Hospital Catalog'!$E:$E,B111,'Hospital Catalog'!$F:$F,"&lt;="&amp;A111,'Hospital Catalog'!$H:$H,"Yes",'Hospital Catalog'!$K:$K,"High") + COUNTIFS('Hospital Catalog'!$E:$E,B111,'Hospital Catalog'!$F:$F,"&lt;="&amp;A111,'Hospital Catalog'!$H:$H,"Yes",'Hospital Catalog'!$K:$K,"Medium")</x:f>
        <x:v>0</x:v>
      </x:c>
      <x:c r="I111" s="22" t="n">
        <x:f>IFERROR(H111/C111*100000,"")</x:f>
        <x:v>0</x:v>
      </x:c>
      <x:c r="J111" s="16" t="str"/>
    </x:row>
    <x:row r="112">
      <x:c r="A112" s="16" t="n">
        <x:v>1920</x:v>
      </x:c>
      <x:c r="B112" s="16" t="str">
        <x:v>Venustiano Carranza</x:v>
      </x:c>
      <x:c r="C112" s="20" t="n">
        <x:f>INDEX(Population!$B$2:$R$17,MATCH(B112,Population!$A$2:$A$17,0),MATCH(A112,Population!$B$1:$R$1,0))</x:f>
        <x:v>172808</x:v>
      </x:c>
      <x:c r="D112" s="18" t="n">
        <x:f>COUNTIFS('Hospital Catalog'!$E:$E,B112,'Hospital Catalog'!$F:$F,"&lt;="&amp;A112,'Hospital Catalog'!$H:$H,"Yes")</x:f>
        <x:v>0</x:v>
      </x:c>
      <x:c r="E112" s="22" t="n">
        <x:f>IFERROR(D112/C112*100000,"")</x:f>
        <x:v>0</x:v>
      </x:c>
      <x:c r="F112" s="18" t="n">
        <x:f>COUNTIFS('Hospital Catalog'!$E:$E,B112,'Hospital Catalog'!$F:$F,"&lt;="&amp;A112,'Hospital Catalog'!$H:$H,"Yes",'Hospital Catalog'!$D:$D,"*public*") + COUNTIFS('Hospital Catalog'!$E:$E,B112,'Hospital Catalog'!$F:$F,"&lt;="&amp;A112,'Hospital Catalog'!$H:$H,"Yes",'Hospital Catalog'!$D:$D,"IMSS public") + COUNTIFS('Hospital Catalog'!$E:$E,B112,'Hospital Catalog'!$F:$F,"&lt;="&amp;A112,'Hospital Catalog'!$H:$H,"Yes",'Hospital Catalog'!$D:$D,"ISSSTE public")</x:f>
        <x:v>0</x:v>
      </x:c>
      <x:c r="G112" s="22" t="n">
        <x:f>IFERROR(F112/C112*100000,"")</x:f>
        <x:v>0</x:v>
      </x:c>
      <x:c r="H112" s="18" t="n">
        <x:f>COUNTIFS('Hospital Catalog'!$E:$E,B112,'Hospital Catalog'!$F:$F,"&lt;="&amp;A112,'Hospital Catalog'!$H:$H,"Yes",'Hospital Catalog'!$K:$K,"High") + COUNTIFS('Hospital Catalog'!$E:$E,B112,'Hospital Catalog'!$F:$F,"&lt;="&amp;A112,'Hospital Catalog'!$H:$H,"Yes",'Hospital Catalog'!$K:$K,"Medium")</x:f>
        <x:v>0</x:v>
      </x:c>
      <x:c r="I112" s="22" t="n">
        <x:f>IFERROR(H112/C112*100000,"")</x:f>
        <x:v>0</x:v>
      </x:c>
      <x:c r="J112" s="16" t="str"/>
    </x:row>
    <x:row r="113">
      <x:c r="A113" s="16" t="n">
        <x:v>1920</x:v>
      </x:c>
      <x:c r="B113" s="16" t="str">
        <x:v>Xochimilco</x:v>
      </x:c>
      <x:c r="C113" s="20" t="n">
        <x:f>INDEX(Population!$B$2:$R$17,MATCH(B113,Population!$A$2:$A$17,0),MATCH(A113,Population!$B$1:$R$1,0))</x:f>
        <x:v>17622</x:v>
      </x:c>
      <x:c r="D113" s="18" t="n">
        <x:f>COUNTIFS('Hospital Catalog'!$E:$E,B113,'Hospital Catalog'!$F:$F,"&lt;="&amp;A113,'Hospital Catalog'!$H:$H,"Yes")</x:f>
        <x:v>0</x:v>
      </x:c>
      <x:c r="E113" s="22" t="n">
        <x:f>IFERROR(D113/C113*100000,"")</x:f>
        <x:v>0</x:v>
      </x:c>
      <x:c r="F113" s="18" t="n">
        <x:f>COUNTIFS('Hospital Catalog'!$E:$E,B113,'Hospital Catalog'!$F:$F,"&lt;="&amp;A113,'Hospital Catalog'!$H:$H,"Yes",'Hospital Catalog'!$D:$D,"*public*") + COUNTIFS('Hospital Catalog'!$E:$E,B113,'Hospital Catalog'!$F:$F,"&lt;="&amp;A113,'Hospital Catalog'!$H:$H,"Yes",'Hospital Catalog'!$D:$D,"IMSS public") + COUNTIFS('Hospital Catalog'!$E:$E,B113,'Hospital Catalog'!$F:$F,"&lt;="&amp;A113,'Hospital Catalog'!$H:$H,"Yes",'Hospital Catalog'!$D:$D,"ISSSTE public")</x:f>
        <x:v>0</x:v>
      </x:c>
      <x:c r="G113" s="22" t="n">
        <x:f>IFERROR(F113/C113*100000,"")</x:f>
        <x:v>0</x:v>
      </x:c>
      <x:c r="H113" s="18" t="n">
        <x:f>COUNTIFS('Hospital Catalog'!$E:$E,B113,'Hospital Catalog'!$F:$F,"&lt;="&amp;A113,'Hospital Catalog'!$H:$H,"Yes",'Hospital Catalog'!$K:$K,"High") + COUNTIFS('Hospital Catalog'!$E:$E,B113,'Hospital Catalog'!$F:$F,"&lt;="&amp;A113,'Hospital Catalog'!$H:$H,"Yes",'Hospital Catalog'!$K:$K,"Medium")</x:f>
        <x:v>0</x:v>
      </x:c>
      <x:c r="I113" s="22" t="n">
        <x:f>IFERROR(H113/C113*100000,"")</x:f>
        <x:v>0</x:v>
      </x:c>
      <x:c r="J113" s="16" t="str"/>
    </x:row>
    <x:row r="114">
      <x:c r="A114" s="16" t="n">
        <x:v>1930</x:v>
      </x:c>
      <x:c r="B114" s="16" t="str">
        <x:v>Álvaro Obregón</x:v>
      </x:c>
      <x:c r="C114" s="20" t="n">
        <x:f>INDEX(Population!$B$2:$R$17,MATCH(B114,Population!$A$2:$A$17,0),MATCH(A114,Population!$B$1:$R$1,0))</x:f>
        <x:v>36753</x:v>
      </x:c>
      <x:c r="D114" s="18" t="n">
        <x:f>COUNTIFS('Hospital Catalog'!$E:$E,B114,'Hospital Catalog'!$F:$F,"&lt;="&amp;A114,'Hospital Catalog'!$H:$H,"Yes")</x:f>
        <x:v>1</x:v>
      </x:c>
      <x:c r="E114" s="22" t="n">
        <x:f>IFERROR(D114/C114*100000,"")</x:f>
        <x:v>2.72086632383751</x:v>
      </x:c>
      <x:c r="F114" s="18" t="n">
        <x:f>COUNTIFS('Hospital Catalog'!$E:$E,B114,'Hospital Catalog'!$F:$F,"&lt;="&amp;A114,'Hospital Catalog'!$H:$H,"Yes",'Hospital Catalog'!$D:$D,"*public*") + COUNTIFS('Hospital Catalog'!$E:$E,B114,'Hospital Catalog'!$F:$F,"&lt;="&amp;A114,'Hospital Catalog'!$H:$H,"Yes",'Hospital Catalog'!$D:$D,"IMSS public") + COUNTIFS('Hospital Catalog'!$E:$E,B114,'Hospital Catalog'!$F:$F,"&lt;="&amp;A114,'Hospital Catalog'!$H:$H,"Yes",'Hospital Catalog'!$D:$D,"ISSSTE public")</x:f>
        <x:v>0</x:v>
      </x:c>
      <x:c r="G114" s="22" t="n">
        <x:f>IFERROR(F114/C114*100000,"")</x:f>
        <x:v>0</x:v>
      </x:c>
      <x:c r="H114" s="18" t="n">
        <x:f>COUNTIFS('Hospital Catalog'!$E:$E,B114,'Hospital Catalog'!$F:$F,"&lt;="&amp;A114,'Hospital Catalog'!$H:$H,"Yes",'Hospital Catalog'!$K:$K,"High") + COUNTIFS('Hospital Catalog'!$E:$E,B114,'Hospital Catalog'!$F:$F,"&lt;="&amp;A114,'Hospital Catalog'!$H:$H,"Yes",'Hospital Catalog'!$K:$K,"Medium")</x:f>
        <x:v>1</x:v>
      </x:c>
      <x:c r="I114" s="22" t="n">
        <x:f>IFERROR(H114/C114*100000,"")</x:f>
        <x:v>2.72086632383751</x:v>
      </x:c>
      <x:c r="J114" s="16" t="str"/>
    </x:row>
    <x:row r="115">
      <x:c r="A115" s="16" t="n">
        <x:v>1930</x:v>
      </x:c>
      <x:c r="B115" s="16" t="str">
        <x:v>Azcapotzalco</x:v>
      </x:c>
      <x:c r="C115" s="20" t="n">
        <x:f>INDEX(Population!$B$2:$R$17,MATCH(B115,Population!$A$2:$A$17,0),MATCH(A115,Population!$B$1:$R$1,0))</x:f>
        <x:v>70615</x:v>
      </x:c>
      <x:c r="D115" s="18" t="n">
        <x:f>COUNTIFS('Hospital Catalog'!$E:$E,B115,'Hospital Catalog'!$F:$F,"&lt;="&amp;A115,'Hospital Catalog'!$H:$H,"Yes")</x:f>
        <x:v>0</x:v>
      </x:c>
      <x:c r="E115" s="22" t="n">
        <x:f>IFERROR(D115/C115*100000,"")</x:f>
        <x:v>0</x:v>
      </x:c>
      <x:c r="F115" s="18" t="n">
        <x:f>COUNTIFS('Hospital Catalog'!$E:$E,B115,'Hospital Catalog'!$F:$F,"&lt;="&amp;A115,'Hospital Catalog'!$H:$H,"Yes",'Hospital Catalog'!$D:$D,"*public*") + COUNTIFS('Hospital Catalog'!$E:$E,B115,'Hospital Catalog'!$F:$F,"&lt;="&amp;A115,'Hospital Catalog'!$H:$H,"Yes",'Hospital Catalog'!$D:$D,"IMSS public") + COUNTIFS('Hospital Catalog'!$E:$E,B115,'Hospital Catalog'!$F:$F,"&lt;="&amp;A115,'Hospital Catalog'!$H:$H,"Yes",'Hospital Catalog'!$D:$D,"ISSSTE public")</x:f>
        <x:v>0</x:v>
      </x:c>
      <x:c r="G115" s="22" t="n">
        <x:f>IFERROR(F115/C115*100000,"")</x:f>
        <x:v>0</x:v>
      </x:c>
      <x:c r="H115" s="18" t="n">
        <x:f>COUNTIFS('Hospital Catalog'!$E:$E,B115,'Hospital Catalog'!$F:$F,"&lt;="&amp;A115,'Hospital Catalog'!$H:$H,"Yes",'Hospital Catalog'!$K:$K,"High") + COUNTIFS('Hospital Catalog'!$E:$E,B115,'Hospital Catalog'!$F:$F,"&lt;="&amp;A115,'Hospital Catalog'!$H:$H,"Yes",'Hospital Catalog'!$K:$K,"Medium")</x:f>
        <x:v>0</x:v>
      </x:c>
      <x:c r="I115" s="22" t="n">
        <x:f>IFERROR(H115/C115*100000,"")</x:f>
        <x:v>0</x:v>
      </x:c>
      <x:c r="J115" s="16" t="str"/>
    </x:row>
    <x:row r="116">
      <x:c r="A116" s="16" t="n">
        <x:v>1930</x:v>
      </x:c>
      <x:c r="B116" s="16" t="str">
        <x:v>Benito Juárez</x:v>
      </x:c>
      <x:c r="C116" s="20" t="n">
        <x:f>INDEX(Population!$B$2:$R$17,MATCH(B116,Population!$A$2:$A$17,0),MATCH(A116,Population!$B$1:$R$1,0))</x:f>
        <x:v>187569</x:v>
      </x:c>
      <x:c r="D116" s="18" t="n">
        <x:f>COUNTIFS('Hospital Catalog'!$E:$E,B116,'Hospital Catalog'!$F:$F,"&lt;="&amp;A116,'Hospital Catalog'!$H:$H,"Yes")</x:f>
        <x:v>0</x:v>
      </x:c>
      <x:c r="E116" s="22" t="n">
        <x:f>IFERROR(D116/C116*100000,"")</x:f>
        <x:v>0</x:v>
      </x:c>
      <x:c r="F116" s="18" t="n">
        <x:f>COUNTIFS('Hospital Catalog'!$E:$E,B116,'Hospital Catalog'!$F:$F,"&lt;="&amp;A116,'Hospital Catalog'!$H:$H,"Yes",'Hospital Catalog'!$D:$D,"*public*") + COUNTIFS('Hospital Catalog'!$E:$E,B116,'Hospital Catalog'!$F:$F,"&lt;="&amp;A116,'Hospital Catalog'!$H:$H,"Yes",'Hospital Catalog'!$D:$D,"IMSS public") + COUNTIFS('Hospital Catalog'!$E:$E,B116,'Hospital Catalog'!$F:$F,"&lt;="&amp;A116,'Hospital Catalog'!$H:$H,"Yes",'Hospital Catalog'!$D:$D,"ISSSTE public")</x:f>
        <x:v>0</x:v>
      </x:c>
      <x:c r="G116" s="22" t="n">
        <x:f>IFERROR(F116/C116*100000,"")</x:f>
        <x:v>0</x:v>
      </x:c>
      <x:c r="H116" s="18" t="n">
        <x:f>COUNTIFS('Hospital Catalog'!$E:$E,B116,'Hospital Catalog'!$F:$F,"&lt;="&amp;A116,'Hospital Catalog'!$H:$H,"Yes",'Hospital Catalog'!$K:$K,"High") + COUNTIFS('Hospital Catalog'!$E:$E,B116,'Hospital Catalog'!$F:$F,"&lt;="&amp;A116,'Hospital Catalog'!$H:$H,"Yes",'Hospital Catalog'!$K:$K,"Medium")</x:f>
        <x:v>0</x:v>
      </x:c>
      <x:c r="I116" s="22" t="n">
        <x:f>IFERROR(H116/C116*100000,"")</x:f>
        <x:v>0</x:v>
      </x:c>
      <x:c r="J116" s="16" t="str"/>
    </x:row>
    <x:row r="117">
      <x:c r="A117" s="16" t="n">
        <x:v>1930</x:v>
      </x:c>
      <x:c r="B117" s="16" t="str">
        <x:v>Coyoacán</x:v>
      </x:c>
      <x:c r="C117" s="20" t="n">
        <x:f>INDEX(Population!$B$2:$R$17,MATCH(B117,Population!$A$2:$A$17,0),MATCH(A117,Population!$B$1:$R$1,0))</x:f>
        <x:v>27609</x:v>
      </x:c>
      <x:c r="D117" s="18" t="n">
        <x:f>COUNTIFS('Hospital Catalog'!$E:$E,B117,'Hospital Catalog'!$F:$F,"&lt;="&amp;A117,'Hospital Catalog'!$H:$H,"Yes")</x:f>
        <x:v>0</x:v>
      </x:c>
      <x:c r="E117" s="22" t="n">
        <x:f>IFERROR(D117/C117*100000,"")</x:f>
        <x:v>0</x:v>
      </x:c>
      <x:c r="F117" s="18" t="n">
        <x:f>COUNTIFS('Hospital Catalog'!$E:$E,B117,'Hospital Catalog'!$F:$F,"&lt;="&amp;A117,'Hospital Catalog'!$H:$H,"Yes",'Hospital Catalog'!$D:$D,"*public*") + COUNTIFS('Hospital Catalog'!$E:$E,B117,'Hospital Catalog'!$F:$F,"&lt;="&amp;A117,'Hospital Catalog'!$H:$H,"Yes",'Hospital Catalog'!$D:$D,"IMSS public") + COUNTIFS('Hospital Catalog'!$E:$E,B117,'Hospital Catalog'!$F:$F,"&lt;="&amp;A117,'Hospital Catalog'!$H:$H,"Yes",'Hospital Catalog'!$D:$D,"ISSSTE public")</x:f>
        <x:v>0</x:v>
      </x:c>
      <x:c r="G117" s="22" t="n">
        <x:f>IFERROR(F117/C117*100000,"")</x:f>
        <x:v>0</x:v>
      </x:c>
      <x:c r="H117" s="18" t="n">
        <x:f>COUNTIFS('Hospital Catalog'!$E:$E,B117,'Hospital Catalog'!$F:$F,"&lt;="&amp;A117,'Hospital Catalog'!$H:$H,"Yes",'Hospital Catalog'!$K:$K,"High") + COUNTIFS('Hospital Catalog'!$E:$E,B117,'Hospital Catalog'!$F:$F,"&lt;="&amp;A117,'Hospital Catalog'!$H:$H,"Yes",'Hospital Catalog'!$K:$K,"Medium")</x:f>
        <x:v>0</x:v>
      </x:c>
      <x:c r="I117" s="22" t="n">
        <x:f>IFERROR(H117/C117*100000,"")</x:f>
        <x:v>0</x:v>
      </x:c>
      <x:c r="J117" s="16" t="str"/>
    </x:row>
    <x:row r="118">
      <x:c r="A118" s="16" t="n">
        <x:v>1930</x:v>
      </x:c>
      <x:c r="B118" s="16" t="str">
        <x:v>Cuajimalpa de Morelos</x:v>
      </x:c>
      <x:c r="C118" s="20" t="n">
        <x:f>INDEX(Population!$B$2:$R$17,MATCH(B118,Population!$A$2:$A$17,0),MATCH(A118,Population!$B$1:$R$1,0))</x:f>
        <x:v>4809</x:v>
      </x:c>
      <x:c r="D118" s="18" t="n">
        <x:f>COUNTIFS('Hospital Catalog'!$E:$E,B118,'Hospital Catalog'!$F:$F,"&lt;="&amp;A118,'Hospital Catalog'!$H:$H,"Yes")</x:f>
        <x:v>0</x:v>
      </x:c>
      <x:c r="E118" s="22" t="n">
        <x:f>IFERROR(D118/C118*100000,"")</x:f>
        <x:v>0</x:v>
      </x:c>
      <x:c r="F118" s="18" t="n">
        <x:f>COUNTIFS('Hospital Catalog'!$E:$E,B118,'Hospital Catalog'!$F:$F,"&lt;="&amp;A118,'Hospital Catalog'!$H:$H,"Yes",'Hospital Catalog'!$D:$D,"*public*") + COUNTIFS('Hospital Catalog'!$E:$E,B118,'Hospital Catalog'!$F:$F,"&lt;="&amp;A118,'Hospital Catalog'!$H:$H,"Yes",'Hospital Catalog'!$D:$D,"IMSS public") + COUNTIFS('Hospital Catalog'!$E:$E,B118,'Hospital Catalog'!$F:$F,"&lt;="&amp;A118,'Hospital Catalog'!$H:$H,"Yes",'Hospital Catalog'!$D:$D,"ISSSTE public")</x:f>
        <x:v>0</x:v>
      </x:c>
      <x:c r="G118" s="22" t="n">
        <x:f>IFERROR(F118/C118*100000,"")</x:f>
        <x:v>0</x:v>
      </x:c>
      <x:c r="H118" s="18" t="n">
        <x:f>COUNTIFS('Hospital Catalog'!$E:$E,B118,'Hospital Catalog'!$F:$F,"&lt;="&amp;A118,'Hospital Catalog'!$H:$H,"Yes",'Hospital Catalog'!$K:$K,"High") + COUNTIFS('Hospital Catalog'!$E:$E,B118,'Hospital Catalog'!$F:$F,"&lt;="&amp;A118,'Hospital Catalog'!$H:$H,"Yes",'Hospital Catalog'!$K:$K,"Medium")</x:f>
        <x:v>0</x:v>
      </x:c>
      <x:c r="I118" s="22" t="n">
        <x:f>IFERROR(H118/C118*100000,"")</x:f>
        <x:v>0</x:v>
      </x:c>
      <x:c r="J118" s="16" t="str"/>
    </x:row>
    <x:row r="119">
      <x:c r="A119" s="16" t="n">
        <x:v>1930</x:v>
      </x:c>
      <x:c r="B119" s="16" t="str">
        <x:v>Cuauhtémoc</x:v>
      </x:c>
      <x:c r="C119" s="20" t="n">
        <x:f>INDEX(Population!$B$2:$R$17,MATCH(B119,Population!$A$2:$A$17,0),MATCH(A119,Population!$B$1:$R$1,0))</x:f>
        <x:v>295164</x:v>
      </x:c>
      <x:c r="D119" s="18" t="n">
        <x:f>COUNTIFS('Hospital Catalog'!$E:$E,B119,'Hospital Catalog'!$F:$F,"&lt;="&amp;A119,'Hospital Catalog'!$H:$H,"Yes")</x:f>
        <x:v>2</x:v>
      </x:c>
      <x:c r="E119" s="22" t="n">
        <x:f>IFERROR(D119/C119*100000,"")</x:f>
        <x:v>0.6775894079223754</x:v>
      </x:c>
      <x:c r="F119" s="18" t="n">
        <x:f>COUNTIFS('Hospital Catalog'!$E:$E,B119,'Hospital Catalog'!$F:$F,"&lt;="&amp;A119,'Hospital Catalog'!$H:$H,"Yes",'Hospital Catalog'!$D:$D,"*public*") + COUNTIFS('Hospital Catalog'!$E:$E,B119,'Hospital Catalog'!$F:$F,"&lt;="&amp;A119,'Hospital Catalog'!$H:$H,"Yes",'Hospital Catalog'!$D:$D,"IMSS public") + COUNTIFS('Hospital Catalog'!$E:$E,B119,'Hospital Catalog'!$F:$F,"&lt;="&amp;A119,'Hospital Catalog'!$H:$H,"Yes",'Hospital Catalog'!$D:$D,"ISSSTE public")</x:f>
        <x:v>0</x:v>
      </x:c>
      <x:c r="G119" s="22" t="n">
        <x:f>IFERROR(F119/C119*100000,"")</x:f>
        <x:v>0</x:v>
      </x:c>
      <x:c r="H119" s="18" t="n">
        <x:f>COUNTIFS('Hospital Catalog'!$E:$E,B119,'Hospital Catalog'!$F:$F,"&lt;="&amp;A119,'Hospital Catalog'!$H:$H,"Yes",'Hospital Catalog'!$K:$K,"High") + COUNTIFS('Hospital Catalog'!$E:$E,B119,'Hospital Catalog'!$F:$F,"&lt;="&amp;A119,'Hospital Catalog'!$H:$H,"Yes",'Hospital Catalog'!$K:$K,"Medium")</x:f>
        <x:v>2</x:v>
      </x:c>
      <x:c r="I119" s="22" t="n">
        <x:f>IFERROR(H119/C119*100000,"")</x:f>
        <x:v>0.6775894079223754</x:v>
      </x:c>
      <x:c r="J119" s="16" t="str"/>
    </x:row>
    <x:row r="120">
      <x:c r="A120" s="16" t="n">
        <x:v>1930</x:v>
      </x:c>
      <x:c r="B120" s="16" t="str">
        <x:v>Gustavo A. Madero</x:v>
      </x:c>
      <x:c r="C120" s="20" t="n">
        <x:f>INDEX(Population!$B$2:$R$17,MATCH(B120,Population!$A$2:$A$17,0),MATCH(A120,Population!$B$1:$R$1,0))</x:f>
        <x:v>76467</x:v>
      </x:c>
      <x:c r="D120" s="18" t="n">
        <x:f>COUNTIFS('Hospital Catalog'!$E:$E,B120,'Hospital Catalog'!$F:$F,"&lt;="&amp;A120,'Hospital Catalog'!$H:$H,"Yes")</x:f>
        <x:v>0</x:v>
      </x:c>
      <x:c r="E120" s="22" t="n">
        <x:f>IFERROR(D120/C120*100000,"")</x:f>
        <x:v>0</x:v>
      </x:c>
      <x:c r="F120" s="18" t="n">
        <x:f>COUNTIFS('Hospital Catalog'!$E:$E,B120,'Hospital Catalog'!$F:$F,"&lt;="&amp;A120,'Hospital Catalog'!$H:$H,"Yes",'Hospital Catalog'!$D:$D,"*public*") + COUNTIFS('Hospital Catalog'!$E:$E,B120,'Hospital Catalog'!$F:$F,"&lt;="&amp;A120,'Hospital Catalog'!$H:$H,"Yes",'Hospital Catalog'!$D:$D,"IMSS public") + COUNTIFS('Hospital Catalog'!$E:$E,B120,'Hospital Catalog'!$F:$F,"&lt;="&amp;A120,'Hospital Catalog'!$H:$H,"Yes",'Hospital Catalog'!$D:$D,"ISSSTE public")</x:f>
        <x:v>0</x:v>
      </x:c>
      <x:c r="G120" s="22" t="n">
        <x:f>IFERROR(F120/C120*100000,"")</x:f>
        <x:v>0</x:v>
      </x:c>
      <x:c r="H120" s="18" t="n">
        <x:f>COUNTIFS('Hospital Catalog'!$E:$E,B120,'Hospital Catalog'!$F:$F,"&lt;="&amp;A120,'Hospital Catalog'!$H:$H,"Yes",'Hospital Catalog'!$K:$K,"High") + COUNTIFS('Hospital Catalog'!$E:$E,B120,'Hospital Catalog'!$F:$F,"&lt;="&amp;A120,'Hospital Catalog'!$H:$H,"Yes",'Hospital Catalog'!$K:$K,"Medium")</x:f>
        <x:v>0</x:v>
      </x:c>
      <x:c r="I120" s="22" t="n">
        <x:f>IFERROR(H120/C120*100000,"")</x:f>
        <x:v>0</x:v>
      </x:c>
      <x:c r="J120" s="16" t="str"/>
    </x:row>
    <x:row r="121">
      <x:c r="A121" s="16" t="n">
        <x:v>1930</x:v>
      </x:c>
      <x:c r="B121" s="16" t="str">
        <x:v>Iztacalco</x:v>
      </x:c>
      <x:c r="C121" s="20" t="n">
        <x:f>INDEX(Population!$B$2:$R$17,MATCH(B121,Population!$A$2:$A$17,0),MATCH(A121,Population!$B$1:$R$1,0))</x:f>
        <x:v>13423</x:v>
      </x:c>
      <x:c r="D121" s="18" t="n">
        <x:f>COUNTIFS('Hospital Catalog'!$E:$E,B121,'Hospital Catalog'!$F:$F,"&lt;="&amp;A121,'Hospital Catalog'!$H:$H,"Yes")</x:f>
        <x:v>0</x:v>
      </x:c>
      <x:c r="E121" s="22" t="n">
        <x:f>IFERROR(D121/C121*100000,"")</x:f>
        <x:v>0</x:v>
      </x:c>
      <x:c r="F121" s="18" t="n">
        <x:f>COUNTIFS('Hospital Catalog'!$E:$E,B121,'Hospital Catalog'!$F:$F,"&lt;="&amp;A121,'Hospital Catalog'!$H:$H,"Yes",'Hospital Catalog'!$D:$D,"*public*") + COUNTIFS('Hospital Catalog'!$E:$E,B121,'Hospital Catalog'!$F:$F,"&lt;="&amp;A121,'Hospital Catalog'!$H:$H,"Yes",'Hospital Catalog'!$D:$D,"IMSS public") + COUNTIFS('Hospital Catalog'!$E:$E,B121,'Hospital Catalog'!$F:$F,"&lt;="&amp;A121,'Hospital Catalog'!$H:$H,"Yes",'Hospital Catalog'!$D:$D,"ISSSTE public")</x:f>
        <x:v>0</x:v>
      </x:c>
      <x:c r="G121" s="22" t="n">
        <x:f>IFERROR(F121/C121*100000,"")</x:f>
        <x:v>0</x:v>
      </x:c>
      <x:c r="H121" s="18" t="n">
        <x:f>COUNTIFS('Hospital Catalog'!$E:$E,B121,'Hospital Catalog'!$F:$F,"&lt;="&amp;A121,'Hospital Catalog'!$H:$H,"Yes",'Hospital Catalog'!$K:$K,"High") + COUNTIFS('Hospital Catalog'!$E:$E,B121,'Hospital Catalog'!$F:$F,"&lt;="&amp;A121,'Hospital Catalog'!$H:$H,"Yes",'Hospital Catalog'!$K:$K,"Medium")</x:f>
        <x:v>0</x:v>
      </x:c>
      <x:c r="I121" s="22" t="n">
        <x:f>IFERROR(H121/C121*100000,"")</x:f>
        <x:v>0</x:v>
      </x:c>
      <x:c r="J121" s="16" t="str"/>
    </x:row>
    <x:row r="122">
      <x:c r="A122" s="16" t="n">
        <x:v>1930</x:v>
      </x:c>
      <x:c r="B122" s="16" t="str">
        <x:v>Iztapalapa</x:v>
      </x:c>
      <x:c r="C122" s="20" t="n">
        <x:f>INDEX(Population!$B$2:$R$17,MATCH(B122,Population!$A$2:$A$17,0),MATCH(A122,Population!$B$1:$R$1,0))</x:f>
        <x:v>30787</x:v>
      </x:c>
      <x:c r="D122" s="18" t="n">
        <x:f>COUNTIFS('Hospital Catalog'!$E:$E,B122,'Hospital Catalog'!$F:$F,"&lt;="&amp;A122,'Hospital Catalog'!$H:$H,"Yes")</x:f>
        <x:v>0</x:v>
      </x:c>
      <x:c r="E122" s="22" t="n">
        <x:f>IFERROR(D122/C122*100000,"")</x:f>
        <x:v>0</x:v>
      </x:c>
      <x:c r="F122" s="18" t="n">
        <x:f>COUNTIFS('Hospital Catalog'!$E:$E,B122,'Hospital Catalog'!$F:$F,"&lt;="&amp;A122,'Hospital Catalog'!$H:$H,"Yes",'Hospital Catalog'!$D:$D,"*public*") + COUNTIFS('Hospital Catalog'!$E:$E,B122,'Hospital Catalog'!$F:$F,"&lt;="&amp;A122,'Hospital Catalog'!$H:$H,"Yes",'Hospital Catalog'!$D:$D,"IMSS public") + COUNTIFS('Hospital Catalog'!$E:$E,B122,'Hospital Catalog'!$F:$F,"&lt;="&amp;A122,'Hospital Catalog'!$H:$H,"Yes",'Hospital Catalog'!$D:$D,"ISSSTE public")</x:f>
        <x:v>0</x:v>
      </x:c>
      <x:c r="G122" s="22" t="n">
        <x:f>IFERROR(F122/C122*100000,"")</x:f>
        <x:v>0</x:v>
      </x:c>
      <x:c r="H122" s="18" t="n">
        <x:f>COUNTIFS('Hospital Catalog'!$E:$E,B122,'Hospital Catalog'!$F:$F,"&lt;="&amp;A122,'Hospital Catalog'!$H:$H,"Yes",'Hospital Catalog'!$K:$K,"High") + COUNTIFS('Hospital Catalog'!$E:$E,B122,'Hospital Catalog'!$F:$F,"&lt;="&amp;A122,'Hospital Catalog'!$H:$H,"Yes",'Hospital Catalog'!$K:$K,"Medium")</x:f>
        <x:v>0</x:v>
      </x:c>
      <x:c r="I122" s="22" t="n">
        <x:f>IFERROR(H122/C122*100000,"")</x:f>
        <x:v>0</x:v>
      </x:c>
      <x:c r="J122" s="16" t="str"/>
    </x:row>
    <x:row r="123">
      <x:c r="A123" s="16" t="n">
        <x:v>1930</x:v>
      </x:c>
      <x:c r="B123" s="16" t="str">
        <x:v>La Magdalena Contreras</x:v>
      </x:c>
      <x:c r="C123" s="20" t="n">
        <x:f>INDEX(Population!$B$2:$R$17,MATCH(B123,Population!$A$2:$A$17,0),MATCH(A123,Population!$B$1:$R$1,0))</x:f>
        <x:v>8838</x:v>
      </x:c>
      <x:c r="D123" s="18" t="n">
        <x:f>COUNTIFS('Hospital Catalog'!$E:$E,B123,'Hospital Catalog'!$F:$F,"&lt;="&amp;A123,'Hospital Catalog'!$H:$H,"Yes")</x:f>
        <x:v>0</x:v>
      </x:c>
      <x:c r="E123" s="22" t="n">
        <x:f>IFERROR(D123/C123*100000,"")</x:f>
        <x:v>0</x:v>
      </x:c>
      <x:c r="F123" s="18" t="n">
        <x:f>COUNTIFS('Hospital Catalog'!$E:$E,B123,'Hospital Catalog'!$F:$F,"&lt;="&amp;A123,'Hospital Catalog'!$H:$H,"Yes",'Hospital Catalog'!$D:$D,"*public*") + COUNTIFS('Hospital Catalog'!$E:$E,B123,'Hospital Catalog'!$F:$F,"&lt;="&amp;A123,'Hospital Catalog'!$H:$H,"Yes",'Hospital Catalog'!$D:$D,"IMSS public") + COUNTIFS('Hospital Catalog'!$E:$E,B123,'Hospital Catalog'!$F:$F,"&lt;="&amp;A123,'Hospital Catalog'!$H:$H,"Yes",'Hospital Catalog'!$D:$D,"ISSSTE public")</x:f>
        <x:v>0</x:v>
      </x:c>
      <x:c r="G123" s="22" t="n">
        <x:f>IFERROR(F123/C123*100000,"")</x:f>
        <x:v>0</x:v>
      </x:c>
      <x:c r="H123" s="18" t="n">
        <x:f>COUNTIFS('Hospital Catalog'!$E:$E,B123,'Hospital Catalog'!$F:$F,"&lt;="&amp;A123,'Hospital Catalog'!$H:$H,"Yes",'Hospital Catalog'!$K:$K,"High") + COUNTIFS('Hospital Catalog'!$E:$E,B123,'Hospital Catalog'!$F:$F,"&lt;="&amp;A123,'Hospital Catalog'!$H:$H,"Yes",'Hospital Catalog'!$K:$K,"Medium")</x:f>
        <x:v>0</x:v>
      </x:c>
      <x:c r="I123" s="22" t="n">
        <x:f>IFERROR(H123/C123*100000,"")</x:f>
        <x:v>0</x:v>
      </x:c>
      <x:c r="J123" s="16" t="str"/>
    </x:row>
    <x:row r="124">
      <x:c r="A124" s="16" t="n">
        <x:v>1930</x:v>
      </x:c>
      <x:c r="B124" s="16" t="str">
        <x:v>Miguel Hidalgo</x:v>
      </x:c>
      <x:c r="C124" s="20" t="n">
        <x:f>INDEX(Population!$B$2:$R$17,MATCH(B124,Population!$A$2:$A$17,0),MATCH(A124,Population!$B$1:$R$1,0))</x:f>
        <x:v>188326</x:v>
      </x:c>
      <x:c r="D124" s="18" t="n">
        <x:f>COUNTIFS('Hospital Catalog'!$E:$E,B124,'Hospital Catalog'!$F:$F,"&lt;="&amp;A124,'Hospital Catalog'!$H:$H,"Yes")</x:f>
        <x:v>1</x:v>
      </x:c>
      <x:c r="E124" s="22" t="n">
        <x:f>IFERROR(D124/C124*100000,"")</x:f>
        <x:v>0.5309941272049532</x:v>
      </x:c>
      <x:c r="F124" s="18" t="n">
        <x:f>COUNTIFS('Hospital Catalog'!$E:$E,B124,'Hospital Catalog'!$F:$F,"&lt;="&amp;A124,'Hospital Catalog'!$H:$H,"Yes",'Hospital Catalog'!$D:$D,"*public*") + COUNTIFS('Hospital Catalog'!$E:$E,B124,'Hospital Catalog'!$F:$F,"&lt;="&amp;A124,'Hospital Catalog'!$H:$H,"Yes",'Hospital Catalog'!$D:$D,"IMSS public") + COUNTIFS('Hospital Catalog'!$E:$E,B124,'Hospital Catalog'!$F:$F,"&lt;="&amp;A124,'Hospital Catalog'!$H:$H,"Yes",'Hospital Catalog'!$D:$D,"ISSSTE public")</x:f>
        <x:v>0</x:v>
      </x:c>
      <x:c r="G124" s="22" t="n">
        <x:f>IFERROR(F124/C124*100000,"")</x:f>
        <x:v>0</x:v>
      </x:c>
      <x:c r="H124" s="18" t="n">
        <x:f>COUNTIFS('Hospital Catalog'!$E:$E,B124,'Hospital Catalog'!$F:$F,"&lt;="&amp;A124,'Hospital Catalog'!$H:$H,"Yes",'Hospital Catalog'!$K:$K,"High") + COUNTIFS('Hospital Catalog'!$E:$E,B124,'Hospital Catalog'!$F:$F,"&lt;="&amp;A124,'Hospital Catalog'!$H:$H,"Yes",'Hospital Catalog'!$K:$K,"Medium")</x:f>
        <x:v>1</x:v>
      </x:c>
      <x:c r="I124" s="22" t="n">
        <x:f>IFERROR(H124/C124*100000,"")</x:f>
        <x:v>0.5309941272049532</x:v>
      </x:c>
      <x:c r="J124" s="16" t="str"/>
    </x:row>
    <x:row r="125">
      <x:c r="A125" s="16" t="n">
        <x:v>1930</x:v>
      </x:c>
      <x:c r="B125" s="16" t="str">
        <x:v>Milpa Alta</x:v>
      </x:c>
      <x:c r="C125" s="20" t="n">
        <x:f>INDEX(Population!$B$2:$R$17,MATCH(B125,Population!$A$2:$A$17,0),MATCH(A125,Population!$B$1:$R$1,0))</x:f>
        <x:v>8942</x:v>
      </x:c>
      <x:c r="D125" s="18" t="n">
        <x:f>COUNTIFS('Hospital Catalog'!$E:$E,B125,'Hospital Catalog'!$F:$F,"&lt;="&amp;A125,'Hospital Catalog'!$H:$H,"Yes")</x:f>
        <x:v>0</x:v>
      </x:c>
      <x:c r="E125" s="22" t="n">
        <x:f>IFERROR(D125/C125*100000,"")</x:f>
        <x:v>0</x:v>
      </x:c>
      <x:c r="F125" s="18" t="n">
        <x:f>COUNTIFS('Hospital Catalog'!$E:$E,B125,'Hospital Catalog'!$F:$F,"&lt;="&amp;A125,'Hospital Catalog'!$H:$H,"Yes",'Hospital Catalog'!$D:$D,"*public*") + COUNTIFS('Hospital Catalog'!$E:$E,B125,'Hospital Catalog'!$F:$F,"&lt;="&amp;A125,'Hospital Catalog'!$H:$H,"Yes",'Hospital Catalog'!$D:$D,"IMSS public") + COUNTIFS('Hospital Catalog'!$E:$E,B125,'Hospital Catalog'!$F:$F,"&lt;="&amp;A125,'Hospital Catalog'!$H:$H,"Yes",'Hospital Catalog'!$D:$D,"ISSSTE public")</x:f>
        <x:v>0</x:v>
      </x:c>
      <x:c r="G125" s="22" t="n">
        <x:f>IFERROR(F125/C125*100000,"")</x:f>
        <x:v>0</x:v>
      </x:c>
      <x:c r="H125" s="18" t="n">
        <x:f>COUNTIFS('Hospital Catalog'!$E:$E,B125,'Hospital Catalog'!$F:$F,"&lt;="&amp;A125,'Hospital Catalog'!$H:$H,"Yes",'Hospital Catalog'!$K:$K,"High") + COUNTIFS('Hospital Catalog'!$E:$E,B125,'Hospital Catalog'!$F:$F,"&lt;="&amp;A125,'Hospital Catalog'!$H:$H,"Yes",'Hospital Catalog'!$K:$K,"Medium")</x:f>
        <x:v>0</x:v>
      </x:c>
      <x:c r="I125" s="22" t="n">
        <x:f>IFERROR(H125/C125*100000,"")</x:f>
        <x:v>0</x:v>
      </x:c>
      <x:c r="J125" s="16" t="str"/>
    </x:row>
    <x:row r="126">
      <x:c r="A126" s="16" t="n">
        <x:v>1930</x:v>
      </x:c>
      <x:c r="B126" s="16" t="str">
        <x:v>Tláhuac</x:v>
      </x:c>
      <x:c r="C126" s="20" t="n">
        <x:f>INDEX(Population!$B$2:$R$17,MATCH(B126,Population!$A$2:$A$17,0),MATCH(A126,Population!$B$1:$R$1,0))</x:f>
        <x:v>7957</x:v>
      </x:c>
      <x:c r="D126" s="18" t="n">
        <x:f>COUNTIFS('Hospital Catalog'!$E:$E,B126,'Hospital Catalog'!$F:$F,"&lt;="&amp;A126,'Hospital Catalog'!$H:$H,"Yes")</x:f>
        <x:v>0</x:v>
      </x:c>
      <x:c r="E126" s="22" t="n">
        <x:f>IFERROR(D126/C126*100000,"")</x:f>
        <x:v>0</x:v>
      </x:c>
      <x:c r="F126" s="18" t="n">
        <x:f>COUNTIFS('Hospital Catalog'!$E:$E,B126,'Hospital Catalog'!$F:$F,"&lt;="&amp;A126,'Hospital Catalog'!$H:$H,"Yes",'Hospital Catalog'!$D:$D,"*public*") + COUNTIFS('Hospital Catalog'!$E:$E,B126,'Hospital Catalog'!$F:$F,"&lt;="&amp;A126,'Hospital Catalog'!$H:$H,"Yes",'Hospital Catalog'!$D:$D,"IMSS public") + COUNTIFS('Hospital Catalog'!$E:$E,B126,'Hospital Catalog'!$F:$F,"&lt;="&amp;A126,'Hospital Catalog'!$H:$H,"Yes",'Hospital Catalog'!$D:$D,"ISSSTE public")</x:f>
        <x:v>0</x:v>
      </x:c>
      <x:c r="G126" s="22" t="n">
        <x:f>IFERROR(F126/C126*100000,"")</x:f>
        <x:v>0</x:v>
      </x:c>
      <x:c r="H126" s="18" t="n">
        <x:f>COUNTIFS('Hospital Catalog'!$E:$E,B126,'Hospital Catalog'!$F:$F,"&lt;="&amp;A126,'Hospital Catalog'!$H:$H,"Yes",'Hospital Catalog'!$K:$K,"High") + COUNTIFS('Hospital Catalog'!$E:$E,B126,'Hospital Catalog'!$F:$F,"&lt;="&amp;A126,'Hospital Catalog'!$H:$H,"Yes",'Hospital Catalog'!$K:$K,"Medium")</x:f>
        <x:v>0</x:v>
      </x:c>
      <x:c r="I126" s="22" t="n">
        <x:f>IFERROR(H126/C126*100000,"")</x:f>
        <x:v>0</x:v>
      </x:c>
      <x:c r="J126" s="16" t="str"/>
    </x:row>
    <x:row r="127">
      <x:c r="A127" s="16" t="n">
        <x:v>1930</x:v>
      </x:c>
      <x:c r="B127" s="16" t="str">
        <x:v>Tlalpan</x:v>
      </x:c>
      <x:c r="C127" s="20" t="n">
        <x:f>INDEX(Population!$B$2:$R$17,MATCH(B127,Population!$A$2:$A$17,0),MATCH(A127,Population!$B$1:$R$1,0))</x:f>
        <x:v>13395</x:v>
      </x:c>
      <x:c r="D127" s="18" t="n">
        <x:f>COUNTIFS('Hospital Catalog'!$E:$E,B127,'Hospital Catalog'!$F:$F,"&lt;="&amp;A127,'Hospital Catalog'!$H:$H,"Yes")</x:f>
        <x:v>0</x:v>
      </x:c>
      <x:c r="E127" s="22" t="n">
        <x:f>IFERROR(D127/C127*100000,"")</x:f>
        <x:v>0</x:v>
      </x:c>
      <x:c r="F127" s="18" t="n">
        <x:f>COUNTIFS('Hospital Catalog'!$E:$E,B127,'Hospital Catalog'!$F:$F,"&lt;="&amp;A127,'Hospital Catalog'!$H:$H,"Yes",'Hospital Catalog'!$D:$D,"*public*") + COUNTIFS('Hospital Catalog'!$E:$E,B127,'Hospital Catalog'!$F:$F,"&lt;="&amp;A127,'Hospital Catalog'!$H:$H,"Yes",'Hospital Catalog'!$D:$D,"IMSS public") + COUNTIFS('Hospital Catalog'!$E:$E,B127,'Hospital Catalog'!$F:$F,"&lt;="&amp;A127,'Hospital Catalog'!$H:$H,"Yes",'Hospital Catalog'!$D:$D,"ISSSTE public")</x:f>
        <x:v>0</x:v>
      </x:c>
      <x:c r="G127" s="22" t="n">
        <x:f>IFERROR(F127/C127*100000,"")</x:f>
        <x:v>0</x:v>
      </x:c>
      <x:c r="H127" s="18" t="n">
        <x:f>COUNTIFS('Hospital Catalog'!$E:$E,B127,'Hospital Catalog'!$F:$F,"&lt;="&amp;A127,'Hospital Catalog'!$H:$H,"Yes",'Hospital Catalog'!$K:$K,"High") + COUNTIFS('Hospital Catalog'!$E:$E,B127,'Hospital Catalog'!$F:$F,"&lt;="&amp;A127,'Hospital Catalog'!$H:$H,"Yes",'Hospital Catalog'!$K:$K,"Medium")</x:f>
        <x:v>0</x:v>
      </x:c>
      <x:c r="I127" s="22" t="n">
        <x:f>IFERROR(H127/C127*100000,"")</x:f>
        <x:v>0</x:v>
      </x:c>
      <x:c r="J127" s="16" t="str"/>
    </x:row>
    <x:row r="128">
      <x:c r="A128" s="16" t="n">
        <x:v>1930</x:v>
      </x:c>
      <x:c r="B128" s="16" t="str">
        <x:v>Venustiano Carranza</x:v>
      </x:c>
      <x:c r="C128" s="20" t="n">
        <x:f>INDEX(Population!$B$2:$R$17,MATCH(B128,Population!$A$2:$A$17,0),MATCH(A128,Population!$B$1:$R$1,0))</x:f>
        <x:v>237460</x:v>
      </x:c>
      <x:c r="D128" s="18" t="n">
        <x:f>COUNTIFS('Hospital Catalog'!$E:$E,B128,'Hospital Catalog'!$F:$F,"&lt;="&amp;A128,'Hospital Catalog'!$H:$H,"Yes")</x:f>
        <x:v>0</x:v>
      </x:c>
      <x:c r="E128" s="22" t="n">
        <x:f>IFERROR(D128/C128*100000,"")</x:f>
        <x:v>0</x:v>
      </x:c>
      <x:c r="F128" s="18" t="n">
        <x:f>COUNTIFS('Hospital Catalog'!$E:$E,B128,'Hospital Catalog'!$F:$F,"&lt;="&amp;A128,'Hospital Catalog'!$H:$H,"Yes",'Hospital Catalog'!$D:$D,"*public*") + COUNTIFS('Hospital Catalog'!$E:$E,B128,'Hospital Catalog'!$F:$F,"&lt;="&amp;A128,'Hospital Catalog'!$H:$H,"Yes",'Hospital Catalog'!$D:$D,"IMSS public") + COUNTIFS('Hospital Catalog'!$E:$E,B128,'Hospital Catalog'!$F:$F,"&lt;="&amp;A128,'Hospital Catalog'!$H:$H,"Yes",'Hospital Catalog'!$D:$D,"ISSSTE public")</x:f>
        <x:v>0</x:v>
      </x:c>
      <x:c r="G128" s="22" t="n">
        <x:f>IFERROR(F128/C128*100000,"")</x:f>
        <x:v>0</x:v>
      </x:c>
      <x:c r="H128" s="18" t="n">
        <x:f>COUNTIFS('Hospital Catalog'!$E:$E,B128,'Hospital Catalog'!$F:$F,"&lt;="&amp;A128,'Hospital Catalog'!$H:$H,"Yes",'Hospital Catalog'!$K:$K,"High") + COUNTIFS('Hospital Catalog'!$E:$E,B128,'Hospital Catalog'!$F:$F,"&lt;="&amp;A128,'Hospital Catalog'!$H:$H,"Yes",'Hospital Catalog'!$K:$K,"Medium")</x:f>
        <x:v>0</x:v>
      </x:c>
      <x:c r="I128" s="22" t="n">
        <x:f>IFERROR(H128/C128*100000,"")</x:f>
        <x:v>0</x:v>
      </x:c>
      <x:c r="J128" s="16" t="str"/>
    </x:row>
    <x:row r="129">
      <x:c r="A129" s="16" t="n">
        <x:v>1930</x:v>
      </x:c>
      <x:c r="B129" s="16" t="str">
        <x:v>Xochimilco</x:v>
      </x:c>
      <x:c r="C129" s="20" t="n">
        <x:f>INDEX(Population!$B$2:$R$17,MATCH(B129,Population!$A$2:$A$17,0),MATCH(A129,Population!$B$1:$R$1,0))</x:f>
        <x:v>21462</x:v>
      </x:c>
      <x:c r="D129" s="18" t="n">
        <x:f>COUNTIFS('Hospital Catalog'!$E:$E,B129,'Hospital Catalog'!$F:$F,"&lt;="&amp;A129,'Hospital Catalog'!$H:$H,"Yes")</x:f>
        <x:v>0</x:v>
      </x:c>
      <x:c r="E129" s="22" t="n">
        <x:f>IFERROR(D129/C129*100000,"")</x:f>
        <x:v>0</x:v>
      </x:c>
      <x:c r="F129" s="18" t="n">
        <x:f>COUNTIFS('Hospital Catalog'!$E:$E,B129,'Hospital Catalog'!$F:$F,"&lt;="&amp;A129,'Hospital Catalog'!$H:$H,"Yes",'Hospital Catalog'!$D:$D,"*public*") + COUNTIFS('Hospital Catalog'!$E:$E,B129,'Hospital Catalog'!$F:$F,"&lt;="&amp;A129,'Hospital Catalog'!$H:$H,"Yes",'Hospital Catalog'!$D:$D,"IMSS public") + COUNTIFS('Hospital Catalog'!$E:$E,B129,'Hospital Catalog'!$F:$F,"&lt;="&amp;A129,'Hospital Catalog'!$H:$H,"Yes",'Hospital Catalog'!$D:$D,"ISSSTE public")</x:f>
        <x:v>0</x:v>
      </x:c>
      <x:c r="G129" s="22" t="n">
        <x:f>IFERROR(F129/C129*100000,"")</x:f>
        <x:v>0</x:v>
      </x:c>
      <x:c r="H129" s="18" t="n">
        <x:f>COUNTIFS('Hospital Catalog'!$E:$E,B129,'Hospital Catalog'!$F:$F,"&lt;="&amp;A129,'Hospital Catalog'!$H:$H,"Yes",'Hospital Catalog'!$K:$K,"High") + COUNTIFS('Hospital Catalog'!$E:$E,B129,'Hospital Catalog'!$F:$F,"&lt;="&amp;A129,'Hospital Catalog'!$H:$H,"Yes",'Hospital Catalog'!$K:$K,"Medium")</x:f>
        <x:v>0</x:v>
      </x:c>
      <x:c r="I129" s="22" t="n">
        <x:f>IFERROR(H129/C129*100000,"")</x:f>
        <x:v>0</x:v>
      </x:c>
      <x:c r="J129" s="16" t="str"/>
    </x:row>
    <x:row r="130">
      <x:c r="A130" s="16" t="n">
        <x:v>1940</x:v>
      </x:c>
      <x:c r="B130" s="16" t="str">
        <x:v>Álvaro Obregón</x:v>
      </x:c>
      <x:c r="C130" s="20" t="n">
        <x:f>INDEX(Population!$B$2:$R$17,MATCH(B130,Population!$A$2:$A$17,0),MATCH(A130,Population!$B$1:$R$1,0))</x:f>
        <x:v>53222</x:v>
      </x:c>
      <x:c r="D130" s="18" t="n">
        <x:f>COUNTIFS('Hospital Catalog'!$E:$E,B130,'Hospital Catalog'!$F:$F,"&lt;="&amp;A130,'Hospital Catalog'!$H:$H,"Yes")</x:f>
        <x:v>1</x:v>
      </x:c>
      <x:c r="E130" s="22" t="n">
        <x:f>IFERROR(D130/C130*100000,"")</x:f>
        <x:v>1.8789222501972869</x:v>
      </x:c>
      <x:c r="F130" s="18" t="n">
        <x:f>COUNTIFS('Hospital Catalog'!$E:$E,B130,'Hospital Catalog'!$F:$F,"&lt;="&amp;A130,'Hospital Catalog'!$H:$H,"Yes",'Hospital Catalog'!$D:$D,"*public*") + COUNTIFS('Hospital Catalog'!$E:$E,B130,'Hospital Catalog'!$F:$F,"&lt;="&amp;A130,'Hospital Catalog'!$H:$H,"Yes",'Hospital Catalog'!$D:$D,"IMSS public") + COUNTIFS('Hospital Catalog'!$E:$E,B130,'Hospital Catalog'!$F:$F,"&lt;="&amp;A130,'Hospital Catalog'!$H:$H,"Yes",'Hospital Catalog'!$D:$D,"ISSSTE public")</x:f>
        <x:v>0</x:v>
      </x:c>
      <x:c r="G130" s="22" t="n">
        <x:f>IFERROR(F130/C130*100000,"")</x:f>
        <x:v>0</x:v>
      </x:c>
      <x:c r="H130" s="18" t="n">
        <x:f>COUNTIFS('Hospital Catalog'!$E:$E,B130,'Hospital Catalog'!$F:$F,"&lt;="&amp;A130,'Hospital Catalog'!$H:$H,"Yes",'Hospital Catalog'!$K:$K,"High") + COUNTIFS('Hospital Catalog'!$E:$E,B130,'Hospital Catalog'!$F:$F,"&lt;="&amp;A130,'Hospital Catalog'!$H:$H,"Yes",'Hospital Catalog'!$K:$K,"Medium")</x:f>
        <x:v>1</x:v>
      </x:c>
      <x:c r="I130" s="22" t="n">
        <x:f>IFERROR(H130/C130*100000,"")</x:f>
        <x:v>1.8789222501972869</x:v>
      </x:c>
      <x:c r="J130" s="16" t="str"/>
    </x:row>
    <x:row r="131">
      <x:c r="A131" s="16" t="n">
        <x:v>1940</x:v>
      </x:c>
      <x:c r="B131" s="16" t="str">
        <x:v>Azcapotzalco</x:v>
      </x:c>
      <x:c r="C131" s="20" t="n">
        <x:f>INDEX(Population!$B$2:$R$17,MATCH(B131,Population!$A$2:$A$17,0),MATCH(A131,Population!$B$1:$R$1,0))</x:f>
        <x:v>105306</x:v>
      </x:c>
      <x:c r="D131" s="18" t="n">
        <x:f>COUNTIFS('Hospital Catalog'!$E:$E,B131,'Hospital Catalog'!$F:$F,"&lt;="&amp;A131,'Hospital Catalog'!$H:$H,"Yes")</x:f>
        <x:v>0</x:v>
      </x:c>
      <x:c r="E131" s="22" t="n">
        <x:f>IFERROR(D131/C131*100000,"")</x:f>
        <x:v>0</x:v>
      </x:c>
      <x:c r="F131" s="18" t="n">
        <x:f>COUNTIFS('Hospital Catalog'!$E:$E,B131,'Hospital Catalog'!$F:$F,"&lt;="&amp;A131,'Hospital Catalog'!$H:$H,"Yes",'Hospital Catalog'!$D:$D,"*public*") + COUNTIFS('Hospital Catalog'!$E:$E,B131,'Hospital Catalog'!$F:$F,"&lt;="&amp;A131,'Hospital Catalog'!$H:$H,"Yes",'Hospital Catalog'!$D:$D,"IMSS public") + COUNTIFS('Hospital Catalog'!$E:$E,B131,'Hospital Catalog'!$F:$F,"&lt;="&amp;A131,'Hospital Catalog'!$H:$H,"Yes",'Hospital Catalog'!$D:$D,"ISSSTE public")</x:f>
        <x:v>0</x:v>
      </x:c>
      <x:c r="G131" s="22" t="n">
        <x:f>IFERROR(F131/C131*100000,"")</x:f>
        <x:v>0</x:v>
      </x:c>
      <x:c r="H131" s="18" t="n">
        <x:f>COUNTIFS('Hospital Catalog'!$E:$E,B131,'Hospital Catalog'!$F:$F,"&lt;="&amp;A131,'Hospital Catalog'!$H:$H,"Yes",'Hospital Catalog'!$K:$K,"High") + COUNTIFS('Hospital Catalog'!$E:$E,B131,'Hospital Catalog'!$F:$F,"&lt;="&amp;A131,'Hospital Catalog'!$H:$H,"Yes",'Hospital Catalog'!$K:$K,"Medium")</x:f>
        <x:v>0</x:v>
      </x:c>
      <x:c r="I131" s="22" t="n">
        <x:f>IFERROR(H131/C131*100000,"")</x:f>
        <x:v>0</x:v>
      </x:c>
      <x:c r="J131" s="16" t="str"/>
    </x:row>
    <x:row r="132">
      <x:c r="A132" s="16" t="n">
        <x:v>1940</x:v>
      </x:c>
      <x:c r="B132" s="16" t="str">
        <x:v>Benito Juárez</x:v>
      </x:c>
      <x:c r="C132" s="20" t="n">
        <x:f>INDEX(Population!$B$2:$R$17,MATCH(B132,Population!$A$2:$A$17,0),MATCH(A132,Population!$B$1:$R$1,0))</x:f>
        <x:v>269404</x:v>
      </x:c>
      <x:c r="D132" s="18" t="n">
        <x:f>COUNTIFS('Hospital Catalog'!$E:$E,B132,'Hospital Catalog'!$F:$F,"&lt;="&amp;A132,'Hospital Catalog'!$H:$H,"Yes")</x:f>
        <x:v>0</x:v>
      </x:c>
      <x:c r="E132" s="22" t="n">
        <x:f>IFERROR(D132/C132*100000,"")</x:f>
        <x:v>0</x:v>
      </x:c>
      <x:c r="F132" s="18" t="n">
        <x:f>COUNTIFS('Hospital Catalog'!$E:$E,B132,'Hospital Catalog'!$F:$F,"&lt;="&amp;A132,'Hospital Catalog'!$H:$H,"Yes",'Hospital Catalog'!$D:$D,"*public*") + COUNTIFS('Hospital Catalog'!$E:$E,B132,'Hospital Catalog'!$F:$F,"&lt;="&amp;A132,'Hospital Catalog'!$H:$H,"Yes",'Hospital Catalog'!$D:$D,"IMSS public") + COUNTIFS('Hospital Catalog'!$E:$E,B132,'Hospital Catalog'!$F:$F,"&lt;="&amp;A132,'Hospital Catalog'!$H:$H,"Yes",'Hospital Catalog'!$D:$D,"ISSSTE public")</x:f>
        <x:v>0</x:v>
      </x:c>
      <x:c r="G132" s="22" t="n">
        <x:f>IFERROR(F132/C132*100000,"")</x:f>
        <x:v>0</x:v>
      </x:c>
      <x:c r="H132" s="18" t="n">
        <x:f>COUNTIFS('Hospital Catalog'!$E:$E,B132,'Hospital Catalog'!$F:$F,"&lt;="&amp;A132,'Hospital Catalog'!$H:$H,"Yes",'Hospital Catalog'!$K:$K,"High") + COUNTIFS('Hospital Catalog'!$E:$E,B132,'Hospital Catalog'!$F:$F,"&lt;="&amp;A132,'Hospital Catalog'!$H:$H,"Yes",'Hospital Catalog'!$K:$K,"Medium")</x:f>
        <x:v>0</x:v>
      </x:c>
      <x:c r="I132" s="22" t="n">
        <x:f>IFERROR(H132/C132*100000,"")</x:f>
        <x:v>0</x:v>
      </x:c>
      <x:c r="J132" s="16" t="str"/>
    </x:row>
    <x:row r="133">
      <x:c r="A133" s="16" t="n">
        <x:v>1940</x:v>
      </x:c>
      <x:c r="B133" s="16" t="str">
        <x:v>Coyoacán</x:v>
      </x:c>
      <x:c r="C133" s="20" t="n">
        <x:f>INDEX(Population!$B$2:$R$17,MATCH(B133,Population!$A$2:$A$17,0),MATCH(A133,Population!$B$1:$R$1,0))</x:f>
        <x:v>39984</x:v>
      </x:c>
      <x:c r="D133" s="18" t="n">
        <x:f>COUNTIFS('Hospital Catalog'!$E:$E,B133,'Hospital Catalog'!$F:$F,"&lt;="&amp;A133,'Hospital Catalog'!$H:$H,"Yes")</x:f>
        <x:v>0</x:v>
      </x:c>
      <x:c r="E133" s="22" t="n">
        <x:f>IFERROR(D133/C133*100000,"")</x:f>
        <x:v>0</x:v>
      </x:c>
      <x:c r="F133" s="18" t="n">
        <x:f>COUNTIFS('Hospital Catalog'!$E:$E,B133,'Hospital Catalog'!$F:$F,"&lt;="&amp;A133,'Hospital Catalog'!$H:$H,"Yes",'Hospital Catalog'!$D:$D,"*public*") + COUNTIFS('Hospital Catalog'!$E:$E,B133,'Hospital Catalog'!$F:$F,"&lt;="&amp;A133,'Hospital Catalog'!$H:$H,"Yes",'Hospital Catalog'!$D:$D,"IMSS public") + COUNTIFS('Hospital Catalog'!$E:$E,B133,'Hospital Catalog'!$F:$F,"&lt;="&amp;A133,'Hospital Catalog'!$H:$H,"Yes",'Hospital Catalog'!$D:$D,"ISSSTE public")</x:f>
        <x:v>0</x:v>
      </x:c>
      <x:c r="G133" s="22" t="n">
        <x:f>IFERROR(F133/C133*100000,"")</x:f>
        <x:v>0</x:v>
      </x:c>
      <x:c r="H133" s="18" t="n">
        <x:f>COUNTIFS('Hospital Catalog'!$E:$E,B133,'Hospital Catalog'!$F:$F,"&lt;="&amp;A133,'Hospital Catalog'!$H:$H,"Yes",'Hospital Catalog'!$K:$K,"High") + COUNTIFS('Hospital Catalog'!$E:$E,B133,'Hospital Catalog'!$F:$F,"&lt;="&amp;A133,'Hospital Catalog'!$H:$H,"Yes",'Hospital Catalog'!$K:$K,"Medium")</x:f>
        <x:v>0</x:v>
      </x:c>
      <x:c r="I133" s="22" t="n">
        <x:f>IFERROR(H133/C133*100000,"")</x:f>
        <x:v>0</x:v>
      </x:c>
      <x:c r="J133" s="16" t="str"/>
    </x:row>
    <x:row r="134">
      <x:c r="A134" s="16" t="n">
        <x:v>1940</x:v>
      </x:c>
      <x:c r="B134" s="16" t="str">
        <x:v>Cuajimalpa de Morelos</x:v>
      </x:c>
      <x:c r="C134" s="20" t="n">
        <x:f>INDEX(Population!$B$2:$R$17,MATCH(B134,Population!$A$2:$A$17,0),MATCH(A134,Population!$B$1:$R$1,0))</x:f>
        <x:v>6096</x:v>
      </x:c>
      <x:c r="D134" s="18" t="n">
        <x:f>COUNTIFS('Hospital Catalog'!$E:$E,B134,'Hospital Catalog'!$F:$F,"&lt;="&amp;A134,'Hospital Catalog'!$H:$H,"Yes")</x:f>
        <x:v>0</x:v>
      </x:c>
      <x:c r="E134" s="22" t="n">
        <x:f>IFERROR(D134/C134*100000,"")</x:f>
        <x:v>0</x:v>
      </x:c>
      <x:c r="F134" s="18" t="n">
        <x:f>COUNTIFS('Hospital Catalog'!$E:$E,B134,'Hospital Catalog'!$F:$F,"&lt;="&amp;A134,'Hospital Catalog'!$H:$H,"Yes",'Hospital Catalog'!$D:$D,"*public*") + COUNTIFS('Hospital Catalog'!$E:$E,B134,'Hospital Catalog'!$F:$F,"&lt;="&amp;A134,'Hospital Catalog'!$H:$H,"Yes",'Hospital Catalog'!$D:$D,"IMSS public") + COUNTIFS('Hospital Catalog'!$E:$E,B134,'Hospital Catalog'!$F:$F,"&lt;="&amp;A134,'Hospital Catalog'!$H:$H,"Yes",'Hospital Catalog'!$D:$D,"ISSSTE public")</x:f>
        <x:v>0</x:v>
      </x:c>
      <x:c r="G134" s="22" t="n">
        <x:f>IFERROR(F134/C134*100000,"")</x:f>
        <x:v>0</x:v>
      </x:c>
      <x:c r="H134" s="18" t="n">
        <x:f>COUNTIFS('Hospital Catalog'!$E:$E,B134,'Hospital Catalog'!$F:$F,"&lt;="&amp;A134,'Hospital Catalog'!$H:$H,"Yes",'Hospital Catalog'!$K:$K,"High") + COUNTIFS('Hospital Catalog'!$E:$E,B134,'Hospital Catalog'!$F:$F,"&lt;="&amp;A134,'Hospital Catalog'!$H:$H,"Yes",'Hospital Catalog'!$K:$K,"Medium")</x:f>
        <x:v>0</x:v>
      </x:c>
      <x:c r="I134" s="22" t="n">
        <x:f>IFERROR(H134/C134*100000,"")</x:f>
        <x:v>0</x:v>
      </x:c>
      <x:c r="J134" s="16" t="str"/>
    </x:row>
    <x:row r="135">
      <x:c r="A135" s="16" t="n">
        <x:v>1940</x:v>
      </x:c>
      <x:c r="B135" s="16" t="str">
        <x:v>Cuauhtémoc</x:v>
      </x:c>
      <x:c r="C135" s="20" t="n">
        <x:f>INDEX(Population!$B$2:$R$17,MATCH(B135,Population!$A$2:$A$17,0),MATCH(A135,Population!$B$1:$R$1,0))</x:f>
        <x:v>411339</x:v>
      </x:c>
      <x:c r="D135" s="18" t="n">
        <x:f>COUNTIFS('Hospital Catalog'!$E:$E,B135,'Hospital Catalog'!$F:$F,"&lt;="&amp;A135,'Hospital Catalog'!$H:$H,"Yes")</x:f>
        <x:v>2</x:v>
      </x:c>
      <x:c r="E135" s="22" t="n">
        <x:f>IFERROR(D135/C135*100000,"")</x:f>
        <x:v>0.4862169645961117</x:v>
      </x:c>
      <x:c r="F135" s="18" t="n">
        <x:f>COUNTIFS('Hospital Catalog'!$E:$E,B135,'Hospital Catalog'!$F:$F,"&lt;="&amp;A135,'Hospital Catalog'!$H:$H,"Yes",'Hospital Catalog'!$D:$D,"*public*") + COUNTIFS('Hospital Catalog'!$E:$E,B135,'Hospital Catalog'!$F:$F,"&lt;="&amp;A135,'Hospital Catalog'!$H:$H,"Yes",'Hospital Catalog'!$D:$D,"IMSS public") + COUNTIFS('Hospital Catalog'!$E:$E,B135,'Hospital Catalog'!$F:$F,"&lt;="&amp;A135,'Hospital Catalog'!$H:$H,"Yes",'Hospital Catalog'!$D:$D,"ISSSTE public")</x:f>
        <x:v>0</x:v>
      </x:c>
      <x:c r="G135" s="22" t="n">
        <x:f>IFERROR(F135/C135*100000,"")</x:f>
        <x:v>0</x:v>
      </x:c>
      <x:c r="H135" s="18" t="n">
        <x:f>COUNTIFS('Hospital Catalog'!$E:$E,B135,'Hospital Catalog'!$F:$F,"&lt;="&amp;A135,'Hospital Catalog'!$H:$H,"Yes",'Hospital Catalog'!$K:$K,"High") + COUNTIFS('Hospital Catalog'!$E:$E,B135,'Hospital Catalog'!$F:$F,"&lt;="&amp;A135,'Hospital Catalog'!$H:$H,"Yes",'Hospital Catalog'!$K:$K,"Medium")</x:f>
        <x:v>2</x:v>
      </x:c>
      <x:c r="I135" s="22" t="n">
        <x:f>IFERROR(H135/C135*100000,"")</x:f>
        <x:v>0.4862169645961117</x:v>
      </x:c>
      <x:c r="J135" s="16" t="str"/>
    </x:row>
    <x:row r="136">
      <x:c r="A136" s="16" t="n">
        <x:v>1940</x:v>
      </x:c>
      <x:c r="B136" s="16" t="str">
        <x:v>Gustavo A. Madero</x:v>
      </x:c>
      <x:c r="C136" s="20" t="n">
        <x:f>INDEX(Population!$B$2:$R$17,MATCH(B136,Population!$A$2:$A$17,0),MATCH(A136,Population!$B$1:$R$1,0))</x:f>
        <x:v>114516</x:v>
      </x:c>
      <x:c r="D136" s="18" t="n">
        <x:f>COUNTIFS('Hospital Catalog'!$E:$E,B136,'Hospital Catalog'!$F:$F,"&lt;="&amp;A136,'Hospital Catalog'!$H:$H,"Yes")</x:f>
        <x:v>0</x:v>
      </x:c>
      <x:c r="E136" s="22" t="n">
        <x:f>IFERROR(D136/C136*100000,"")</x:f>
        <x:v>0</x:v>
      </x:c>
      <x:c r="F136" s="18" t="n">
        <x:f>COUNTIFS('Hospital Catalog'!$E:$E,B136,'Hospital Catalog'!$F:$F,"&lt;="&amp;A136,'Hospital Catalog'!$H:$H,"Yes",'Hospital Catalog'!$D:$D,"*public*") + COUNTIFS('Hospital Catalog'!$E:$E,B136,'Hospital Catalog'!$F:$F,"&lt;="&amp;A136,'Hospital Catalog'!$H:$H,"Yes",'Hospital Catalog'!$D:$D,"IMSS public") + COUNTIFS('Hospital Catalog'!$E:$E,B136,'Hospital Catalog'!$F:$F,"&lt;="&amp;A136,'Hospital Catalog'!$H:$H,"Yes",'Hospital Catalog'!$D:$D,"ISSSTE public")</x:f>
        <x:v>0</x:v>
      </x:c>
      <x:c r="G136" s="22" t="n">
        <x:f>IFERROR(F136/C136*100000,"")</x:f>
        <x:v>0</x:v>
      </x:c>
      <x:c r="H136" s="18" t="n">
        <x:f>COUNTIFS('Hospital Catalog'!$E:$E,B136,'Hospital Catalog'!$F:$F,"&lt;="&amp;A136,'Hospital Catalog'!$H:$H,"Yes",'Hospital Catalog'!$K:$K,"High") + COUNTIFS('Hospital Catalog'!$E:$E,B136,'Hospital Catalog'!$F:$F,"&lt;="&amp;A136,'Hospital Catalog'!$H:$H,"Yes",'Hospital Catalog'!$K:$K,"Medium")</x:f>
        <x:v>0</x:v>
      </x:c>
      <x:c r="I136" s="22" t="n">
        <x:f>IFERROR(H136/C136*100000,"")</x:f>
        <x:v>0</x:v>
      </x:c>
      <x:c r="J136" s="16" t="str"/>
    </x:row>
    <x:row r="137">
      <x:c r="A137" s="16" t="n">
        <x:v>1940</x:v>
      </x:c>
      <x:c r="B137" s="16" t="str">
        <x:v>Iztacalco</x:v>
      </x:c>
      <x:c r="C137" s="20" t="n">
        <x:f>INDEX(Population!$B$2:$R$17,MATCH(B137,Population!$A$2:$A$17,0),MATCH(A137,Population!$B$1:$R$1,0))</x:f>
        <x:v>19409</x:v>
      </x:c>
      <x:c r="D137" s="18" t="n">
        <x:f>COUNTIFS('Hospital Catalog'!$E:$E,B137,'Hospital Catalog'!$F:$F,"&lt;="&amp;A137,'Hospital Catalog'!$H:$H,"Yes")</x:f>
        <x:v>0</x:v>
      </x:c>
      <x:c r="E137" s="22" t="n">
        <x:f>IFERROR(D137/C137*100000,"")</x:f>
        <x:v>0</x:v>
      </x:c>
      <x:c r="F137" s="18" t="n">
        <x:f>COUNTIFS('Hospital Catalog'!$E:$E,B137,'Hospital Catalog'!$F:$F,"&lt;="&amp;A137,'Hospital Catalog'!$H:$H,"Yes",'Hospital Catalog'!$D:$D,"*public*") + COUNTIFS('Hospital Catalog'!$E:$E,B137,'Hospital Catalog'!$F:$F,"&lt;="&amp;A137,'Hospital Catalog'!$H:$H,"Yes",'Hospital Catalog'!$D:$D,"IMSS public") + COUNTIFS('Hospital Catalog'!$E:$E,B137,'Hospital Catalog'!$F:$F,"&lt;="&amp;A137,'Hospital Catalog'!$H:$H,"Yes",'Hospital Catalog'!$D:$D,"ISSSTE public")</x:f>
        <x:v>0</x:v>
      </x:c>
      <x:c r="G137" s="22" t="n">
        <x:f>IFERROR(F137/C137*100000,"")</x:f>
        <x:v>0</x:v>
      </x:c>
      <x:c r="H137" s="18" t="n">
        <x:f>COUNTIFS('Hospital Catalog'!$E:$E,B137,'Hospital Catalog'!$F:$F,"&lt;="&amp;A137,'Hospital Catalog'!$H:$H,"Yes",'Hospital Catalog'!$K:$K,"High") + COUNTIFS('Hospital Catalog'!$E:$E,B137,'Hospital Catalog'!$F:$F,"&lt;="&amp;A137,'Hospital Catalog'!$H:$H,"Yes",'Hospital Catalog'!$K:$K,"Medium")</x:f>
        <x:v>0</x:v>
      </x:c>
      <x:c r="I137" s="22" t="n">
        <x:f>IFERROR(H137/C137*100000,"")</x:f>
        <x:v>0</x:v>
      </x:c>
      <x:c r="J137" s="16" t="str"/>
    </x:row>
    <x:row r="138">
      <x:c r="A138" s="16" t="n">
        <x:v>1940</x:v>
      </x:c>
      <x:c r="B138" s="16" t="str">
        <x:v>Iztapalapa</x:v>
      </x:c>
      <x:c r="C138" s="20" t="n">
        <x:f>INDEX(Population!$B$2:$R$17,MATCH(B138,Population!$A$2:$A$17,0),MATCH(A138,Population!$B$1:$R$1,0))</x:f>
        <x:v>44089</x:v>
      </x:c>
      <x:c r="D138" s="18" t="n">
        <x:f>COUNTIFS('Hospital Catalog'!$E:$E,B138,'Hospital Catalog'!$F:$F,"&lt;="&amp;A138,'Hospital Catalog'!$H:$H,"Yes")</x:f>
        <x:v>0</x:v>
      </x:c>
      <x:c r="E138" s="22" t="n">
        <x:f>IFERROR(D138/C138*100000,"")</x:f>
        <x:v>0</x:v>
      </x:c>
      <x:c r="F138" s="18" t="n">
        <x:f>COUNTIFS('Hospital Catalog'!$E:$E,B138,'Hospital Catalog'!$F:$F,"&lt;="&amp;A138,'Hospital Catalog'!$H:$H,"Yes",'Hospital Catalog'!$D:$D,"*public*") + COUNTIFS('Hospital Catalog'!$E:$E,B138,'Hospital Catalog'!$F:$F,"&lt;="&amp;A138,'Hospital Catalog'!$H:$H,"Yes",'Hospital Catalog'!$D:$D,"IMSS public") + COUNTIFS('Hospital Catalog'!$E:$E,B138,'Hospital Catalog'!$F:$F,"&lt;="&amp;A138,'Hospital Catalog'!$H:$H,"Yes",'Hospital Catalog'!$D:$D,"ISSSTE public")</x:f>
        <x:v>0</x:v>
      </x:c>
      <x:c r="G138" s="22" t="n">
        <x:f>IFERROR(F138/C138*100000,"")</x:f>
        <x:v>0</x:v>
      </x:c>
      <x:c r="H138" s="18" t="n">
        <x:f>COUNTIFS('Hospital Catalog'!$E:$E,B138,'Hospital Catalog'!$F:$F,"&lt;="&amp;A138,'Hospital Catalog'!$H:$H,"Yes",'Hospital Catalog'!$K:$K,"High") + COUNTIFS('Hospital Catalog'!$E:$E,B138,'Hospital Catalog'!$F:$F,"&lt;="&amp;A138,'Hospital Catalog'!$H:$H,"Yes",'Hospital Catalog'!$K:$K,"Medium")</x:f>
        <x:v>0</x:v>
      </x:c>
      <x:c r="I138" s="22" t="n">
        <x:f>IFERROR(H138/C138*100000,"")</x:f>
        <x:v>0</x:v>
      </x:c>
      <x:c r="J138" s="16" t="str"/>
    </x:row>
    <x:row r="139">
      <x:c r="A139" s="16" t="n">
        <x:v>1940</x:v>
      </x:c>
      <x:c r="B139" s="16" t="str">
        <x:v>La Magdalena Contreras</x:v>
      </x:c>
      <x:c r="C139" s="20" t="n">
        <x:f>INDEX(Population!$B$2:$R$17,MATCH(B139,Population!$A$2:$A$17,0),MATCH(A139,Population!$B$1:$R$1,0))</x:f>
        <x:v>12643</x:v>
      </x:c>
      <x:c r="D139" s="18" t="n">
        <x:f>COUNTIFS('Hospital Catalog'!$E:$E,B139,'Hospital Catalog'!$F:$F,"&lt;="&amp;A139,'Hospital Catalog'!$H:$H,"Yes")</x:f>
        <x:v>0</x:v>
      </x:c>
      <x:c r="E139" s="22" t="n">
        <x:f>IFERROR(D139/C139*100000,"")</x:f>
        <x:v>0</x:v>
      </x:c>
      <x:c r="F139" s="18" t="n">
        <x:f>COUNTIFS('Hospital Catalog'!$E:$E,B139,'Hospital Catalog'!$F:$F,"&lt;="&amp;A139,'Hospital Catalog'!$H:$H,"Yes",'Hospital Catalog'!$D:$D,"*public*") + COUNTIFS('Hospital Catalog'!$E:$E,B139,'Hospital Catalog'!$F:$F,"&lt;="&amp;A139,'Hospital Catalog'!$H:$H,"Yes",'Hospital Catalog'!$D:$D,"IMSS public") + COUNTIFS('Hospital Catalog'!$E:$E,B139,'Hospital Catalog'!$F:$F,"&lt;="&amp;A139,'Hospital Catalog'!$H:$H,"Yes",'Hospital Catalog'!$D:$D,"ISSSTE public")</x:f>
        <x:v>0</x:v>
      </x:c>
      <x:c r="G139" s="22" t="n">
        <x:f>IFERROR(F139/C139*100000,"")</x:f>
        <x:v>0</x:v>
      </x:c>
      <x:c r="H139" s="18" t="n">
        <x:f>COUNTIFS('Hospital Catalog'!$E:$E,B139,'Hospital Catalog'!$F:$F,"&lt;="&amp;A139,'Hospital Catalog'!$H:$H,"Yes",'Hospital Catalog'!$K:$K,"High") + COUNTIFS('Hospital Catalog'!$E:$E,B139,'Hospital Catalog'!$F:$F,"&lt;="&amp;A139,'Hospital Catalog'!$H:$H,"Yes",'Hospital Catalog'!$K:$K,"Medium")</x:f>
        <x:v>0</x:v>
      </x:c>
      <x:c r="I139" s="22" t="n">
        <x:f>IFERROR(H139/C139*100000,"")</x:f>
        <x:v>0</x:v>
      </x:c>
      <x:c r="J139" s="16" t="str"/>
    </x:row>
    <x:row r="140">
      <x:c r="A140" s="16" t="n">
        <x:v>1940</x:v>
      </x:c>
      <x:c r="B140" s="16" t="str">
        <x:v>Miguel Hidalgo</x:v>
      </x:c>
      <x:c r="C140" s="20" t="n">
        <x:f>INDEX(Population!$B$2:$R$17,MATCH(B140,Population!$A$2:$A$17,0),MATCH(A140,Population!$B$1:$R$1,0))</x:f>
        <x:v>269298</x:v>
      </x:c>
      <x:c r="D140" s="18" t="n">
        <x:f>COUNTIFS('Hospital Catalog'!$E:$E,B140,'Hospital Catalog'!$F:$F,"&lt;="&amp;A140,'Hospital Catalog'!$H:$H,"Yes")</x:f>
        <x:v>1</x:v>
      </x:c>
      <x:c r="E140" s="22" t="n">
        <x:f>IFERROR(D140/C140*100000,"")</x:f>
        <x:v>0.3713358435636358</x:v>
      </x:c>
      <x:c r="F140" s="18" t="n">
        <x:f>COUNTIFS('Hospital Catalog'!$E:$E,B140,'Hospital Catalog'!$F:$F,"&lt;="&amp;A140,'Hospital Catalog'!$H:$H,"Yes",'Hospital Catalog'!$D:$D,"*public*") + COUNTIFS('Hospital Catalog'!$E:$E,B140,'Hospital Catalog'!$F:$F,"&lt;="&amp;A140,'Hospital Catalog'!$H:$H,"Yes",'Hospital Catalog'!$D:$D,"IMSS public") + COUNTIFS('Hospital Catalog'!$E:$E,B140,'Hospital Catalog'!$F:$F,"&lt;="&amp;A140,'Hospital Catalog'!$H:$H,"Yes",'Hospital Catalog'!$D:$D,"ISSSTE public")</x:f>
        <x:v>0</x:v>
      </x:c>
      <x:c r="G140" s="22" t="n">
        <x:f>IFERROR(F140/C140*100000,"")</x:f>
        <x:v>0</x:v>
      </x:c>
      <x:c r="H140" s="18" t="n">
        <x:f>COUNTIFS('Hospital Catalog'!$E:$E,B140,'Hospital Catalog'!$F:$F,"&lt;="&amp;A140,'Hospital Catalog'!$H:$H,"Yes",'Hospital Catalog'!$K:$K,"High") + COUNTIFS('Hospital Catalog'!$E:$E,B140,'Hospital Catalog'!$F:$F,"&lt;="&amp;A140,'Hospital Catalog'!$H:$H,"Yes",'Hospital Catalog'!$K:$K,"Medium")</x:f>
        <x:v>1</x:v>
      </x:c>
      <x:c r="I140" s="22" t="n">
        <x:f>IFERROR(H140/C140*100000,"")</x:f>
        <x:v>0.3713358435636358</x:v>
      </x:c>
      <x:c r="J140" s="16" t="str"/>
    </x:row>
    <x:row r="141">
      <x:c r="A141" s="16" t="n">
        <x:v>1940</x:v>
      </x:c>
      <x:c r="B141" s="16" t="str">
        <x:v>Milpa Alta</x:v>
      </x:c>
      <x:c r="C141" s="20" t="n">
        <x:f>INDEX(Population!$B$2:$R$17,MATCH(B141,Population!$A$2:$A$17,0),MATCH(A141,Population!$B$1:$R$1,0))</x:f>
        <x:v>11412</x:v>
      </x:c>
      <x:c r="D141" s="18" t="n">
        <x:f>COUNTIFS('Hospital Catalog'!$E:$E,B141,'Hospital Catalog'!$F:$F,"&lt;="&amp;A141,'Hospital Catalog'!$H:$H,"Yes")</x:f>
        <x:v>0</x:v>
      </x:c>
      <x:c r="E141" s="22" t="n">
        <x:f>IFERROR(D141/C141*100000,"")</x:f>
        <x:v>0</x:v>
      </x:c>
      <x:c r="F141" s="18" t="n">
        <x:f>COUNTIFS('Hospital Catalog'!$E:$E,B141,'Hospital Catalog'!$F:$F,"&lt;="&amp;A141,'Hospital Catalog'!$H:$H,"Yes",'Hospital Catalog'!$D:$D,"*public*") + COUNTIFS('Hospital Catalog'!$E:$E,B141,'Hospital Catalog'!$F:$F,"&lt;="&amp;A141,'Hospital Catalog'!$H:$H,"Yes",'Hospital Catalog'!$D:$D,"IMSS public") + COUNTIFS('Hospital Catalog'!$E:$E,B141,'Hospital Catalog'!$F:$F,"&lt;="&amp;A141,'Hospital Catalog'!$H:$H,"Yes",'Hospital Catalog'!$D:$D,"ISSSTE public")</x:f>
        <x:v>0</x:v>
      </x:c>
      <x:c r="G141" s="22" t="n">
        <x:f>IFERROR(F141/C141*100000,"")</x:f>
        <x:v>0</x:v>
      </x:c>
      <x:c r="H141" s="18" t="n">
        <x:f>COUNTIFS('Hospital Catalog'!$E:$E,B141,'Hospital Catalog'!$F:$F,"&lt;="&amp;A141,'Hospital Catalog'!$H:$H,"Yes",'Hospital Catalog'!$K:$K,"High") + COUNTIFS('Hospital Catalog'!$E:$E,B141,'Hospital Catalog'!$F:$F,"&lt;="&amp;A141,'Hospital Catalog'!$H:$H,"Yes",'Hospital Catalog'!$K:$K,"Medium")</x:f>
        <x:v>0</x:v>
      </x:c>
      <x:c r="I141" s="22" t="n">
        <x:f>IFERROR(H141/C141*100000,"")</x:f>
        <x:v>0</x:v>
      </x:c>
      <x:c r="J141" s="16" t="str"/>
    </x:row>
    <x:row r="142">
      <x:c r="A142" s="16" t="n">
        <x:v>1940</x:v>
      </x:c>
      <x:c r="B142" s="16" t="str">
        <x:v>Tláhuac</x:v>
      </x:c>
      <x:c r="C142" s="20" t="n">
        <x:f>INDEX(Population!$B$2:$R$17,MATCH(B142,Population!$A$2:$A$17,0),MATCH(A142,Population!$B$1:$R$1,0))</x:f>
        <x:v>11294</x:v>
      </x:c>
      <x:c r="D142" s="18" t="n">
        <x:f>COUNTIFS('Hospital Catalog'!$E:$E,B142,'Hospital Catalog'!$F:$F,"&lt;="&amp;A142,'Hospital Catalog'!$H:$H,"Yes")</x:f>
        <x:v>0</x:v>
      </x:c>
      <x:c r="E142" s="22" t="n">
        <x:f>IFERROR(D142/C142*100000,"")</x:f>
        <x:v>0</x:v>
      </x:c>
      <x:c r="F142" s="18" t="n">
        <x:f>COUNTIFS('Hospital Catalog'!$E:$E,B142,'Hospital Catalog'!$F:$F,"&lt;="&amp;A142,'Hospital Catalog'!$H:$H,"Yes",'Hospital Catalog'!$D:$D,"*public*") + COUNTIFS('Hospital Catalog'!$E:$E,B142,'Hospital Catalog'!$F:$F,"&lt;="&amp;A142,'Hospital Catalog'!$H:$H,"Yes",'Hospital Catalog'!$D:$D,"IMSS public") + COUNTIFS('Hospital Catalog'!$E:$E,B142,'Hospital Catalog'!$F:$F,"&lt;="&amp;A142,'Hospital Catalog'!$H:$H,"Yes",'Hospital Catalog'!$D:$D,"ISSSTE public")</x:f>
        <x:v>0</x:v>
      </x:c>
      <x:c r="G142" s="22" t="n">
        <x:f>IFERROR(F142/C142*100000,"")</x:f>
        <x:v>0</x:v>
      </x:c>
      <x:c r="H142" s="18" t="n">
        <x:f>COUNTIFS('Hospital Catalog'!$E:$E,B142,'Hospital Catalog'!$F:$F,"&lt;="&amp;A142,'Hospital Catalog'!$H:$H,"Yes",'Hospital Catalog'!$K:$K,"High") + COUNTIFS('Hospital Catalog'!$E:$E,B142,'Hospital Catalog'!$F:$F,"&lt;="&amp;A142,'Hospital Catalog'!$H:$H,"Yes",'Hospital Catalog'!$K:$K,"Medium")</x:f>
        <x:v>0</x:v>
      </x:c>
      <x:c r="I142" s="22" t="n">
        <x:f>IFERROR(H142/C142*100000,"")</x:f>
        <x:v>0</x:v>
      </x:c>
      <x:c r="J142" s="16" t="str"/>
    </x:row>
    <x:row r="143">
      <x:c r="A143" s="16" t="n">
        <x:v>1940</x:v>
      </x:c>
      <x:c r="B143" s="16" t="str">
        <x:v>Tlalpan</x:v>
      </x:c>
      <x:c r="C143" s="20" t="n">
        <x:f>INDEX(Population!$B$2:$R$17,MATCH(B143,Population!$A$2:$A$17,0),MATCH(A143,Population!$B$1:$R$1,0))</x:f>
        <x:v>18987</x:v>
      </x:c>
      <x:c r="D143" s="18" t="n">
        <x:f>COUNTIFS('Hospital Catalog'!$E:$E,B143,'Hospital Catalog'!$F:$F,"&lt;="&amp;A143,'Hospital Catalog'!$H:$H,"Yes")</x:f>
        <x:v>1</x:v>
      </x:c>
      <x:c r="E143" s="22" t="n">
        <x:f>IFERROR(D143/C143*100000,"")</x:f>
        <x:v>5.266761468373097</x:v>
      </x:c>
      <x:c r="F143" s="18" t="n">
        <x:f>COUNTIFS('Hospital Catalog'!$E:$E,B143,'Hospital Catalog'!$F:$F,"&lt;="&amp;A143,'Hospital Catalog'!$H:$H,"Yes",'Hospital Catalog'!$D:$D,"*public*") + COUNTIFS('Hospital Catalog'!$E:$E,B143,'Hospital Catalog'!$F:$F,"&lt;="&amp;A143,'Hospital Catalog'!$H:$H,"Yes",'Hospital Catalog'!$D:$D,"IMSS public") + COUNTIFS('Hospital Catalog'!$E:$E,B143,'Hospital Catalog'!$F:$F,"&lt;="&amp;A143,'Hospital Catalog'!$H:$H,"Yes",'Hospital Catalog'!$D:$D,"ISSSTE public")</x:f>
        <x:v>0</x:v>
      </x:c>
      <x:c r="G143" s="22" t="n">
        <x:f>IFERROR(F143/C143*100000,"")</x:f>
        <x:v>0</x:v>
      </x:c>
      <x:c r="H143" s="18" t="n">
        <x:f>COUNTIFS('Hospital Catalog'!$E:$E,B143,'Hospital Catalog'!$F:$F,"&lt;="&amp;A143,'Hospital Catalog'!$H:$H,"Yes",'Hospital Catalog'!$K:$K,"High") + COUNTIFS('Hospital Catalog'!$E:$E,B143,'Hospital Catalog'!$F:$F,"&lt;="&amp;A143,'Hospital Catalog'!$H:$H,"Yes",'Hospital Catalog'!$K:$K,"Medium")</x:f>
        <x:v>1</x:v>
      </x:c>
      <x:c r="I143" s="22" t="n">
        <x:f>IFERROR(H143/C143*100000,"")</x:f>
        <x:v>5.266761468373097</x:v>
      </x:c>
      <x:c r="J143" s="16" t="str"/>
    </x:row>
    <x:row r="144">
      <x:c r="A144" s="16" t="n">
        <x:v>1940</x:v>
      </x:c>
      <x:c r="B144" s="16" t="str">
        <x:v>Venustiano Carranza</x:v>
      </x:c>
      <x:c r="C144" s="20" t="n">
        <x:f>INDEX(Population!$B$2:$R$17,MATCH(B144,Population!$A$2:$A$17,0),MATCH(A144,Population!$B$1:$R$1,0))</x:f>
        <x:v>341977</x:v>
      </x:c>
      <x:c r="D144" s="18" t="n">
        <x:f>COUNTIFS('Hospital Catalog'!$E:$E,B144,'Hospital Catalog'!$F:$F,"&lt;="&amp;A144,'Hospital Catalog'!$H:$H,"Yes")</x:f>
        <x:v>0</x:v>
      </x:c>
      <x:c r="E144" s="22" t="n">
        <x:f>IFERROR(D144/C144*100000,"")</x:f>
        <x:v>0</x:v>
      </x:c>
      <x:c r="F144" s="18" t="n">
        <x:f>COUNTIFS('Hospital Catalog'!$E:$E,B144,'Hospital Catalog'!$F:$F,"&lt;="&amp;A144,'Hospital Catalog'!$H:$H,"Yes",'Hospital Catalog'!$D:$D,"*public*") + COUNTIFS('Hospital Catalog'!$E:$E,B144,'Hospital Catalog'!$F:$F,"&lt;="&amp;A144,'Hospital Catalog'!$H:$H,"Yes",'Hospital Catalog'!$D:$D,"IMSS public") + COUNTIFS('Hospital Catalog'!$E:$E,B144,'Hospital Catalog'!$F:$F,"&lt;="&amp;A144,'Hospital Catalog'!$H:$H,"Yes",'Hospital Catalog'!$D:$D,"ISSSTE public")</x:f>
        <x:v>0</x:v>
      </x:c>
      <x:c r="G144" s="22" t="n">
        <x:f>IFERROR(F144/C144*100000,"")</x:f>
        <x:v>0</x:v>
      </x:c>
      <x:c r="H144" s="18" t="n">
        <x:f>COUNTIFS('Hospital Catalog'!$E:$E,B144,'Hospital Catalog'!$F:$F,"&lt;="&amp;A144,'Hospital Catalog'!$H:$H,"Yes",'Hospital Catalog'!$K:$K,"High") + COUNTIFS('Hospital Catalog'!$E:$E,B144,'Hospital Catalog'!$F:$F,"&lt;="&amp;A144,'Hospital Catalog'!$H:$H,"Yes",'Hospital Catalog'!$K:$K,"Medium")</x:f>
        <x:v>0</x:v>
      </x:c>
      <x:c r="I144" s="22" t="n">
        <x:f>IFERROR(H144/C144*100000,"")</x:f>
        <x:v>0</x:v>
      </x:c>
      <x:c r="J144" s="16" t="str"/>
    </x:row>
    <x:row r="145">
      <x:c r="A145" s="16" t="n">
        <x:v>1940</x:v>
      </x:c>
      <x:c r="B145" s="16" t="str">
        <x:v>Xochimilco</x:v>
      </x:c>
      <x:c r="C145" s="20" t="n">
        <x:f>INDEX(Population!$B$2:$R$17,MATCH(B145,Population!$A$2:$A$17,0),MATCH(A145,Population!$B$1:$R$1,0))</x:f>
        <x:v>28552</x:v>
      </x:c>
      <x:c r="D145" s="18" t="n">
        <x:f>COUNTIFS('Hospital Catalog'!$E:$E,B145,'Hospital Catalog'!$F:$F,"&lt;="&amp;A145,'Hospital Catalog'!$H:$H,"Yes")</x:f>
        <x:v>0</x:v>
      </x:c>
      <x:c r="E145" s="22" t="n">
        <x:f>IFERROR(D145/C145*100000,"")</x:f>
        <x:v>0</x:v>
      </x:c>
      <x:c r="F145" s="18" t="n">
        <x:f>COUNTIFS('Hospital Catalog'!$E:$E,B145,'Hospital Catalog'!$F:$F,"&lt;="&amp;A145,'Hospital Catalog'!$H:$H,"Yes",'Hospital Catalog'!$D:$D,"*public*") + COUNTIFS('Hospital Catalog'!$E:$E,B145,'Hospital Catalog'!$F:$F,"&lt;="&amp;A145,'Hospital Catalog'!$H:$H,"Yes",'Hospital Catalog'!$D:$D,"IMSS public") + COUNTIFS('Hospital Catalog'!$E:$E,B145,'Hospital Catalog'!$F:$F,"&lt;="&amp;A145,'Hospital Catalog'!$H:$H,"Yes",'Hospital Catalog'!$D:$D,"ISSSTE public")</x:f>
        <x:v>0</x:v>
      </x:c>
      <x:c r="G145" s="22" t="n">
        <x:f>IFERROR(F145/C145*100000,"")</x:f>
        <x:v>0</x:v>
      </x:c>
      <x:c r="H145" s="18" t="n">
        <x:f>COUNTIFS('Hospital Catalog'!$E:$E,B145,'Hospital Catalog'!$F:$F,"&lt;="&amp;A145,'Hospital Catalog'!$H:$H,"Yes",'Hospital Catalog'!$K:$K,"High") + COUNTIFS('Hospital Catalog'!$E:$E,B145,'Hospital Catalog'!$F:$F,"&lt;="&amp;A145,'Hospital Catalog'!$H:$H,"Yes",'Hospital Catalog'!$K:$K,"Medium")</x:f>
        <x:v>0</x:v>
      </x:c>
      <x:c r="I145" s="22" t="n">
        <x:f>IFERROR(H145/C145*100000,"")</x:f>
        <x:v>0</x:v>
      </x:c>
      <x:c r="J145" s="16" t="str"/>
    </x:row>
    <x:row r="146">
      <x:c r="A146" s="16" t="n">
        <x:v>1950</x:v>
      </x:c>
      <x:c r="B146" s="16" t="str">
        <x:v>Álvaro Obregón</x:v>
      </x:c>
      <x:c r="C146" s="20" t="n">
        <x:f>INDEX(Population!$B$2:$R$17,MATCH(B146,Population!$A$2:$A$17,0),MATCH(A146,Population!$B$1:$R$1,0))</x:f>
        <x:v>93176</x:v>
      </x:c>
      <x:c r="D146" s="18" t="n">
        <x:f>COUNTIFS('Hospital Catalog'!$E:$E,B146,'Hospital Catalog'!$F:$F,"&lt;="&amp;A146,'Hospital Catalog'!$H:$H,"Yes")</x:f>
        <x:v>1</x:v>
      </x:c>
      <x:c r="E146" s="22" t="n">
        <x:f>IFERROR(D146/C146*100000,"")</x:f>
        <x:v>1.0732377436249678</x:v>
      </x:c>
      <x:c r="F146" s="18" t="n">
        <x:f>COUNTIFS('Hospital Catalog'!$E:$E,B146,'Hospital Catalog'!$F:$F,"&lt;="&amp;A146,'Hospital Catalog'!$H:$H,"Yes",'Hospital Catalog'!$D:$D,"*public*") + COUNTIFS('Hospital Catalog'!$E:$E,B146,'Hospital Catalog'!$F:$F,"&lt;="&amp;A146,'Hospital Catalog'!$H:$H,"Yes",'Hospital Catalog'!$D:$D,"IMSS public") + COUNTIFS('Hospital Catalog'!$E:$E,B146,'Hospital Catalog'!$F:$F,"&lt;="&amp;A146,'Hospital Catalog'!$H:$H,"Yes",'Hospital Catalog'!$D:$D,"ISSSTE public")</x:f>
        <x:v>0</x:v>
      </x:c>
      <x:c r="G146" s="22" t="n">
        <x:f>IFERROR(F146/C146*100000,"")</x:f>
        <x:v>0</x:v>
      </x:c>
      <x:c r="H146" s="18" t="n">
        <x:f>COUNTIFS('Hospital Catalog'!$E:$E,B146,'Hospital Catalog'!$F:$F,"&lt;="&amp;A146,'Hospital Catalog'!$H:$H,"Yes",'Hospital Catalog'!$K:$K,"High") + COUNTIFS('Hospital Catalog'!$E:$E,B146,'Hospital Catalog'!$F:$F,"&lt;="&amp;A146,'Hospital Catalog'!$H:$H,"Yes",'Hospital Catalog'!$K:$K,"Medium")</x:f>
        <x:v>1</x:v>
      </x:c>
      <x:c r="I146" s="22" t="n">
        <x:f>IFERROR(H146/C146*100000,"")</x:f>
        <x:v>1.0732377436249678</x:v>
      </x:c>
      <x:c r="J146" s="16" t="str"/>
    </x:row>
    <x:row r="147">
      <x:c r="A147" s="16" t="n">
        <x:v>1950</x:v>
      </x:c>
      <x:c r="B147" s="16" t="str">
        <x:v>Azcapotzalco</x:v>
      </x:c>
      <x:c r="C147" s="20" t="n">
        <x:f>INDEX(Population!$B$2:$R$17,MATCH(B147,Population!$A$2:$A$17,0),MATCH(A147,Population!$B$1:$R$1,0))</x:f>
        <x:v>187864</x:v>
      </x:c>
      <x:c r="D147" s="18" t="n">
        <x:f>COUNTIFS('Hospital Catalog'!$E:$E,B147,'Hospital Catalog'!$F:$F,"&lt;="&amp;A147,'Hospital Catalog'!$H:$H,"Yes")</x:f>
        <x:v>0</x:v>
      </x:c>
      <x:c r="E147" s="22" t="n">
        <x:f>IFERROR(D147/C147*100000,"")</x:f>
        <x:v>0</x:v>
      </x:c>
      <x:c r="F147" s="18" t="n">
        <x:f>COUNTIFS('Hospital Catalog'!$E:$E,B147,'Hospital Catalog'!$F:$F,"&lt;="&amp;A147,'Hospital Catalog'!$H:$H,"Yes",'Hospital Catalog'!$D:$D,"*public*") + COUNTIFS('Hospital Catalog'!$E:$E,B147,'Hospital Catalog'!$F:$F,"&lt;="&amp;A147,'Hospital Catalog'!$H:$H,"Yes",'Hospital Catalog'!$D:$D,"IMSS public") + COUNTIFS('Hospital Catalog'!$E:$E,B147,'Hospital Catalog'!$F:$F,"&lt;="&amp;A147,'Hospital Catalog'!$H:$H,"Yes",'Hospital Catalog'!$D:$D,"ISSSTE public")</x:f>
        <x:v>0</x:v>
      </x:c>
      <x:c r="G147" s="22" t="n">
        <x:f>IFERROR(F147/C147*100000,"")</x:f>
        <x:v>0</x:v>
      </x:c>
      <x:c r="H147" s="18" t="n">
        <x:f>COUNTIFS('Hospital Catalog'!$E:$E,B147,'Hospital Catalog'!$F:$F,"&lt;="&amp;A147,'Hospital Catalog'!$H:$H,"Yes",'Hospital Catalog'!$K:$K,"High") + COUNTIFS('Hospital Catalog'!$E:$E,B147,'Hospital Catalog'!$F:$F,"&lt;="&amp;A147,'Hospital Catalog'!$H:$H,"Yes",'Hospital Catalog'!$K:$K,"Medium")</x:f>
        <x:v>0</x:v>
      </x:c>
      <x:c r="I147" s="22" t="n">
        <x:f>IFERROR(H147/C147*100000,"")</x:f>
        <x:v>0</x:v>
      </x:c>
      <x:c r="J147" s="16" t="str"/>
    </x:row>
    <x:row r="148">
      <x:c r="A148" s="16" t="n">
        <x:v>1950</x:v>
      </x:c>
      <x:c r="B148" s="16" t="str">
        <x:v>Benito Juárez</x:v>
      </x:c>
      <x:c r="C148" s="20" t="n">
        <x:f>INDEX(Population!$B$2:$R$17,MATCH(B148,Population!$A$2:$A$17,0),MATCH(A148,Population!$B$1:$R$1,0))</x:f>
        <x:v>469100</x:v>
      </x:c>
      <x:c r="D148" s="18" t="n">
        <x:f>COUNTIFS('Hospital Catalog'!$E:$E,B148,'Hospital Catalog'!$F:$F,"&lt;="&amp;A148,'Hospital Catalog'!$H:$H,"Yes")</x:f>
        <x:v>0</x:v>
      </x:c>
      <x:c r="E148" s="22" t="n">
        <x:f>IFERROR(D148/C148*100000,"")</x:f>
        <x:v>0</x:v>
      </x:c>
      <x:c r="F148" s="18" t="n">
        <x:f>COUNTIFS('Hospital Catalog'!$E:$E,B148,'Hospital Catalog'!$F:$F,"&lt;="&amp;A148,'Hospital Catalog'!$H:$H,"Yes",'Hospital Catalog'!$D:$D,"*public*") + COUNTIFS('Hospital Catalog'!$E:$E,B148,'Hospital Catalog'!$F:$F,"&lt;="&amp;A148,'Hospital Catalog'!$H:$H,"Yes",'Hospital Catalog'!$D:$D,"IMSS public") + COUNTIFS('Hospital Catalog'!$E:$E,B148,'Hospital Catalog'!$F:$F,"&lt;="&amp;A148,'Hospital Catalog'!$H:$H,"Yes",'Hospital Catalog'!$D:$D,"ISSSTE public")</x:f>
        <x:v>0</x:v>
      </x:c>
      <x:c r="G148" s="22" t="n">
        <x:f>IFERROR(F148/C148*100000,"")</x:f>
        <x:v>0</x:v>
      </x:c>
      <x:c r="H148" s="18" t="n">
        <x:f>COUNTIFS('Hospital Catalog'!$E:$E,B148,'Hospital Catalog'!$F:$F,"&lt;="&amp;A148,'Hospital Catalog'!$H:$H,"Yes",'Hospital Catalog'!$K:$K,"High") + COUNTIFS('Hospital Catalog'!$E:$E,B148,'Hospital Catalog'!$F:$F,"&lt;="&amp;A148,'Hospital Catalog'!$H:$H,"Yes",'Hospital Catalog'!$K:$K,"Medium")</x:f>
        <x:v>0</x:v>
      </x:c>
      <x:c r="I148" s="22" t="n">
        <x:f>IFERROR(H148/C148*100000,"")</x:f>
        <x:v>0</x:v>
      </x:c>
      <x:c r="J148" s="16" t="str"/>
    </x:row>
    <x:row r="149">
      <x:c r="A149" s="16" t="n">
        <x:v>1950</x:v>
      </x:c>
      <x:c r="B149" s="16" t="str">
        <x:v>Coyoacán</x:v>
      </x:c>
      <x:c r="C149" s="20" t="n">
        <x:f>INDEX(Population!$B$2:$R$17,MATCH(B149,Population!$A$2:$A$17,0),MATCH(A149,Population!$B$1:$R$1,0))</x:f>
        <x:v>70005</x:v>
      </x:c>
      <x:c r="D149" s="18" t="n">
        <x:f>COUNTIFS('Hospital Catalog'!$E:$E,B149,'Hospital Catalog'!$F:$F,"&lt;="&amp;A149,'Hospital Catalog'!$H:$H,"Yes")</x:f>
        <x:v>1</x:v>
      </x:c>
      <x:c r="E149" s="22" t="n">
        <x:f>IFERROR(D149/C149*100000,"")</x:f>
        <x:v>1.4284693950432112</x:v>
      </x:c>
      <x:c r="F149" s="18" t="n">
        <x:f>COUNTIFS('Hospital Catalog'!$E:$E,B149,'Hospital Catalog'!$F:$F,"&lt;="&amp;A149,'Hospital Catalog'!$H:$H,"Yes",'Hospital Catalog'!$D:$D,"*public*") + COUNTIFS('Hospital Catalog'!$E:$E,B149,'Hospital Catalog'!$F:$F,"&lt;="&amp;A149,'Hospital Catalog'!$H:$H,"Yes",'Hospital Catalog'!$D:$D,"IMSS public") + COUNTIFS('Hospital Catalog'!$E:$E,B149,'Hospital Catalog'!$F:$F,"&lt;="&amp;A149,'Hospital Catalog'!$H:$H,"Yes",'Hospital Catalog'!$D:$D,"ISSSTE public")</x:f>
        <x:v>0</x:v>
      </x:c>
      <x:c r="G149" s="22" t="n">
        <x:f>IFERROR(F149/C149*100000,"")</x:f>
        <x:v>0</x:v>
      </x:c>
      <x:c r="H149" s="18" t="n">
        <x:f>COUNTIFS('Hospital Catalog'!$E:$E,B149,'Hospital Catalog'!$F:$F,"&lt;="&amp;A149,'Hospital Catalog'!$H:$H,"Yes",'Hospital Catalog'!$K:$K,"High") + COUNTIFS('Hospital Catalog'!$E:$E,B149,'Hospital Catalog'!$F:$F,"&lt;="&amp;A149,'Hospital Catalog'!$H:$H,"Yes",'Hospital Catalog'!$K:$K,"Medium")</x:f>
        <x:v>1</x:v>
      </x:c>
      <x:c r="I149" s="22" t="n">
        <x:f>IFERROR(H149/C149*100000,"")</x:f>
        <x:v>1.4284693950432112</x:v>
      </x:c>
      <x:c r="J149" s="16" t="str"/>
    </x:row>
    <x:row r="150">
      <x:c r="A150" s="16" t="n">
        <x:v>1950</x:v>
      </x:c>
      <x:c r="B150" s="16" t="str">
        <x:v>Cuajimalpa de Morelos</x:v>
      </x:c>
      <x:c r="C150" s="20" t="n">
        <x:f>INDEX(Population!$B$2:$R$17,MATCH(B150,Population!$A$2:$A$17,0),MATCH(A150,Population!$B$1:$R$1,0))</x:f>
        <x:v>9676</x:v>
      </x:c>
      <x:c r="D150" s="18" t="n">
        <x:f>COUNTIFS('Hospital Catalog'!$E:$E,B150,'Hospital Catalog'!$F:$F,"&lt;="&amp;A150,'Hospital Catalog'!$H:$H,"Yes")</x:f>
        <x:v>0</x:v>
      </x:c>
      <x:c r="E150" s="22" t="n">
        <x:f>IFERROR(D150/C150*100000,"")</x:f>
        <x:v>0</x:v>
      </x:c>
      <x:c r="F150" s="18" t="n">
        <x:f>COUNTIFS('Hospital Catalog'!$E:$E,B150,'Hospital Catalog'!$F:$F,"&lt;="&amp;A150,'Hospital Catalog'!$H:$H,"Yes",'Hospital Catalog'!$D:$D,"*public*") + COUNTIFS('Hospital Catalog'!$E:$E,B150,'Hospital Catalog'!$F:$F,"&lt;="&amp;A150,'Hospital Catalog'!$H:$H,"Yes",'Hospital Catalog'!$D:$D,"IMSS public") + COUNTIFS('Hospital Catalog'!$E:$E,B150,'Hospital Catalog'!$F:$F,"&lt;="&amp;A150,'Hospital Catalog'!$H:$H,"Yes",'Hospital Catalog'!$D:$D,"ISSSTE public")</x:f>
        <x:v>0</x:v>
      </x:c>
      <x:c r="G150" s="22" t="n">
        <x:f>IFERROR(F150/C150*100000,"")</x:f>
        <x:v>0</x:v>
      </x:c>
      <x:c r="H150" s="18" t="n">
        <x:f>COUNTIFS('Hospital Catalog'!$E:$E,B150,'Hospital Catalog'!$F:$F,"&lt;="&amp;A150,'Hospital Catalog'!$H:$H,"Yes",'Hospital Catalog'!$K:$K,"High") + COUNTIFS('Hospital Catalog'!$E:$E,B150,'Hospital Catalog'!$F:$F,"&lt;="&amp;A150,'Hospital Catalog'!$H:$H,"Yes",'Hospital Catalog'!$K:$K,"Medium")</x:f>
        <x:v>0</x:v>
      </x:c>
      <x:c r="I150" s="22" t="n">
        <x:f>IFERROR(H150/C150*100000,"")</x:f>
        <x:v>0</x:v>
      </x:c>
      <x:c r="J150" s="16" t="str"/>
    </x:row>
    <x:row r="151">
      <x:c r="A151" s="16" t="n">
        <x:v>1950</x:v>
      </x:c>
      <x:c r="B151" s="16" t="str">
        <x:v>Cuauhtémoc</x:v>
      </x:c>
      <x:c r="C151" s="20" t="n">
        <x:f>INDEX(Population!$B$2:$R$17,MATCH(B151,Population!$A$2:$A$17,0),MATCH(A151,Population!$B$1:$R$1,0))</x:f>
        <x:v>701635</x:v>
      </x:c>
      <x:c r="D151" s="18" t="n">
        <x:f>COUNTIFS('Hospital Catalog'!$E:$E,B151,'Hospital Catalog'!$F:$F,"&lt;="&amp;A151,'Hospital Catalog'!$H:$H,"Yes")</x:f>
        <x:v>3</x:v>
      </x:c>
      <x:c r="E151" s="22" t="n">
        <x:f>IFERROR(D151/C151*100000,"")</x:f>
        <x:v>0.4275727408125307</x:v>
      </x:c>
      <x:c r="F151" s="18" t="n">
        <x:f>COUNTIFS('Hospital Catalog'!$E:$E,B151,'Hospital Catalog'!$F:$F,"&lt;="&amp;A151,'Hospital Catalog'!$H:$H,"Yes",'Hospital Catalog'!$D:$D,"*public*") + COUNTIFS('Hospital Catalog'!$E:$E,B151,'Hospital Catalog'!$F:$F,"&lt;="&amp;A151,'Hospital Catalog'!$H:$H,"Yes",'Hospital Catalog'!$D:$D,"IMSS public") + COUNTIFS('Hospital Catalog'!$E:$E,B151,'Hospital Catalog'!$F:$F,"&lt;="&amp;A151,'Hospital Catalog'!$H:$H,"Yes",'Hospital Catalog'!$D:$D,"ISSSTE public")</x:f>
        <x:v>0</x:v>
      </x:c>
      <x:c r="G151" s="22" t="n">
        <x:f>IFERROR(F151/C151*100000,"")</x:f>
        <x:v>0</x:v>
      </x:c>
      <x:c r="H151" s="18" t="n">
        <x:f>COUNTIFS('Hospital Catalog'!$E:$E,B151,'Hospital Catalog'!$F:$F,"&lt;="&amp;A151,'Hospital Catalog'!$H:$H,"Yes",'Hospital Catalog'!$K:$K,"High") + COUNTIFS('Hospital Catalog'!$E:$E,B151,'Hospital Catalog'!$F:$F,"&lt;="&amp;A151,'Hospital Catalog'!$H:$H,"Yes",'Hospital Catalog'!$K:$K,"Medium")</x:f>
        <x:v>3</x:v>
      </x:c>
      <x:c r="I151" s="22" t="n">
        <x:f>IFERROR(H151/C151*100000,"")</x:f>
        <x:v>0.4275727408125307</x:v>
      </x:c>
      <x:c r="J151" s="16" t="str"/>
    </x:row>
    <x:row r="152">
      <x:c r="A152" s="16" t="n">
        <x:v>1950</x:v>
      </x:c>
      <x:c r="B152" s="16" t="str">
        <x:v>Gustavo A. Madero</x:v>
      </x:c>
      <x:c r="C152" s="20" t="n">
        <x:f>INDEX(Population!$B$2:$R$17,MATCH(B152,Population!$A$2:$A$17,0),MATCH(A152,Population!$B$1:$R$1,0))</x:f>
        <x:v>204833</x:v>
      </x:c>
      <x:c r="D152" s="18" t="n">
        <x:f>COUNTIFS('Hospital Catalog'!$E:$E,B152,'Hospital Catalog'!$F:$F,"&lt;="&amp;A152,'Hospital Catalog'!$H:$H,"Yes")</x:f>
        <x:v>1</x:v>
      </x:c>
      <x:c r="E152" s="22" t="n">
        <x:f>IFERROR(D152/C152*100000,"")</x:f>
        <x:v>0.48820258454448257</x:v>
      </x:c>
      <x:c r="F152" s="18" t="n">
        <x:f>COUNTIFS('Hospital Catalog'!$E:$E,B152,'Hospital Catalog'!$F:$F,"&lt;="&amp;A152,'Hospital Catalog'!$H:$H,"Yes",'Hospital Catalog'!$D:$D,"*public*") + COUNTIFS('Hospital Catalog'!$E:$E,B152,'Hospital Catalog'!$F:$F,"&lt;="&amp;A152,'Hospital Catalog'!$H:$H,"Yes",'Hospital Catalog'!$D:$D,"IMSS public") + COUNTIFS('Hospital Catalog'!$E:$E,B152,'Hospital Catalog'!$F:$F,"&lt;="&amp;A152,'Hospital Catalog'!$H:$H,"Yes",'Hospital Catalog'!$D:$D,"ISSSTE public")</x:f>
        <x:v>0</x:v>
      </x:c>
      <x:c r="G152" s="22" t="n">
        <x:f>IFERROR(F152/C152*100000,"")</x:f>
        <x:v>0</x:v>
      </x:c>
      <x:c r="H152" s="18" t="n">
        <x:f>COUNTIFS('Hospital Catalog'!$E:$E,B152,'Hospital Catalog'!$F:$F,"&lt;="&amp;A152,'Hospital Catalog'!$H:$H,"Yes",'Hospital Catalog'!$K:$K,"High") + COUNTIFS('Hospital Catalog'!$E:$E,B152,'Hospital Catalog'!$F:$F,"&lt;="&amp;A152,'Hospital Catalog'!$H:$H,"Yes",'Hospital Catalog'!$K:$K,"Medium")</x:f>
        <x:v>0</x:v>
      </x:c>
      <x:c r="I152" s="22" t="n">
        <x:f>IFERROR(H152/C152*100000,"")</x:f>
        <x:v>0</x:v>
      </x:c>
      <x:c r="J152" s="16" t="str"/>
    </x:row>
    <x:row r="153">
      <x:c r="A153" s="16" t="n">
        <x:v>1950</x:v>
      </x:c>
      <x:c r="B153" s="16" t="str">
        <x:v>Iztacalco</x:v>
      </x:c>
      <x:c r="C153" s="20" t="n">
        <x:f>INDEX(Population!$B$2:$R$17,MATCH(B153,Population!$A$2:$A$17,0),MATCH(A153,Population!$B$1:$R$1,0))</x:f>
        <x:v>33945</x:v>
      </x:c>
      <x:c r="D153" s="18" t="n">
        <x:f>COUNTIFS('Hospital Catalog'!$E:$E,B153,'Hospital Catalog'!$F:$F,"&lt;="&amp;A153,'Hospital Catalog'!$H:$H,"Yes")</x:f>
        <x:v>0</x:v>
      </x:c>
      <x:c r="E153" s="22" t="n">
        <x:f>IFERROR(D153/C153*100000,"")</x:f>
        <x:v>0</x:v>
      </x:c>
      <x:c r="F153" s="18" t="n">
        <x:f>COUNTIFS('Hospital Catalog'!$E:$E,B153,'Hospital Catalog'!$F:$F,"&lt;="&amp;A153,'Hospital Catalog'!$H:$H,"Yes",'Hospital Catalog'!$D:$D,"*public*") + COUNTIFS('Hospital Catalog'!$E:$E,B153,'Hospital Catalog'!$F:$F,"&lt;="&amp;A153,'Hospital Catalog'!$H:$H,"Yes",'Hospital Catalog'!$D:$D,"IMSS public") + COUNTIFS('Hospital Catalog'!$E:$E,B153,'Hospital Catalog'!$F:$F,"&lt;="&amp;A153,'Hospital Catalog'!$H:$H,"Yes",'Hospital Catalog'!$D:$D,"ISSSTE public")</x:f>
        <x:v>0</x:v>
      </x:c>
      <x:c r="G153" s="22" t="n">
        <x:f>IFERROR(F153/C153*100000,"")</x:f>
        <x:v>0</x:v>
      </x:c>
      <x:c r="H153" s="18" t="n">
        <x:f>COUNTIFS('Hospital Catalog'!$E:$E,B153,'Hospital Catalog'!$F:$F,"&lt;="&amp;A153,'Hospital Catalog'!$H:$H,"Yes",'Hospital Catalog'!$K:$K,"High") + COUNTIFS('Hospital Catalog'!$E:$E,B153,'Hospital Catalog'!$F:$F,"&lt;="&amp;A153,'Hospital Catalog'!$H:$H,"Yes",'Hospital Catalog'!$K:$K,"Medium")</x:f>
        <x:v>0</x:v>
      </x:c>
      <x:c r="I153" s="22" t="n">
        <x:f>IFERROR(H153/C153*100000,"")</x:f>
        <x:v>0</x:v>
      </x:c>
      <x:c r="J153" s="16" t="str"/>
    </x:row>
    <x:row r="154">
      <x:c r="A154" s="16" t="n">
        <x:v>1950</x:v>
      </x:c>
      <x:c r="B154" s="16" t="str">
        <x:v>Iztapalapa</x:v>
      </x:c>
      <x:c r="C154" s="20" t="n">
        <x:f>INDEX(Population!$B$2:$R$17,MATCH(B154,Population!$A$2:$A$17,0),MATCH(A154,Population!$B$1:$R$1,0))</x:f>
        <x:v>76621</x:v>
      </x:c>
      <x:c r="D154" s="18" t="n">
        <x:f>COUNTIFS('Hospital Catalog'!$E:$E,B154,'Hospital Catalog'!$F:$F,"&lt;="&amp;A154,'Hospital Catalog'!$H:$H,"Yes")</x:f>
        <x:v>0</x:v>
      </x:c>
      <x:c r="E154" s="22" t="n">
        <x:f>IFERROR(D154/C154*100000,"")</x:f>
        <x:v>0</x:v>
      </x:c>
      <x:c r="F154" s="18" t="n">
        <x:f>COUNTIFS('Hospital Catalog'!$E:$E,B154,'Hospital Catalog'!$F:$F,"&lt;="&amp;A154,'Hospital Catalog'!$H:$H,"Yes",'Hospital Catalog'!$D:$D,"*public*") + COUNTIFS('Hospital Catalog'!$E:$E,B154,'Hospital Catalog'!$F:$F,"&lt;="&amp;A154,'Hospital Catalog'!$H:$H,"Yes",'Hospital Catalog'!$D:$D,"IMSS public") + COUNTIFS('Hospital Catalog'!$E:$E,B154,'Hospital Catalog'!$F:$F,"&lt;="&amp;A154,'Hospital Catalog'!$H:$H,"Yes",'Hospital Catalog'!$D:$D,"ISSSTE public")</x:f>
        <x:v>0</x:v>
      </x:c>
      <x:c r="G154" s="22" t="n">
        <x:f>IFERROR(F154/C154*100000,"")</x:f>
        <x:v>0</x:v>
      </x:c>
      <x:c r="H154" s="18" t="n">
        <x:f>COUNTIFS('Hospital Catalog'!$E:$E,B154,'Hospital Catalog'!$F:$F,"&lt;="&amp;A154,'Hospital Catalog'!$H:$H,"Yes",'Hospital Catalog'!$K:$K,"High") + COUNTIFS('Hospital Catalog'!$E:$E,B154,'Hospital Catalog'!$F:$F,"&lt;="&amp;A154,'Hospital Catalog'!$H:$H,"Yes",'Hospital Catalog'!$K:$K,"Medium")</x:f>
        <x:v>0</x:v>
      </x:c>
      <x:c r="I154" s="22" t="n">
        <x:f>IFERROR(H154/C154*100000,"")</x:f>
        <x:v>0</x:v>
      </x:c>
      <x:c r="J154" s="16" t="str"/>
    </x:row>
    <x:row r="155">
      <x:c r="A155" s="16" t="n">
        <x:v>1950</x:v>
      </x:c>
      <x:c r="B155" s="16" t="str">
        <x:v>La Magdalena Contreras</x:v>
      </x:c>
      <x:c r="C155" s="20" t="n">
        <x:f>INDEX(Population!$B$2:$R$17,MATCH(B155,Population!$A$2:$A$17,0),MATCH(A155,Population!$B$1:$R$1,0))</x:f>
        <x:v>21955</x:v>
      </x:c>
      <x:c r="D155" s="18" t="n">
        <x:f>COUNTIFS('Hospital Catalog'!$E:$E,B155,'Hospital Catalog'!$F:$F,"&lt;="&amp;A155,'Hospital Catalog'!$H:$H,"Yes")</x:f>
        <x:v>0</x:v>
      </x:c>
      <x:c r="E155" s="22" t="n">
        <x:f>IFERROR(D155/C155*100000,"")</x:f>
        <x:v>0</x:v>
      </x:c>
      <x:c r="F155" s="18" t="n">
        <x:f>COUNTIFS('Hospital Catalog'!$E:$E,B155,'Hospital Catalog'!$F:$F,"&lt;="&amp;A155,'Hospital Catalog'!$H:$H,"Yes",'Hospital Catalog'!$D:$D,"*public*") + COUNTIFS('Hospital Catalog'!$E:$E,B155,'Hospital Catalog'!$F:$F,"&lt;="&amp;A155,'Hospital Catalog'!$H:$H,"Yes",'Hospital Catalog'!$D:$D,"IMSS public") + COUNTIFS('Hospital Catalog'!$E:$E,B155,'Hospital Catalog'!$F:$F,"&lt;="&amp;A155,'Hospital Catalog'!$H:$H,"Yes",'Hospital Catalog'!$D:$D,"ISSSTE public")</x:f>
        <x:v>0</x:v>
      </x:c>
      <x:c r="G155" s="22" t="n">
        <x:f>IFERROR(F155/C155*100000,"")</x:f>
        <x:v>0</x:v>
      </x:c>
      <x:c r="H155" s="18" t="n">
        <x:f>COUNTIFS('Hospital Catalog'!$E:$E,B155,'Hospital Catalog'!$F:$F,"&lt;="&amp;A155,'Hospital Catalog'!$H:$H,"Yes",'Hospital Catalog'!$K:$K,"High") + COUNTIFS('Hospital Catalog'!$E:$E,B155,'Hospital Catalog'!$F:$F,"&lt;="&amp;A155,'Hospital Catalog'!$H:$H,"Yes",'Hospital Catalog'!$K:$K,"Medium")</x:f>
        <x:v>0</x:v>
      </x:c>
      <x:c r="I155" s="22" t="n">
        <x:f>IFERROR(H155/C155*100000,"")</x:f>
        <x:v>0</x:v>
      </x:c>
      <x:c r="J155" s="16" t="str"/>
    </x:row>
    <x:row r="156">
      <x:c r="A156" s="16" t="n">
        <x:v>1950</x:v>
      </x:c>
      <x:c r="B156" s="16" t="str">
        <x:v>Miguel Hidalgo</x:v>
      </x:c>
      <x:c r="C156" s="20" t="n">
        <x:f>INDEX(Population!$B$2:$R$17,MATCH(B156,Population!$A$2:$A$17,0),MATCH(A156,Population!$B$1:$R$1,0))</x:f>
        <x:v>467533</x:v>
      </x:c>
      <x:c r="D156" s="18" t="n">
        <x:f>COUNTIFS('Hospital Catalog'!$E:$E,B156,'Hospital Catalog'!$F:$F,"&lt;="&amp;A156,'Hospital Catalog'!$H:$H,"Yes")</x:f>
        <x:v>2</x:v>
      </x:c>
      <x:c r="E156" s="22" t="n">
        <x:f>IFERROR(D156/C156*100000,"")</x:f>
        <x:v>0.4277772905869746</x:v>
      </x:c>
      <x:c r="F156" s="18" t="n">
        <x:f>COUNTIFS('Hospital Catalog'!$E:$E,B156,'Hospital Catalog'!$F:$F,"&lt;="&amp;A156,'Hospital Catalog'!$H:$H,"Yes",'Hospital Catalog'!$D:$D,"*public*") + COUNTIFS('Hospital Catalog'!$E:$E,B156,'Hospital Catalog'!$F:$F,"&lt;="&amp;A156,'Hospital Catalog'!$H:$H,"Yes",'Hospital Catalog'!$D:$D,"IMSS public") + COUNTIFS('Hospital Catalog'!$E:$E,B156,'Hospital Catalog'!$F:$F,"&lt;="&amp;A156,'Hospital Catalog'!$H:$H,"Yes",'Hospital Catalog'!$D:$D,"ISSSTE public")</x:f>
        <x:v>0</x:v>
      </x:c>
      <x:c r="G156" s="22" t="n">
        <x:f>IFERROR(F156/C156*100000,"")</x:f>
        <x:v>0</x:v>
      </x:c>
      <x:c r="H156" s="18" t="n">
        <x:f>COUNTIFS('Hospital Catalog'!$E:$E,B156,'Hospital Catalog'!$F:$F,"&lt;="&amp;A156,'Hospital Catalog'!$H:$H,"Yes",'Hospital Catalog'!$K:$K,"High") + COUNTIFS('Hospital Catalog'!$E:$E,B156,'Hospital Catalog'!$F:$F,"&lt;="&amp;A156,'Hospital Catalog'!$H:$H,"Yes",'Hospital Catalog'!$K:$K,"Medium")</x:f>
        <x:v>2</x:v>
      </x:c>
      <x:c r="I156" s="22" t="n">
        <x:f>IFERROR(H156/C156*100000,"")</x:f>
        <x:v>0.4277772905869746</x:v>
      </x:c>
      <x:c r="J156" s="16" t="str"/>
    </x:row>
    <x:row r="157">
      <x:c r="A157" s="16" t="n">
        <x:v>1950</x:v>
      </x:c>
      <x:c r="B157" s="16" t="str">
        <x:v>Milpa Alta</x:v>
      </x:c>
      <x:c r="C157" s="20" t="n">
        <x:f>INDEX(Population!$B$2:$R$17,MATCH(B157,Population!$A$2:$A$17,0),MATCH(A157,Population!$B$1:$R$1,0))</x:f>
        <x:v>18212</x:v>
      </x:c>
      <x:c r="D157" s="18" t="n">
        <x:f>COUNTIFS('Hospital Catalog'!$E:$E,B157,'Hospital Catalog'!$F:$F,"&lt;="&amp;A157,'Hospital Catalog'!$H:$H,"Yes")</x:f>
        <x:v>0</x:v>
      </x:c>
      <x:c r="E157" s="22" t="n">
        <x:f>IFERROR(D157/C157*100000,"")</x:f>
        <x:v>0</x:v>
      </x:c>
      <x:c r="F157" s="18" t="n">
        <x:f>COUNTIFS('Hospital Catalog'!$E:$E,B157,'Hospital Catalog'!$F:$F,"&lt;="&amp;A157,'Hospital Catalog'!$H:$H,"Yes",'Hospital Catalog'!$D:$D,"*public*") + COUNTIFS('Hospital Catalog'!$E:$E,B157,'Hospital Catalog'!$F:$F,"&lt;="&amp;A157,'Hospital Catalog'!$H:$H,"Yes",'Hospital Catalog'!$D:$D,"IMSS public") + COUNTIFS('Hospital Catalog'!$E:$E,B157,'Hospital Catalog'!$F:$F,"&lt;="&amp;A157,'Hospital Catalog'!$H:$H,"Yes",'Hospital Catalog'!$D:$D,"ISSSTE public")</x:f>
        <x:v>0</x:v>
      </x:c>
      <x:c r="G157" s="22" t="n">
        <x:f>IFERROR(F157/C157*100000,"")</x:f>
        <x:v>0</x:v>
      </x:c>
      <x:c r="H157" s="18" t="n">
        <x:f>COUNTIFS('Hospital Catalog'!$E:$E,B157,'Hospital Catalog'!$F:$F,"&lt;="&amp;A157,'Hospital Catalog'!$H:$H,"Yes",'Hospital Catalog'!$K:$K,"High") + COUNTIFS('Hospital Catalog'!$E:$E,B157,'Hospital Catalog'!$F:$F,"&lt;="&amp;A157,'Hospital Catalog'!$H:$H,"Yes",'Hospital Catalog'!$K:$K,"Medium")</x:f>
        <x:v>0</x:v>
      </x:c>
      <x:c r="I157" s="22" t="n">
        <x:f>IFERROR(H157/C157*100000,"")</x:f>
        <x:v>0</x:v>
      </x:c>
      <x:c r="J157" s="16" t="str"/>
    </x:row>
    <x:row r="158">
      <x:c r="A158" s="16" t="n">
        <x:v>1950</x:v>
      </x:c>
      <x:c r="B158" s="16" t="str">
        <x:v>Tláhuac</x:v>
      </x:c>
      <x:c r="C158" s="20" t="n">
        <x:f>INDEX(Population!$B$2:$R$17,MATCH(B158,Population!$A$2:$A$17,0),MATCH(A158,Population!$B$1:$R$1,0))</x:f>
        <x:v>19511</x:v>
      </x:c>
      <x:c r="D158" s="18" t="n">
        <x:f>COUNTIFS('Hospital Catalog'!$E:$E,B158,'Hospital Catalog'!$F:$F,"&lt;="&amp;A158,'Hospital Catalog'!$H:$H,"Yes")</x:f>
        <x:v>0</x:v>
      </x:c>
      <x:c r="E158" s="22" t="n">
        <x:f>IFERROR(D158/C158*100000,"")</x:f>
        <x:v>0</x:v>
      </x:c>
      <x:c r="F158" s="18" t="n">
        <x:f>COUNTIFS('Hospital Catalog'!$E:$E,B158,'Hospital Catalog'!$F:$F,"&lt;="&amp;A158,'Hospital Catalog'!$H:$H,"Yes",'Hospital Catalog'!$D:$D,"*public*") + COUNTIFS('Hospital Catalog'!$E:$E,B158,'Hospital Catalog'!$F:$F,"&lt;="&amp;A158,'Hospital Catalog'!$H:$H,"Yes",'Hospital Catalog'!$D:$D,"IMSS public") + COUNTIFS('Hospital Catalog'!$E:$E,B158,'Hospital Catalog'!$F:$F,"&lt;="&amp;A158,'Hospital Catalog'!$H:$H,"Yes",'Hospital Catalog'!$D:$D,"ISSSTE public")</x:f>
        <x:v>0</x:v>
      </x:c>
      <x:c r="G158" s="22" t="n">
        <x:f>IFERROR(F158/C158*100000,"")</x:f>
        <x:v>0</x:v>
      </x:c>
      <x:c r="H158" s="18" t="n">
        <x:f>COUNTIFS('Hospital Catalog'!$E:$E,B158,'Hospital Catalog'!$F:$F,"&lt;="&amp;A158,'Hospital Catalog'!$H:$H,"Yes",'Hospital Catalog'!$K:$K,"High") + COUNTIFS('Hospital Catalog'!$E:$E,B158,'Hospital Catalog'!$F:$F,"&lt;="&amp;A158,'Hospital Catalog'!$H:$H,"Yes",'Hospital Catalog'!$K:$K,"Medium")</x:f>
        <x:v>0</x:v>
      </x:c>
      <x:c r="I158" s="22" t="n">
        <x:f>IFERROR(H158/C158*100000,"")</x:f>
        <x:v>0</x:v>
      </x:c>
      <x:c r="J158" s="16" t="str"/>
    </x:row>
    <x:row r="159">
      <x:c r="A159" s="16" t="n">
        <x:v>1950</x:v>
      </x:c>
      <x:c r="B159" s="16" t="str">
        <x:v>Tlalpan</x:v>
      </x:c>
      <x:c r="C159" s="20" t="n">
        <x:f>INDEX(Population!$B$2:$R$17,MATCH(B159,Population!$A$2:$A$17,0),MATCH(A159,Population!$B$1:$R$1,0))</x:f>
        <x:v>32767</x:v>
      </x:c>
      <x:c r="D159" s="18" t="n">
        <x:f>COUNTIFS('Hospital Catalog'!$E:$E,B159,'Hospital Catalog'!$F:$F,"&lt;="&amp;A159,'Hospital Catalog'!$H:$H,"Yes")</x:f>
        <x:v>4</x:v>
      </x:c>
      <x:c r="E159" s="22" t="n">
        <x:f>IFERROR(D159/C159*100000,"")</x:f>
        <x:v>12.207403790398876</x:v>
      </x:c>
      <x:c r="F159" s="18" t="n">
        <x:f>COUNTIFS('Hospital Catalog'!$E:$E,B159,'Hospital Catalog'!$F:$F,"&lt;="&amp;A159,'Hospital Catalog'!$H:$H,"Yes",'Hospital Catalog'!$D:$D,"*public*") + COUNTIFS('Hospital Catalog'!$E:$E,B159,'Hospital Catalog'!$F:$F,"&lt;="&amp;A159,'Hospital Catalog'!$H:$H,"Yes",'Hospital Catalog'!$D:$D,"IMSS public") + COUNTIFS('Hospital Catalog'!$E:$E,B159,'Hospital Catalog'!$F:$F,"&lt;="&amp;A159,'Hospital Catalog'!$H:$H,"Yes",'Hospital Catalog'!$D:$D,"ISSSTE public")</x:f>
        <x:v>0</x:v>
      </x:c>
      <x:c r="G159" s="22" t="n">
        <x:f>IFERROR(F159/C159*100000,"")</x:f>
        <x:v>0</x:v>
      </x:c>
      <x:c r="H159" s="18" t="n">
        <x:f>COUNTIFS('Hospital Catalog'!$E:$E,B159,'Hospital Catalog'!$F:$F,"&lt;="&amp;A159,'Hospital Catalog'!$H:$H,"Yes",'Hospital Catalog'!$K:$K,"High") + COUNTIFS('Hospital Catalog'!$E:$E,B159,'Hospital Catalog'!$F:$F,"&lt;="&amp;A159,'Hospital Catalog'!$H:$H,"Yes",'Hospital Catalog'!$K:$K,"Medium")</x:f>
        <x:v>4</x:v>
      </x:c>
      <x:c r="I159" s="22" t="n">
        <x:f>IFERROR(H159/C159*100000,"")</x:f>
        <x:v>12.207403790398876</x:v>
      </x:c>
      <x:c r="J159" s="16" t="str"/>
    </x:row>
    <x:row r="160">
      <x:c r="A160" s="16" t="n">
        <x:v>1950</x:v>
      </x:c>
      <x:c r="B160" s="16" t="str">
        <x:v>Venustiano Carranza</x:v>
      </x:c>
      <x:c r="C160" s="20" t="n">
        <x:f>INDEX(Population!$B$2:$R$17,MATCH(B160,Population!$A$2:$A$17,0),MATCH(A160,Population!$B$1:$R$1,0))</x:f>
        <x:v>596528</x:v>
      </x:c>
      <x:c r="D160" s="18" t="n">
        <x:f>COUNTIFS('Hospital Catalog'!$E:$E,B160,'Hospital Catalog'!$F:$F,"&lt;="&amp;A160,'Hospital Catalog'!$H:$H,"Yes")</x:f>
        <x:v>0</x:v>
      </x:c>
      <x:c r="E160" s="22" t="n">
        <x:f>IFERROR(D160/C160*100000,"")</x:f>
        <x:v>0</x:v>
      </x:c>
      <x:c r="F160" s="18" t="n">
        <x:f>COUNTIFS('Hospital Catalog'!$E:$E,B160,'Hospital Catalog'!$F:$F,"&lt;="&amp;A160,'Hospital Catalog'!$H:$H,"Yes",'Hospital Catalog'!$D:$D,"*public*") + COUNTIFS('Hospital Catalog'!$E:$E,B160,'Hospital Catalog'!$F:$F,"&lt;="&amp;A160,'Hospital Catalog'!$H:$H,"Yes",'Hospital Catalog'!$D:$D,"IMSS public") + COUNTIFS('Hospital Catalog'!$E:$E,B160,'Hospital Catalog'!$F:$F,"&lt;="&amp;A160,'Hospital Catalog'!$H:$H,"Yes",'Hospital Catalog'!$D:$D,"ISSSTE public")</x:f>
        <x:v>0</x:v>
      </x:c>
      <x:c r="G160" s="22" t="n">
        <x:f>IFERROR(F160/C160*100000,"")</x:f>
        <x:v>0</x:v>
      </x:c>
      <x:c r="H160" s="18" t="n">
        <x:f>COUNTIFS('Hospital Catalog'!$E:$E,B160,'Hospital Catalog'!$F:$F,"&lt;="&amp;A160,'Hospital Catalog'!$H:$H,"Yes",'Hospital Catalog'!$K:$K,"High") + COUNTIFS('Hospital Catalog'!$E:$E,B160,'Hospital Catalog'!$F:$F,"&lt;="&amp;A160,'Hospital Catalog'!$H:$H,"Yes",'Hospital Catalog'!$K:$K,"Medium")</x:f>
        <x:v>0</x:v>
      </x:c>
      <x:c r="I160" s="22" t="n">
        <x:f>IFERROR(H160/C160*100000,"")</x:f>
        <x:v>0</x:v>
      </x:c>
      <x:c r="J160" s="16" t="str"/>
    </x:row>
    <x:row r="161">
      <x:c r="A161" s="16" t="n">
        <x:v>1950</x:v>
      </x:c>
      <x:c r="B161" s="16" t="str">
        <x:v>Xochimilco</x:v>
      </x:c>
      <x:c r="C161" s="20" t="n">
        <x:f>INDEX(Population!$B$2:$R$17,MATCH(B161,Population!$A$2:$A$17,0),MATCH(A161,Population!$B$1:$R$1,0))</x:f>
        <x:v>47082</x:v>
      </x:c>
      <x:c r="D161" s="18" t="n">
        <x:f>COUNTIFS('Hospital Catalog'!$E:$E,B161,'Hospital Catalog'!$F:$F,"&lt;="&amp;A161,'Hospital Catalog'!$H:$H,"Yes")</x:f>
        <x:v>0</x:v>
      </x:c>
      <x:c r="E161" s="22" t="n">
        <x:f>IFERROR(D161/C161*100000,"")</x:f>
        <x:v>0</x:v>
      </x:c>
      <x:c r="F161" s="18" t="n">
        <x:f>COUNTIFS('Hospital Catalog'!$E:$E,B161,'Hospital Catalog'!$F:$F,"&lt;="&amp;A161,'Hospital Catalog'!$H:$H,"Yes",'Hospital Catalog'!$D:$D,"*public*") + COUNTIFS('Hospital Catalog'!$E:$E,B161,'Hospital Catalog'!$F:$F,"&lt;="&amp;A161,'Hospital Catalog'!$H:$H,"Yes",'Hospital Catalog'!$D:$D,"IMSS public") + COUNTIFS('Hospital Catalog'!$E:$E,B161,'Hospital Catalog'!$F:$F,"&lt;="&amp;A161,'Hospital Catalog'!$H:$H,"Yes",'Hospital Catalog'!$D:$D,"ISSSTE public")</x:f>
        <x:v>0</x:v>
      </x:c>
      <x:c r="G161" s="22" t="n">
        <x:f>IFERROR(F161/C161*100000,"")</x:f>
        <x:v>0</x:v>
      </x:c>
      <x:c r="H161" s="18" t="n">
        <x:f>COUNTIFS('Hospital Catalog'!$E:$E,B161,'Hospital Catalog'!$F:$F,"&lt;="&amp;A161,'Hospital Catalog'!$H:$H,"Yes",'Hospital Catalog'!$K:$K,"High") + COUNTIFS('Hospital Catalog'!$E:$E,B161,'Hospital Catalog'!$F:$F,"&lt;="&amp;A161,'Hospital Catalog'!$H:$H,"Yes",'Hospital Catalog'!$K:$K,"Medium")</x:f>
        <x:v>0</x:v>
      </x:c>
      <x:c r="I161" s="22" t="n">
        <x:f>IFERROR(H161/C161*100000,"")</x:f>
        <x:v>0</x:v>
      </x:c>
      <x:c r="J161" s="16" t="str"/>
    </x:row>
    <x:row r="162">
      <x:c r="A162" s="16" t="n">
        <x:v>1960</x:v>
      </x:c>
      <x:c r="B162" s="16" t="str">
        <x:v>Álvaro Obregón</x:v>
      </x:c>
      <x:c r="C162" s="20" t="n">
        <x:f>INDEX(Population!$B$2:$R$17,MATCH(B162,Population!$A$2:$A$17,0),MATCH(A162,Population!$B$1:$R$1,0))</x:f>
        <x:v>220011</x:v>
      </x:c>
      <x:c r="D162" s="18" t="n">
        <x:f>COUNTIFS('Hospital Catalog'!$E:$E,B162,'Hospital Catalog'!$F:$F,"&lt;="&amp;A162,'Hospital Catalog'!$H:$H,"Yes")</x:f>
        <x:v>1</x:v>
      </x:c>
      <x:c r="E162" s="22" t="n">
        <x:f>IFERROR(D162/C162*100000,"")</x:f>
        <x:v>0.45452272840903407</x:v>
      </x:c>
      <x:c r="F162" s="18" t="n">
        <x:f>COUNTIFS('Hospital Catalog'!$E:$E,B162,'Hospital Catalog'!$F:$F,"&lt;="&amp;A162,'Hospital Catalog'!$H:$H,"Yes",'Hospital Catalog'!$D:$D,"*public*") + COUNTIFS('Hospital Catalog'!$E:$E,B162,'Hospital Catalog'!$F:$F,"&lt;="&amp;A162,'Hospital Catalog'!$H:$H,"Yes",'Hospital Catalog'!$D:$D,"IMSS public") + COUNTIFS('Hospital Catalog'!$E:$E,B162,'Hospital Catalog'!$F:$F,"&lt;="&amp;A162,'Hospital Catalog'!$H:$H,"Yes",'Hospital Catalog'!$D:$D,"ISSSTE public")</x:f>
        <x:v>0</x:v>
      </x:c>
      <x:c r="G162" s="22" t="n">
        <x:f>IFERROR(F162/C162*100000,"")</x:f>
        <x:v>0</x:v>
      </x:c>
      <x:c r="H162" s="18" t="n">
        <x:f>COUNTIFS('Hospital Catalog'!$E:$E,B162,'Hospital Catalog'!$F:$F,"&lt;="&amp;A162,'Hospital Catalog'!$H:$H,"Yes",'Hospital Catalog'!$K:$K,"High") + COUNTIFS('Hospital Catalog'!$E:$E,B162,'Hospital Catalog'!$F:$F,"&lt;="&amp;A162,'Hospital Catalog'!$H:$H,"Yes",'Hospital Catalog'!$K:$K,"Medium")</x:f>
        <x:v>1</x:v>
      </x:c>
      <x:c r="I162" s="22" t="n">
        <x:f>IFERROR(H162/C162*100000,"")</x:f>
        <x:v>0.45452272840903407</x:v>
      </x:c>
      <x:c r="J162" s="16" t="str"/>
    </x:row>
    <x:row r="163">
      <x:c r="A163" s="16" t="n">
        <x:v>1960</x:v>
      </x:c>
      <x:c r="B163" s="16" t="str">
        <x:v>Azcapotzalco</x:v>
      </x:c>
      <x:c r="C163" s="20" t="n">
        <x:f>INDEX(Population!$B$2:$R$17,MATCH(B163,Population!$A$2:$A$17,0),MATCH(A163,Population!$B$1:$R$1,0))</x:f>
        <x:v>370724</x:v>
      </x:c>
      <x:c r="D163" s="18" t="n">
        <x:f>COUNTIFS('Hospital Catalog'!$E:$E,B163,'Hospital Catalog'!$F:$F,"&lt;="&amp;A163,'Hospital Catalog'!$H:$H,"Yes")</x:f>
        <x:v>2</x:v>
      </x:c>
      <x:c r="E163" s="22" t="n">
        <x:f>IFERROR(D163/C163*100000,"")</x:f>
        <x:v>0.5394848998176541</x:v>
      </x:c>
      <x:c r="F163" s="18" t="n">
        <x:f>COUNTIFS('Hospital Catalog'!$E:$E,B163,'Hospital Catalog'!$F:$F,"&lt;="&amp;A163,'Hospital Catalog'!$H:$H,"Yes",'Hospital Catalog'!$D:$D,"*public*") + COUNTIFS('Hospital Catalog'!$E:$E,B163,'Hospital Catalog'!$F:$F,"&lt;="&amp;A163,'Hospital Catalog'!$H:$H,"Yes",'Hospital Catalog'!$D:$D,"IMSS public") + COUNTIFS('Hospital Catalog'!$E:$E,B163,'Hospital Catalog'!$F:$F,"&lt;="&amp;A163,'Hospital Catalog'!$H:$H,"Yes",'Hospital Catalog'!$D:$D,"ISSSTE public")</x:f>
        <x:v>1</x:v>
      </x:c>
      <x:c r="G163" s="22" t="n">
        <x:f>IFERROR(F163/C163*100000,"")</x:f>
        <x:v>0.26974244990882706</x:v>
      </x:c>
      <x:c r="H163" s="18" t="n">
        <x:f>COUNTIFS('Hospital Catalog'!$E:$E,B163,'Hospital Catalog'!$F:$F,"&lt;="&amp;A163,'Hospital Catalog'!$H:$H,"Yes",'Hospital Catalog'!$K:$K,"High") + COUNTIFS('Hospital Catalog'!$E:$E,B163,'Hospital Catalog'!$F:$F,"&lt;="&amp;A163,'Hospital Catalog'!$H:$H,"Yes",'Hospital Catalog'!$K:$K,"Medium")</x:f>
        <x:v>2</x:v>
      </x:c>
      <x:c r="I163" s="22" t="n">
        <x:f>IFERROR(H163/C163*100000,"")</x:f>
        <x:v>0.5394848998176541</x:v>
      </x:c>
      <x:c r="J163" s="16" t="str"/>
    </x:row>
    <x:row r="164">
      <x:c r="A164" s="16" t="n">
        <x:v>1960</x:v>
      </x:c>
      <x:c r="B164" s="16" t="str">
        <x:v>Benito Juárez</x:v>
      </x:c>
      <x:c r="C164" s="20" t="n">
        <x:f>INDEX(Population!$B$2:$R$17,MATCH(B164,Population!$A$2:$A$17,0),MATCH(A164,Population!$B$1:$R$1,0))</x:f>
        <x:v>594485</x:v>
      </x:c>
      <x:c r="D164" s="18" t="n">
        <x:f>COUNTIFS('Hospital Catalog'!$E:$E,B164,'Hospital Catalog'!$F:$F,"&lt;="&amp;A164,'Hospital Catalog'!$H:$H,"Yes")</x:f>
        <x:v>0</x:v>
      </x:c>
      <x:c r="E164" s="22" t="n">
        <x:f>IFERROR(D164/C164*100000,"")</x:f>
        <x:v>0</x:v>
      </x:c>
      <x:c r="F164" s="18" t="n">
        <x:f>COUNTIFS('Hospital Catalog'!$E:$E,B164,'Hospital Catalog'!$F:$F,"&lt;="&amp;A164,'Hospital Catalog'!$H:$H,"Yes",'Hospital Catalog'!$D:$D,"*public*") + COUNTIFS('Hospital Catalog'!$E:$E,B164,'Hospital Catalog'!$F:$F,"&lt;="&amp;A164,'Hospital Catalog'!$H:$H,"Yes",'Hospital Catalog'!$D:$D,"IMSS public") + COUNTIFS('Hospital Catalog'!$E:$E,B164,'Hospital Catalog'!$F:$F,"&lt;="&amp;A164,'Hospital Catalog'!$H:$H,"Yes",'Hospital Catalog'!$D:$D,"ISSSTE public")</x:f>
        <x:v>0</x:v>
      </x:c>
      <x:c r="G164" s="22" t="n">
        <x:f>IFERROR(F164/C164*100000,"")</x:f>
        <x:v>0</x:v>
      </x:c>
      <x:c r="H164" s="18" t="n">
        <x:f>COUNTIFS('Hospital Catalog'!$E:$E,B164,'Hospital Catalog'!$F:$F,"&lt;="&amp;A164,'Hospital Catalog'!$H:$H,"Yes",'Hospital Catalog'!$K:$K,"High") + COUNTIFS('Hospital Catalog'!$E:$E,B164,'Hospital Catalog'!$F:$F,"&lt;="&amp;A164,'Hospital Catalog'!$H:$H,"Yes",'Hospital Catalog'!$K:$K,"Medium")</x:f>
        <x:v>0</x:v>
      </x:c>
      <x:c r="I164" s="22" t="n">
        <x:f>IFERROR(H164/C164*100000,"")</x:f>
        <x:v>0</x:v>
      </x:c>
      <x:c r="J164" s="16" t="str"/>
    </x:row>
    <x:row r="165">
      <x:c r="A165" s="16" t="n">
        <x:v>1960</x:v>
      </x:c>
      <x:c r="B165" s="16" t="str">
        <x:v>Coyoacán</x:v>
      </x:c>
      <x:c r="C165" s="20" t="n">
        <x:f>INDEX(Population!$B$2:$R$17,MATCH(B165,Population!$A$2:$A$17,0),MATCH(A165,Population!$B$1:$R$1,0))</x:f>
        <x:v>169811</x:v>
      </x:c>
      <x:c r="D165" s="18" t="n">
        <x:f>COUNTIFS('Hospital Catalog'!$E:$E,B165,'Hospital Catalog'!$F:$F,"&lt;="&amp;A165,'Hospital Catalog'!$H:$H,"Yes")</x:f>
        <x:v>1</x:v>
      </x:c>
      <x:c r="E165" s="22" t="n">
        <x:f>IFERROR(D165/C165*100000,"")</x:f>
        <x:v>0.588890001236669</x:v>
      </x:c>
      <x:c r="F165" s="18" t="n">
        <x:f>COUNTIFS('Hospital Catalog'!$E:$E,B165,'Hospital Catalog'!$F:$F,"&lt;="&amp;A165,'Hospital Catalog'!$H:$H,"Yes",'Hospital Catalog'!$D:$D,"*public*") + COUNTIFS('Hospital Catalog'!$E:$E,B165,'Hospital Catalog'!$F:$F,"&lt;="&amp;A165,'Hospital Catalog'!$H:$H,"Yes",'Hospital Catalog'!$D:$D,"IMSS public") + COUNTIFS('Hospital Catalog'!$E:$E,B165,'Hospital Catalog'!$F:$F,"&lt;="&amp;A165,'Hospital Catalog'!$H:$H,"Yes",'Hospital Catalog'!$D:$D,"ISSSTE public")</x:f>
        <x:v>0</x:v>
      </x:c>
      <x:c r="G165" s="22" t="n">
        <x:f>IFERROR(F165/C165*100000,"")</x:f>
        <x:v>0</x:v>
      </x:c>
      <x:c r="H165" s="18" t="n">
        <x:f>COUNTIFS('Hospital Catalog'!$E:$E,B165,'Hospital Catalog'!$F:$F,"&lt;="&amp;A165,'Hospital Catalog'!$H:$H,"Yes",'Hospital Catalog'!$K:$K,"High") + COUNTIFS('Hospital Catalog'!$E:$E,B165,'Hospital Catalog'!$F:$F,"&lt;="&amp;A165,'Hospital Catalog'!$H:$H,"Yes",'Hospital Catalog'!$K:$K,"Medium")</x:f>
        <x:v>1</x:v>
      </x:c>
      <x:c r="I165" s="22" t="n">
        <x:f>IFERROR(H165/C165*100000,"")</x:f>
        <x:v>0.588890001236669</x:v>
      </x:c>
      <x:c r="J165" s="16" t="str"/>
    </x:row>
    <x:row r="166">
      <x:c r="A166" s="16" t="n">
        <x:v>1960</x:v>
      </x:c>
      <x:c r="B166" s="16" t="str">
        <x:v>Cuajimalpa de Morelos</x:v>
      </x:c>
      <x:c r="C166" s="20" t="n">
        <x:f>INDEX(Population!$B$2:$R$17,MATCH(B166,Population!$A$2:$A$17,0),MATCH(A166,Population!$B$1:$R$1,0))</x:f>
        <x:v>19199</x:v>
      </x:c>
      <x:c r="D166" s="18" t="n">
        <x:f>COUNTIFS('Hospital Catalog'!$E:$E,B166,'Hospital Catalog'!$F:$F,"&lt;="&amp;A166,'Hospital Catalog'!$H:$H,"Yes")</x:f>
        <x:v>0</x:v>
      </x:c>
      <x:c r="E166" s="22" t="n">
        <x:f>IFERROR(D166/C166*100000,"")</x:f>
        <x:v>0</x:v>
      </x:c>
      <x:c r="F166" s="18" t="n">
        <x:f>COUNTIFS('Hospital Catalog'!$E:$E,B166,'Hospital Catalog'!$F:$F,"&lt;="&amp;A166,'Hospital Catalog'!$H:$H,"Yes",'Hospital Catalog'!$D:$D,"*public*") + COUNTIFS('Hospital Catalog'!$E:$E,B166,'Hospital Catalog'!$F:$F,"&lt;="&amp;A166,'Hospital Catalog'!$H:$H,"Yes",'Hospital Catalog'!$D:$D,"IMSS public") + COUNTIFS('Hospital Catalog'!$E:$E,B166,'Hospital Catalog'!$F:$F,"&lt;="&amp;A166,'Hospital Catalog'!$H:$H,"Yes",'Hospital Catalog'!$D:$D,"ISSSTE public")</x:f>
        <x:v>0</x:v>
      </x:c>
      <x:c r="G166" s="22" t="n">
        <x:f>IFERROR(F166/C166*100000,"")</x:f>
        <x:v>0</x:v>
      </x:c>
      <x:c r="H166" s="18" t="n">
        <x:f>COUNTIFS('Hospital Catalog'!$E:$E,B166,'Hospital Catalog'!$F:$F,"&lt;="&amp;A166,'Hospital Catalog'!$H:$H,"Yes",'Hospital Catalog'!$K:$K,"High") + COUNTIFS('Hospital Catalog'!$E:$E,B166,'Hospital Catalog'!$F:$F,"&lt;="&amp;A166,'Hospital Catalog'!$H:$H,"Yes",'Hospital Catalog'!$K:$K,"Medium")</x:f>
        <x:v>0</x:v>
      </x:c>
      <x:c r="I166" s="22" t="n">
        <x:f>IFERROR(H166/C166*100000,"")</x:f>
        <x:v>0</x:v>
      </x:c>
      <x:c r="J166" s="16" t="str"/>
    </x:row>
    <x:row r="167">
      <x:c r="A167" s="16" t="n">
        <x:v>1960</x:v>
      </x:c>
      <x:c r="B167" s="16" t="str">
        <x:v>Cuauhtémoc</x:v>
      </x:c>
      <x:c r="C167" s="20" t="n">
        <x:f>INDEX(Population!$B$2:$R$17,MATCH(B167,Population!$A$2:$A$17,0),MATCH(A167,Population!$B$1:$R$1,0))</x:f>
        <x:v>889175</x:v>
      </x:c>
      <x:c r="D167" s="18" t="n">
        <x:f>COUNTIFS('Hospital Catalog'!$E:$E,B167,'Hospital Catalog'!$F:$F,"&lt;="&amp;A167,'Hospital Catalog'!$H:$H,"Yes")</x:f>
        <x:v>3</x:v>
      </x:c>
      <x:c r="E167" s="22" t="n">
        <x:f>IFERROR(D167/C167*100000,"")</x:f>
        <x:v>0.3373914021424354</x:v>
      </x:c>
      <x:c r="F167" s="18" t="n">
        <x:f>COUNTIFS('Hospital Catalog'!$E:$E,B167,'Hospital Catalog'!$F:$F,"&lt;="&amp;A167,'Hospital Catalog'!$H:$H,"Yes",'Hospital Catalog'!$D:$D,"*public*") + COUNTIFS('Hospital Catalog'!$E:$E,B167,'Hospital Catalog'!$F:$F,"&lt;="&amp;A167,'Hospital Catalog'!$H:$H,"Yes",'Hospital Catalog'!$D:$D,"IMSS public") + COUNTIFS('Hospital Catalog'!$E:$E,B167,'Hospital Catalog'!$F:$F,"&lt;="&amp;A167,'Hospital Catalog'!$H:$H,"Yes",'Hospital Catalog'!$D:$D,"ISSSTE public")</x:f>
        <x:v>0</x:v>
      </x:c>
      <x:c r="G167" s="22" t="n">
        <x:f>IFERROR(F167/C167*100000,"")</x:f>
        <x:v>0</x:v>
      </x:c>
      <x:c r="H167" s="18" t="n">
        <x:f>COUNTIFS('Hospital Catalog'!$E:$E,B167,'Hospital Catalog'!$F:$F,"&lt;="&amp;A167,'Hospital Catalog'!$H:$H,"Yes",'Hospital Catalog'!$K:$K,"High") + COUNTIFS('Hospital Catalog'!$E:$E,B167,'Hospital Catalog'!$F:$F,"&lt;="&amp;A167,'Hospital Catalog'!$H:$H,"Yes",'Hospital Catalog'!$K:$K,"Medium")</x:f>
        <x:v>3</x:v>
      </x:c>
      <x:c r="I167" s="22" t="n">
        <x:f>IFERROR(H167/C167*100000,"")</x:f>
        <x:v>0.3373914021424354</x:v>
      </x:c>
      <x:c r="J167" s="16" t="str"/>
    </x:row>
    <x:row r="168">
      <x:c r="A168" s="16" t="n">
        <x:v>1960</x:v>
      </x:c>
      <x:c r="B168" s="16" t="str">
        <x:v>Gustavo A. Madero</x:v>
      </x:c>
      <x:c r="C168" s="20" t="n">
        <x:f>INDEX(Population!$B$2:$R$17,MATCH(B168,Population!$A$2:$A$17,0),MATCH(A168,Population!$B$1:$R$1,0))</x:f>
        <x:v>579180</x:v>
      </x:c>
      <x:c r="D168" s="18" t="n">
        <x:f>COUNTIFS('Hospital Catalog'!$E:$E,B168,'Hospital Catalog'!$F:$F,"&lt;="&amp;A168,'Hospital Catalog'!$H:$H,"Yes")</x:f>
        <x:v>2</x:v>
      </x:c>
      <x:c r="E168" s="22" t="n">
        <x:f>IFERROR(D168/C168*100000,"")</x:f>
        <x:v>0.34531579129113577</x:v>
      </x:c>
      <x:c r="F168" s="18" t="n">
        <x:f>COUNTIFS('Hospital Catalog'!$E:$E,B168,'Hospital Catalog'!$F:$F,"&lt;="&amp;A168,'Hospital Catalog'!$H:$H,"Yes",'Hospital Catalog'!$D:$D,"*public*") + COUNTIFS('Hospital Catalog'!$E:$E,B168,'Hospital Catalog'!$F:$F,"&lt;="&amp;A168,'Hospital Catalog'!$H:$H,"Yes",'Hospital Catalog'!$D:$D,"IMSS public") + COUNTIFS('Hospital Catalog'!$E:$E,B168,'Hospital Catalog'!$F:$F,"&lt;="&amp;A168,'Hospital Catalog'!$H:$H,"Yes",'Hospital Catalog'!$D:$D,"ISSSTE public")</x:f>
        <x:v>0</x:v>
      </x:c>
      <x:c r="G168" s="22" t="n">
        <x:f>IFERROR(F168/C168*100000,"")</x:f>
        <x:v>0</x:v>
      </x:c>
      <x:c r="H168" s="18" t="n">
        <x:f>COUNTIFS('Hospital Catalog'!$E:$E,B168,'Hospital Catalog'!$F:$F,"&lt;="&amp;A168,'Hospital Catalog'!$H:$H,"Yes",'Hospital Catalog'!$K:$K,"High") + COUNTIFS('Hospital Catalog'!$E:$E,B168,'Hospital Catalog'!$F:$F,"&lt;="&amp;A168,'Hospital Catalog'!$H:$H,"Yes",'Hospital Catalog'!$K:$K,"Medium")</x:f>
        <x:v>0</x:v>
      </x:c>
      <x:c r="I168" s="22" t="n">
        <x:f>IFERROR(H168/C168*100000,"")</x:f>
        <x:v>0</x:v>
      </x:c>
      <x:c r="J168" s="16" t="str"/>
    </x:row>
    <x:row r="169">
      <x:c r="A169" s="16" t="n">
        <x:v>1960</x:v>
      </x:c>
      <x:c r="B169" s="16" t="str">
        <x:v>Iztacalco</x:v>
      </x:c>
      <x:c r="C169" s="20" t="n">
        <x:f>INDEX(Population!$B$2:$R$17,MATCH(B169,Population!$A$2:$A$17,0),MATCH(A169,Population!$B$1:$R$1,0))</x:f>
        <x:v>198904</x:v>
      </x:c>
      <x:c r="D169" s="18" t="n">
        <x:f>COUNTIFS('Hospital Catalog'!$E:$E,B169,'Hospital Catalog'!$F:$F,"&lt;="&amp;A169,'Hospital Catalog'!$H:$H,"Yes")</x:f>
        <x:v>0</x:v>
      </x:c>
      <x:c r="E169" s="22" t="n">
        <x:f>IFERROR(D169/C169*100000,"")</x:f>
        <x:v>0</x:v>
      </x:c>
      <x:c r="F169" s="18" t="n">
        <x:f>COUNTIFS('Hospital Catalog'!$E:$E,B169,'Hospital Catalog'!$F:$F,"&lt;="&amp;A169,'Hospital Catalog'!$H:$H,"Yes",'Hospital Catalog'!$D:$D,"*public*") + COUNTIFS('Hospital Catalog'!$E:$E,B169,'Hospital Catalog'!$F:$F,"&lt;="&amp;A169,'Hospital Catalog'!$H:$H,"Yes",'Hospital Catalog'!$D:$D,"IMSS public") + COUNTIFS('Hospital Catalog'!$E:$E,B169,'Hospital Catalog'!$F:$F,"&lt;="&amp;A169,'Hospital Catalog'!$H:$H,"Yes",'Hospital Catalog'!$D:$D,"ISSSTE public")</x:f>
        <x:v>0</x:v>
      </x:c>
      <x:c r="G169" s="22" t="n">
        <x:f>IFERROR(F169/C169*100000,"")</x:f>
        <x:v>0</x:v>
      </x:c>
      <x:c r="H169" s="18" t="n">
        <x:f>COUNTIFS('Hospital Catalog'!$E:$E,B169,'Hospital Catalog'!$F:$F,"&lt;="&amp;A169,'Hospital Catalog'!$H:$H,"Yes",'Hospital Catalog'!$K:$K,"High") + COUNTIFS('Hospital Catalog'!$E:$E,B169,'Hospital Catalog'!$F:$F,"&lt;="&amp;A169,'Hospital Catalog'!$H:$H,"Yes",'Hospital Catalog'!$K:$K,"Medium")</x:f>
        <x:v>0</x:v>
      </x:c>
      <x:c r="I169" s="22" t="n">
        <x:f>IFERROR(H169/C169*100000,"")</x:f>
        <x:v>0</x:v>
      </x:c>
      <x:c r="J169" s="16" t="str"/>
    </x:row>
    <x:row r="170">
      <x:c r="A170" s="16" t="n">
        <x:v>1960</x:v>
      </x:c>
      <x:c r="B170" s="16" t="str">
        <x:v>Iztapalapa</x:v>
      </x:c>
      <x:c r="C170" s="20" t="n">
        <x:f>INDEX(Population!$B$2:$R$17,MATCH(B170,Population!$A$2:$A$17,0),MATCH(A170,Population!$B$1:$R$1,0))</x:f>
        <x:v>254355</x:v>
      </x:c>
      <x:c r="D170" s="18" t="n">
        <x:f>COUNTIFS('Hospital Catalog'!$E:$E,B170,'Hospital Catalog'!$F:$F,"&lt;="&amp;A170,'Hospital Catalog'!$H:$H,"Yes")</x:f>
        <x:v>0</x:v>
      </x:c>
      <x:c r="E170" s="22" t="n">
        <x:f>IFERROR(D170/C170*100000,"")</x:f>
        <x:v>0</x:v>
      </x:c>
      <x:c r="F170" s="18" t="n">
        <x:f>COUNTIFS('Hospital Catalog'!$E:$E,B170,'Hospital Catalog'!$F:$F,"&lt;="&amp;A170,'Hospital Catalog'!$H:$H,"Yes",'Hospital Catalog'!$D:$D,"*public*") + COUNTIFS('Hospital Catalog'!$E:$E,B170,'Hospital Catalog'!$F:$F,"&lt;="&amp;A170,'Hospital Catalog'!$H:$H,"Yes",'Hospital Catalog'!$D:$D,"IMSS public") + COUNTIFS('Hospital Catalog'!$E:$E,B170,'Hospital Catalog'!$F:$F,"&lt;="&amp;A170,'Hospital Catalog'!$H:$H,"Yes",'Hospital Catalog'!$D:$D,"ISSSTE public")</x:f>
        <x:v>0</x:v>
      </x:c>
      <x:c r="G170" s="22" t="n">
        <x:f>IFERROR(F170/C170*100000,"")</x:f>
        <x:v>0</x:v>
      </x:c>
      <x:c r="H170" s="18" t="n">
        <x:f>COUNTIFS('Hospital Catalog'!$E:$E,B170,'Hospital Catalog'!$F:$F,"&lt;="&amp;A170,'Hospital Catalog'!$H:$H,"Yes",'Hospital Catalog'!$K:$K,"High") + COUNTIFS('Hospital Catalog'!$E:$E,B170,'Hospital Catalog'!$F:$F,"&lt;="&amp;A170,'Hospital Catalog'!$H:$H,"Yes",'Hospital Catalog'!$K:$K,"Medium")</x:f>
        <x:v>0</x:v>
      </x:c>
      <x:c r="I170" s="22" t="n">
        <x:f>IFERROR(H170/C170*100000,"")</x:f>
        <x:v>0</x:v>
      </x:c>
      <x:c r="J170" s="16" t="str"/>
    </x:row>
    <x:row r="171">
      <x:c r="A171" s="16" t="n">
        <x:v>1960</x:v>
      </x:c>
      <x:c r="B171" s="16" t="str">
        <x:v>La Magdalena Contreras</x:v>
      </x:c>
      <x:c r="C171" s="20" t="n">
        <x:f>INDEX(Population!$B$2:$R$17,MATCH(B171,Population!$A$2:$A$17,0),MATCH(A171,Population!$B$1:$R$1,0))</x:f>
        <x:v>40724</x:v>
      </x:c>
      <x:c r="D171" s="18" t="n">
        <x:f>COUNTIFS('Hospital Catalog'!$E:$E,B171,'Hospital Catalog'!$F:$F,"&lt;="&amp;A171,'Hospital Catalog'!$H:$H,"Yes")</x:f>
        <x:v>0</x:v>
      </x:c>
      <x:c r="E171" s="22" t="n">
        <x:f>IFERROR(D171/C171*100000,"")</x:f>
        <x:v>0</x:v>
      </x:c>
      <x:c r="F171" s="18" t="n">
        <x:f>COUNTIFS('Hospital Catalog'!$E:$E,B171,'Hospital Catalog'!$F:$F,"&lt;="&amp;A171,'Hospital Catalog'!$H:$H,"Yes",'Hospital Catalog'!$D:$D,"*public*") + COUNTIFS('Hospital Catalog'!$E:$E,B171,'Hospital Catalog'!$F:$F,"&lt;="&amp;A171,'Hospital Catalog'!$H:$H,"Yes",'Hospital Catalog'!$D:$D,"IMSS public") + COUNTIFS('Hospital Catalog'!$E:$E,B171,'Hospital Catalog'!$F:$F,"&lt;="&amp;A171,'Hospital Catalog'!$H:$H,"Yes",'Hospital Catalog'!$D:$D,"ISSSTE public")</x:f>
        <x:v>0</x:v>
      </x:c>
      <x:c r="G171" s="22" t="n">
        <x:f>IFERROR(F171/C171*100000,"")</x:f>
        <x:v>0</x:v>
      </x:c>
      <x:c r="H171" s="18" t="n">
        <x:f>COUNTIFS('Hospital Catalog'!$E:$E,B171,'Hospital Catalog'!$F:$F,"&lt;="&amp;A171,'Hospital Catalog'!$H:$H,"Yes",'Hospital Catalog'!$K:$K,"High") + COUNTIFS('Hospital Catalog'!$E:$E,B171,'Hospital Catalog'!$F:$F,"&lt;="&amp;A171,'Hospital Catalog'!$H:$H,"Yes",'Hospital Catalog'!$K:$K,"Medium")</x:f>
        <x:v>0</x:v>
      </x:c>
      <x:c r="I171" s="22" t="n">
        <x:f>IFERROR(H171/C171*100000,"")</x:f>
        <x:v>0</x:v>
      </x:c>
      <x:c r="J171" s="16" t="str"/>
    </x:row>
    <x:row r="172">
      <x:c r="A172" s="16" t="n">
        <x:v>1960</x:v>
      </x:c>
      <x:c r="B172" s="16" t="str">
        <x:v>Miguel Hidalgo</x:v>
      </x:c>
      <x:c r="C172" s="20" t="n">
        <x:f>INDEX(Population!$B$2:$R$17,MATCH(B172,Population!$A$2:$A$17,0),MATCH(A172,Population!$B$1:$R$1,0))</x:f>
        <x:v>592499</x:v>
      </x:c>
      <x:c r="D172" s="18" t="n">
        <x:f>COUNTIFS('Hospital Catalog'!$E:$E,B172,'Hospital Catalog'!$F:$F,"&lt;="&amp;A172,'Hospital Catalog'!$H:$H,"Yes")</x:f>
        <x:v>2</x:v>
      </x:c>
      <x:c r="E172" s="22" t="n">
        <x:f>IFERROR(D172/C172*100000,"")</x:f>
        <x:v>0.3375533123262655</x:v>
      </x:c>
      <x:c r="F172" s="18" t="n">
        <x:f>COUNTIFS('Hospital Catalog'!$E:$E,B172,'Hospital Catalog'!$F:$F,"&lt;="&amp;A172,'Hospital Catalog'!$H:$H,"Yes",'Hospital Catalog'!$D:$D,"*public*") + COUNTIFS('Hospital Catalog'!$E:$E,B172,'Hospital Catalog'!$F:$F,"&lt;="&amp;A172,'Hospital Catalog'!$H:$H,"Yes",'Hospital Catalog'!$D:$D,"IMSS public") + COUNTIFS('Hospital Catalog'!$E:$E,B172,'Hospital Catalog'!$F:$F,"&lt;="&amp;A172,'Hospital Catalog'!$H:$H,"Yes",'Hospital Catalog'!$D:$D,"ISSSTE public")</x:f>
        <x:v>0</x:v>
      </x:c>
      <x:c r="G172" s="22" t="n">
        <x:f>IFERROR(F172/C172*100000,"")</x:f>
        <x:v>0</x:v>
      </x:c>
      <x:c r="H172" s="18" t="n">
        <x:f>COUNTIFS('Hospital Catalog'!$E:$E,B172,'Hospital Catalog'!$F:$F,"&lt;="&amp;A172,'Hospital Catalog'!$H:$H,"Yes",'Hospital Catalog'!$K:$K,"High") + COUNTIFS('Hospital Catalog'!$E:$E,B172,'Hospital Catalog'!$F:$F,"&lt;="&amp;A172,'Hospital Catalog'!$H:$H,"Yes",'Hospital Catalog'!$K:$K,"Medium")</x:f>
        <x:v>2</x:v>
      </x:c>
      <x:c r="I172" s="22" t="n">
        <x:f>IFERROR(H172/C172*100000,"")</x:f>
        <x:v>0.3375533123262655</x:v>
      </x:c>
      <x:c r="J172" s="16" t="str"/>
    </x:row>
    <x:row r="173">
      <x:c r="A173" s="16" t="n">
        <x:v>1960</x:v>
      </x:c>
      <x:c r="B173" s="16" t="str">
        <x:v>Milpa Alta</x:v>
      </x:c>
      <x:c r="C173" s="20" t="n">
        <x:f>INDEX(Population!$B$2:$R$17,MATCH(B173,Population!$A$2:$A$17,0),MATCH(A173,Population!$B$1:$R$1,0))</x:f>
        <x:v>24379</x:v>
      </x:c>
      <x:c r="D173" s="18" t="n">
        <x:f>COUNTIFS('Hospital Catalog'!$E:$E,B173,'Hospital Catalog'!$F:$F,"&lt;="&amp;A173,'Hospital Catalog'!$H:$H,"Yes")</x:f>
        <x:v>0</x:v>
      </x:c>
      <x:c r="E173" s="22" t="n">
        <x:f>IFERROR(D173/C173*100000,"")</x:f>
        <x:v>0</x:v>
      </x:c>
      <x:c r="F173" s="18" t="n">
        <x:f>COUNTIFS('Hospital Catalog'!$E:$E,B173,'Hospital Catalog'!$F:$F,"&lt;="&amp;A173,'Hospital Catalog'!$H:$H,"Yes",'Hospital Catalog'!$D:$D,"*public*") + COUNTIFS('Hospital Catalog'!$E:$E,B173,'Hospital Catalog'!$F:$F,"&lt;="&amp;A173,'Hospital Catalog'!$H:$H,"Yes",'Hospital Catalog'!$D:$D,"IMSS public") + COUNTIFS('Hospital Catalog'!$E:$E,B173,'Hospital Catalog'!$F:$F,"&lt;="&amp;A173,'Hospital Catalog'!$H:$H,"Yes",'Hospital Catalog'!$D:$D,"ISSSTE public")</x:f>
        <x:v>0</x:v>
      </x:c>
      <x:c r="G173" s="22" t="n">
        <x:f>IFERROR(F173/C173*100000,"")</x:f>
        <x:v>0</x:v>
      </x:c>
      <x:c r="H173" s="18" t="n">
        <x:f>COUNTIFS('Hospital Catalog'!$E:$E,B173,'Hospital Catalog'!$F:$F,"&lt;="&amp;A173,'Hospital Catalog'!$H:$H,"Yes",'Hospital Catalog'!$K:$K,"High") + COUNTIFS('Hospital Catalog'!$E:$E,B173,'Hospital Catalog'!$F:$F,"&lt;="&amp;A173,'Hospital Catalog'!$H:$H,"Yes",'Hospital Catalog'!$K:$K,"Medium")</x:f>
        <x:v>0</x:v>
      </x:c>
      <x:c r="I173" s="22" t="n">
        <x:f>IFERROR(H173/C173*100000,"")</x:f>
        <x:v>0</x:v>
      </x:c>
      <x:c r="J173" s="16" t="str"/>
    </x:row>
    <x:row r="174">
      <x:c r="A174" s="16" t="n">
        <x:v>1960</x:v>
      </x:c>
      <x:c r="B174" s="16" t="str">
        <x:v>Tláhuac</x:v>
      </x:c>
      <x:c r="C174" s="20" t="n">
        <x:f>INDEX(Population!$B$2:$R$17,MATCH(B174,Population!$A$2:$A$17,0),MATCH(A174,Population!$B$1:$R$1,0))</x:f>
        <x:v>29880</x:v>
      </x:c>
      <x:c r="D174" s="18" t="n">
        <x:f>COUNTIFS('Hospital Catalog'!$E:$E,B174,'Hospital Catalog'!$F:$F,"&lt;="&amp;A174,'Hospital Catalog'!$H:$H,"Yes")</x:f>
        <x:v>0</x:v>
      </x:c>
      <x:c r="E174" s="22" t="n">
        <x:f>IFERROR(D174/C174*100000,"")</x:f>
        <x:v>0</x:v>
      </x:c>
      <x:c r="F174" s="18" t="n">
        <x:f>COUNTIFS('Hospital Catalog'!$E:$E,B174,'Hospital Catalog'!$F:$F,"&lt;="&amp;A174,'Hospital Catalog'!$H:$H,"Yes",'Hospital Catalog'!$D:$D,"*public*") + COUNTIFS('Hospital Catalog'!$E:$E,B174,'Hospital Catalog'!$F:$F,"&lt;="&amp;A174,'Hospital Catalog'!$H:$H,"Yes",'Hospital Catalog'!$D:$D,"IMSS public") + COUNTIFS('Hospital Catalog'!$E:$E,B174,'Hospital Catalog'!$F:$F,"&lt;="&amp;A174,'Hospital Catalog'!$H:$H,"Yes",'Hospital Catalog'!$D:$D,"ISSSTE public")</x:f>
        <x:v>0</x:v>
      </x:c>
      <x:c r="G174" s="22" t="n">
        <x:f>IFERROR(F174/C174*100000,"")</x:f>
        <x:v>0</x:v>
      </x:c>
      <x:c r="H174" s="18" t="n">
        <x:f>COUNTIFS('Hospital Catalog'!$E:$E,B174,'Hospital Catalog'!$F:$F,"&lt;="&amp;A174,'Hospital Catalog'!$H:$H,"Yes",'Hospital Catalog'!$K:$K,"High") + COUNTIFS('Hospital Catalog'!$E:$E,B174,'Hospital Catalog'!$F:$F,"&lt;="&amp;A174,'Hospital Catalog'!$H:$H,"Yes",'Hospital Catalog'!$K:$K,"Medium")</x:f>
        <x:v>0</x:v>
      </x:c>
      <x:c r="I174" s="22" t="n">
        <x:f>IFERROR(H174/C174*100000,"")</x:f>
        <x:v>0</x:v>
      </x:c>
      <x:c r="J174" s="16" t="str"/>
    </x:row>
    <x:row r="175">
      <x:c r="A175" s="16" t="n">
        <x:v>1960</x:v>
      </x:c>
      <x:c r="B175" s="16" t="str">
        <x:v>Tlalpan</x:v>
      </x:c>
      <x:c r="C175" s="20" t="n">
        <x:f>INDEX(Population!$B$2:$R$17,MATCH(B175,Population!$A$2:$A$17,0),MATCH(A175,Population!$B$1:$R$1,0))</x:f>
        <x:v>61195</x:v>
      </x:c>
      <x:c r="D175" s="18" t="n">
        <x:f>COUNTIFS('Hospital Catalog'!$E:$E,B175,'Hospital Catalog'!$F:$F,"&lt;="&amp;A175,'Hospital Catalog'!$H:$H,"Yes")</x:f>
        <x:v>4</x:v>
      </x:c>
      <x:c r="E175" s="22" t="n">
        <x:f>IFERROR(D175/C175*100000,"")</x:f>
        <x:v>6.5364817387041425</x:v>
      </x:c>
      <x:c r="F175" s="18" t="n">
        <x:f>COUNTIFS('Hospital Catalog'!$E:$E,B175,'Hospital Catalog'!$F:$F,"&lt;="&amp;A175,'Hospital Catalog'!$H:$H,"Yes",'Hospital Catalog'!$D:$D,"*public*") + COUNTIFS('Hospital Catalog'!$E:$E,B175,'Hospital Catalog'!$F:$F,"&lt;="&amp;A175,'Hospital Catalog'!$H:$H,"Yes",'Hospital Catalog'!$D:$D,"IMSS public") + COUNTIFS('Hospital Catalog'!$E:$E,B175,'Hospital Catalog'!$F:$F,"&lt;="&amp;A175,'Hospital Catalog'!$H:$H,"Yes",'Hospital Catalog'!$D:$D,"ISSSTE public")</x:f>
        <x:v>0</x:v>
      </x:c>
      <x:c r="G175" s="22" t="n">
        <x:f>IFERROR(F175/C175*100000,"")</x:f>
        <x:v>0</x:v>
      </x:c>
      <x:c r="H175" s="18" t="n">
        <x:f>COUNTIFS('Hospital Catalog'!$E:$E,B175,'Hospital Catalog'!$F:$F,"&lt;="&amp;A175,'Hospital Catalog'!$H:$H,"Yes",'Hospital Catalog'!$K:$K,"High") + COUNTIFS('Hospital Catalog'!$E:$E,B175,'Hospital Catalog'!$F:$F,"&lt;="&amp;A175,'Hospital Catalog'!$H:$H,"Yes",'Hospital Catalog'!$K:$K,"Medium")</x:f>
        <x:v>4</x:v>
      </x:c>
      <x:c r="I175" s="22" t="n">
        <x:f>IFERROR(H175/C175*100000,"")</x:f>
        <x:v>6.5364817387041425</x:v>
      </x:c>
      <x:c r="J175" s="16" t="str"/>
    </x:row>
    <x:row r="176">
      <x:c r="A176" s="16" t="n">
        <x:v>1960</x:v>
      </x:c>
      <x:c r="B176" s="16" t="str">
        <x:v>Venustiano Carranza</x:v>
      </x:c>
      <x:c r="C176" s="20" t="n">
        <x:f>INDEX(Population!$B$2:$R$17,MATCH(B176,Population!$A$2:$A$17,0),MATCH(A176,Population!$B$1:$R$1,0))</x:f>
        <x:v>755974</x:v>
      </x:c>
      <x:c r="D176" s="18" t="n">
        <x:f>COUNTIFS('Hospital Catalog'!$E:$E,B176,'Hospital Catalog'!$F:$F,"&lt;="&amp;A176,'Hospital Catalog'!$H:$H,"Yes")</x:f>
        <x:v>0</x:v>
      </x:c>
      <x:c r="E176" s="22" t="n">
        <x:f>IFERROR(D176/C176*100000,"")</x:f>
        <x:v>0</x:v>
      </x:c>
      <x:c r="F176" s="18" t="n">
        <x:f>COUNTIFS('Hospital Catalog'!$E:$E,B176,'Hospital Catalog'!$F:$F,"&lt;="&amp;A176,'Hospital Catalog'!$H:$H,"Yes",'Hospital Catalog'!$D:$D,"*public*") + COUNTIFS('Hospital Catalog'!$E:$E,B176,'Hospital Catalog'!$F:$F,"&lt;="&amp;A176,'Hospital Catalog'!$H:$H,"Yes",'Hospital Catalog'!$D:$D,"IMSS public") + COUNTIFS('Hospital Catalog'!$E:$E,B176,'Hospital Catalog'!$F:$F,"&lt;="&amp;A176,'Hospital Catalog'!$H:$H,"Yes",'Hospital Catalog'!$D:$D,"ISSSTE public")</x:f>
        <x:v>0</x:v>
      </x:c>
      <x:c r="G176" s="22" t="n">
        <x:f>IFERROR(F176/C176*100000,"")</x:f>
        <x:v>0</x:v>
      </x:c>
      <x:c r="H176" s="18" t="n">
        <x:f>COUNTIFS('Hospital Catalog'!$E:$E,B176,'Hospital Catalog'!$F:$F,"&lt;="&amp;A176,'Hospital Catalog'!$H:$H,"Yes",'Hospital Catalog'!$K:$K,"High") + COUNTIFS('Hospital Catalog'!$E:$E,B176,'Hospital Catalog'!$F:$F,"&lt;="&amp;A176,'Hospital Catalog'!$H:$H,"Yes",'Hospital Catalog'!$K:$K,"Medium")</x:f>
        <x:v>0</x:v>
      </x:c>
      <x:c r="I176" s="22" t="n">
        <x:f>IFERROR(H176/C176*100000,"")</x:f>
        <x:v>0</x:v>
      </x:c>
      <x:c r="J176" s="16" t="str"/>
    </x:row>
    <x:row r="177">
      <x:c r="A177" s="16" t="n">
        <x:v>1960</x:v>
      </x:c>
      <x:c r="B177" s="16" t="str">
        <x:v>Xochimilco</x:v>
      </x:c>
      <x:c r="C177" s="20" t="n">
        <x:f>INDEX(Population!$B$2:$R$17,MATCH(B177,Population!$A$2:$A$17,0),MATCH(A177,Population!$B$1:$R$1,0))</x:f>
        <x:v>70381</x:v>
      </x:c>
      <x:c r="D177" s="18" t="n">
        <x:f>COUNTIFS('Hospital Catalog'!$E:$E,B177,'Hospital Catalog'!$F:$F,"&lt;="&amp;A177,'Hospital Catalog'!$H:$H,"Yes")</x:f>
        <x:v>0</x:v>
      </x:c>
      <x:c r="E177" s="22" t="n">
        <x:f>IFERROR(D177/C177*100000,"")</x:f>
        <x:v>0</x:v>
      </x:c>
      <x:c r="F177" s="18" t="n">
        <x:f>COUNTIFS('Hospital Catalog'!$E:$E,B177,'Hospital Catalog'!$F:$F,"&lt;="&amp;A177,'Hospital Catalog'!$H:$H,"Yes",'Hospital Catalog'!$D:$D,"*public*") + COUNTIFS('Hospital Catalog'!$E:$E,B177,'Hospital Catalog'!$F:$F,"&lt;="&amp;A177,'Hospital Catalog'!$H:$H,"Yes",'Hospital Catalog'!$D:$D,"IMSS public") + COUNTIFS('Hospital Catalog'!$E:$E,B177,'Hospital Catalog'!$F:$F,"&lt;="&amp;A177,'Hospital Catalog'!$H:$H,"Yes",'Hospital Catalog'!$D:$D,"ISSSTE public")</x:f>
        <x:v>0</x:v>
      </x:c>
      <x:c r="G177" s="22" t="n">
        <x:f>IFERROR(F177/C177*100000,"")</x:f>
        <x:v>0</x:v>
      </x:c>
      <x:c r="H177" s="18" t="n">
        <x:f>COUNTIFS('Hospital Catalog'!$E:$E,B177,'Hospital Catalog'!$F:$F,"&lt;="&amp;A177,'Hospital Catalog'!$H:$H,"Yes",'Hospital Catalog'!$K:$K,"High") + COUNTIFS('Hospital Catalog'!$E:$E,B177,'Hospital Catalog'!$F:$F,"&lt;="&amp;A177,'Hospital Catalog'!$H:$H,"Yes",'Hospital Catalog'!$K:$K,"Medium")</x:f>
        <x:v>0</x:v>
      </x:c>
      <x:c r="I177" s="22" t="n">
        <x:f>IFERROR(H177/C177*100000,"")</x:f>
        <x:v>0</x:v>
      </x:c>
      <x:c r="J177" s="16" t="str"/>
    </x:row>
    <x:row r="178">
      <x:c r="A178" s="16" t="n">
        <x:v>1970</x:v>
      </x:c>
      <x:c r="B178" s="16" t="str">
        <x:v>Álvaro Obregón</x:v>
      </x:c>
      <x:c r="C178" s="20" t="n">
        <x:f>INDEX(Population!$B$2:$R$17,MATCH(B178,Population!$A$2:$A$17,0),MATCH(A178,Population!$B$1:$R$1,0))</x:f>
        <x:v>456709</x:v>
      </x:c>
      <x:c r="D178" s="18" t="n">
        <x:f>COUNTIFS('Hospital Catalog'!$E:$E,B178,'Hospital Catalog'!$F:$F,"&lt;="&amp;A178,'Hospital Catalog'!$H:$H,"Yes")</x:f>
        <x:v>2</x:v>
      </x:c>
      <x:c r="E178" s="22" t="n">
        <x:f>IFERROR(D178/C178*100000,"")</x:f>
        <x:v>0.4379156092829351</x:v>
      </x:c>
      <x:c r="F178" s="18" t="n">
        <x:f>COUNTIFS('Hospital Catalog'!$E:$E,B178,'Hospital Catalog'!$F:$F,"&lt;="&amp;A178,'Hospital Catalog'!$H:$H,"Yes",'Hospital Catalog'!$D:$D,"*public*") + COUNTIFS('Hospital Catalog'!$E:$E,B178,'Hospital Catalog'!$F:$F,"&lt;="&amp;A178,'Hospital Catalog'!$H:$H,"Yes",'Hospital Catalog'!$D:$D,"IMSS public") + COUNTIFS('Hospital Catalog'!$E:$E,B178,'Hospital Catalog'!$F:$F,"&lt;="&amp;A178,'Hospital Catalog'!$H:$H,"Yes",'Hospital Catalog'!$D:$D,"ISSSTE public")</x:f>
        <x:v>1</x:v>
      </x:c>
      <x:c r="G178" s="22" t="n">
        <x:f>IFERROR(F178/C178*100000,"")</x:f>
        <x:v>0.21895780464146755</x:v>
      </x:c>
      <x:c r="H178" s="18" t="n">
        <x:f>COUNTIFS('Hospital Catalog'!$E:$E,B178,'Hospital Catalog'!$F:$F,"&lt;="&amp;A178,'Hospital Catalog'!$H:$H,"Yes",'Hospital Catalog'!$K:$K,"High") + COUNTIFS('Hospital Catalog'!$E:$E,B178,'Hospital Catalog'!$F:$F,"&lt;="&amp;A178,'Hospital Catalog'!$H:$H,"Yes",'Hospital Catalog'!$K:$K,"Medium")</x:f>
        <x:v>2</x:v>
      </x:c>
      <x:c r="I178" s="22" t="n">
        <x:f>IFERROR(H178/C178*100000,"")</x:f>
        <x:v>0.4379156092829351</x:v>
      </x:c>
      <x:c r="J178" s="16" t="str"/>
    </x:row>
    <x:row r="179">
      <x:c r="A179" s="16" t="n">
        <x:v>1970</x:v>
      </x:c>
      <x:c r="B179" s="16" t="str">
        <x:v>Azcapotzalco</x:v>
      </x:c>
      <x:c r="C179" s="20" t="n">
        <x:f>INDEX(Population!$B$2:$R$17,MATCH(B179,Population!$A$2:$A$17,0),MATCH(A179,Population!$B$1:$R$1,0))</x:f>
        <x:v>534554</x:v>
      </x:c>
      <x:c r="D179" s="18" t="n">
        <x:f>COUNTIFS('Hospital Catalog'!$E:$E,B179,'Hospital Catalog'!$F:$F,"&lt;="&amp;A179,'Hospital Catalog'!$H:$H,"Yes")</x:f>
        <x:v>2</x:v>
      </x:c>
      <x:c r="E179" s="22" t="n">
        <x:f>IFERROR(D179/C179*100000,"")</x:f>
        <x:v>0.37414367865547726</x:v>
      </x:c>
      <x:c r="F179" s="18" t="n">
        <x:f>COUNTIFS('Hospital Catalog'!$E:$E,B179,'Hospital Catalog'!$F:$F,"&lt;="&amp;A179,'Hospital Catalog'!$H:$H,"Yes",'Hospital Catalog'!$D:$D,"*public*") + COUNTIFS('Hospital Catalog'!$E:$E,B179,'Hospital Catalog'!$F:$F,"&lt;="&amp;A179,'Hospital Catalog'!$H:$H,"Yes",'Hospital Catalog'!$D:$D,"IMSS public") + COUNTIFS('Hospital Catalog'!$E:$E,B179,'Hospital Catalog'!$F:$F,"&lt;="&amp;A179,'Hospital Catalog'!$H:$H,"Yes",'Hospital Catalog'!$D:$D,"ISSSTE public")</x:f>
        <x:v>1</x:v>
      </x:c>
      <x:c r="G179" s="22" t="n">
        <x:f>IFERROR(F179/C179*100000,"")</x:f>
        <x:v>0.18707183932773863</x:v>
      </x:c>
      <x:c r="H179" s="18" t="n">
        <x:f>COUNTIFS('Hospital Catalog'!$E:$E,B179,'Hospital Catalog'!$F:$F,"&lt;="&amp;A179,'Hospital Catalog'!$H:$H,"Yes",'Hospital Catalog'!$K:$K,"High") + COUNTIFS('Hospital Catalog'!$E:$E,B179,'Hospital Catalog'!$F:$F,"&lt;="&amp;A179,'Hospital Catalog'!$H:$H,"Yes",'Hospital Catalog'!$K:$K,"Medium")</x:f>
        <x:v>2</x:v>
      </x:c>
      <x:c r="I179" s="22" t="n">
        <x:f>IFERROR(H179/C179*100000,"")</x:f>
        <x:v>0.37414367865547726</x:v>
      </x:c>
      <x:c r="J179" s="16" t="str"/>
    </x:row>
    <x:row r="180">
      <x:c r="A180" s="16" t="n">
        <x:v>1970</x:v>
      </x:c>
      <x:c r="B180" s="16" t="str">
        <x:v>Benito Juárez</x:v>
      </x:c>
      <x:c r="C180" s="20" t="n">
        <x:f>INDEX(Population!$B$2:$R$17,MATCH(B180,Population!$A$2:$A$17,0),MATCH(A180,Population!$B$1:$R$1,0))</x:f>
        <x:v>609354</x:v>
      </x:c>
      <x:c r="D180" s="18" t="n">
        <x:f>COUNTIFS('Hospital Catalog'!$E:$E,B180,'Hospital Catalog'!$F:$F,"&lt;="&amp;A180,'Hospital Catalog'!$H:$H,"Yes")</x:f>
        <x:v>2</x:v>
      </x:c>
      <x:c r="E180" s="22" t="n">
        <x:f>IFERROR(D180/C180*100000,"")</x:f>
        <x:v>0.3282164390485662</x:v>
      </x:c>
      <x:c r="F180" s="18" t="n">
        <x:f>COUNTIFS('Hospital Catalog'!$E:$E,B180,'Hospital Catalog'!$F:$F,"&lt;="&amp;A180,'Hospital Catalog'!$H:$H,"Yes",'Hospital Catalog'!$D:$D,"*public*") + COUNTIFS('Hospital Catalog'!$E:$E,B180,'Hospital Catalog'!$F:$F,"&lt;="&amp;A180,'Hospital Catalog'!$H:$H,"Yes",'Hospital Catalog'!$D:$D,"IMSS public") + COUNTIFS('Hospital Catalog'!$E:$E,B180,'Hospital Catalog'!$F:$F,"&lt;="&amp;A180,'Hospital Catalog'!$H:$H,"Yes",'Hospital Catalog'!$D:$D,"ISSSTE public")</x:f>
        <x:v>1</x:v>
      </x:c>
      <x:c r="G180" s="22" t="n">
        <x:f>IFERROR(F180/C180*100000,"")</x:f>
        <x:v>0.1641082195242831</x:v>
      </x:c>
      <x:c r="H180" s="18" t="n">
        <x:f>COUNTIFS('Hospital Catalog'!$E:$E,B180,'Hospital Catalog'!$F:$F,"&lt;="&amp;A180,'Hospital Catalog'!$H:$H,"Yes",'Hospital Catalog'!$K:$K,"High") + COUNTIFS('Hospital Catalog'!$E:$E,B180,'Hospital Catalog'!$F:$F,"&lt;="&amp;A180,'Hospital Catalog'!$H:$H,"Yes",'Hospital Catalog'!$K:$K,"Medium")</x:f>
        <x:v>1</x:v>
      </x:c>
      <x:c r="I180" s="22" t="n">
        <x:f>IFERROR(H180/C180*100000,"")</x:f>
        <x:v>0.1641082195242831</x:v>
      </x:c>
      <x:c r="J180" s="16" t="str"/>
    </x:row>
    <x:row r="181">
      <x:c r="A181" s="16" t="n">
        <x:v>1970</x:v>
      </x:c>
      <x:c r="B181" s="16" t="str">
        <x:v>Coyoacán</x:v>
      </x:c>
      <x:c r="C181" s="20" t="n">
        <x:f>INDEX(Population!$B$2:$R$17,MATCH(B181,Population!$A$2:$A$17,0),MATCH(A181,Population!$B$1:$R$1,0))</x:f>
        <x:v>339446</x:v>
      </x:c>
      <x:c r="D181" s="18" t="n">
        <x:f>COUNTIFS('Hospital Catalog'!$E:$E,B181,'Hospital Catalog'!$F:$F,"&lt;="&amp;A181,'Hospital Catalog'!$H:$H,"Yes")</x:f>
        <x:v>3</x:v>
      </x:c>
      <x:c r="E181" s="22" t="n">
        <x:f>IFERROR(D181/C181*100000,"")</x:f>
        <x:v>0.8837930038945812</x:v>
      </x:c>
      <x:c r="F181" s="18" t="n">
        <x:f>COUNTIFS('Hospital Catalog'!$E:$E,B181,'Hospital Catalog'!$F:$F,"&lt;="&amp;A181,'Hospital Catalog'!$H:$H,"Yes",'Hospital Catalog'!$D:$D,"*public*") + COUNTIFS('Hospital Catalog'!$E:$E,B181,'Hospital Catalog'!$F:$F,"&lt;="&amp;A181,'Hospital Catalog'!$H:$H,"Yes",'Hospital Catalog'!$D:$D,"IMSS public") + COUNTIFS('Hospital Catalog'!$E:$E,B181,'Hospital Catalog'!$F:$F,"&lt;="&amp;A181,'Hospital Catalog'!$H:$H,"Yes",'Hospital Catalog'!$D:$D,"ISSSTE public")</x:f>
        <x:v>0</x:v>
      </x:c>
      <x:c r="G181" s="22" t="n">
        <x:f>IFERROR(F181/C181*100000,"")</x:f>
        <x:v>0</x:v>
      </x:c>
      <x:c r="H181" s="18" t="n">
        <x:f>COUNTIFS('Hospital Catalog'!$E:$E,B181,'Hospital Catalog'!$F:$F,"&lt;="&amp;A181,'Hospital Catalog'!$H:$H,"Yes",'Hospital Catalog'!$K:$K,"High") + COUNTIFS('Hospital Catalog'!$E:$E,B181,'Hospital Catalog'!$F:$F,"&lt;="&amp;A181,'Hospital Catalog'!$H:$H,"Yes",'Hospital Catalog'!$K:$K,"Medium")</x:f>
        <x:v>3</x:v>
      </x:c>
      <x:c r="I181" s="22" t="n">
        <x:f>IFERROR(H181/C181*100000,"")</x:f>
        <x:v>0.8837930038945812</x:v>
      </x:c>
      <x:c r="J181" s="16" t="str"/>
    </x:row>
    <x:row r="182">
      <x:c r="A182" s="16" t="n">
        <x:v>1970</x:v>
      </x:c>
      <x:c r="B182" s="16" t="str">
        <x:v>Cuajimalpa de Morelos</x:v>
      </x:c>
      <x:c r="C182" s="20" t="n">
        <x:f>INDEX(Population!$B$2:$R$17,MATCH(B182,Population!$A$2:$A$17,0),MATCH(A182,Population!$B$1:$R$1,0))</x:f>
        <x:v>36200</x:v>
      </x:c>
      <x:c r="D182" s="18" t="n">
        <x:f>COUNTIFS('Hospital Catalog'!$E:$E,B182,'Hospital Catalog'!$F:$F,"&lt;="&amp;A182,'Hospital Catalog'!$H:$H,"Yes")</x:f>
        <x:v>0</x:v>
      </x:c>
      <x:c r="E182" s="22" t="n">
        <x:f>IFERROR(D182/C182*100000,"")</x:f>
        <x:v>0</x:v>
      </x:c>
      <x:c r="F182" s="18" t="n">
        <x:f>COUNTIFS('Hospital Catalog'!$E:$E,B182,'Hospital Catalog'!$F:$F,"&lt;="&amp;A182,'Hospital Catalog'!$H:$H,"Yes",'Hospital Catalog'!$D:$D,"*public*") + COUNTIFS('Hospital Catalog'!$E:$E,B182,'Hospital Catalog'!$F:$F,"&lt;="&amp;A182,'Hospital Catalog'!$H:$H,"Yes",'Hospital Catalog'!$D:$D,"IMSS public") + COUNTIFS('Hospital Catalog'!$E:$E,B182,'Hospital Catalog'!$F:$F,"&lt;="&amp;A182,'Hospital Catalog'!$H:$H,"Yes",'Hospital Catalog'!$D:$D,"ISSSTE public")</x:f>
        <x:v>0</x:v>
      </x:c>
      <x:c r="G182" s="22" t="n">
        <x:f>IFERROR(F182/C182*100000,"")</x:f>
        <x:v>0</x:v>
      </x:c>
      <x:c r="H182" s="18" t="n">
        <x:f>COUNTIFS('Hospital Catalog'!$E:$E,B182,'Hospital Catalog'!$F:$F,"&lt;="&amp;A182,'Hospital Catalog'!$H:$H,"Yes",'Hospital Catalog'!$K:$K,"High") + COUNTIFS('Hospital Catalog'!$E:$E,B182,'Hospital Catalog'!$F:$F,"&lt;="&amp;A182,'Hospital Catalog'!$H:$H,"Yes",'Hospital Catalog'!$K:$K,"Medium")</x:f>
        <x:v>0</x:v>
      </x:c>
      <x:c r="I182" s="22" t="n">
        <x:f>IFERROR(H182/C182*100000,"")</x:f>
        <x:v>0</x:v>
      </x:c>
      <x:c r="J182" s="16" t="str"/>
    </x:row>
    <x:row r="183">
      <x:c r="A183" s="16" t="n">
        <x:v>1970</x:v>
      </x:c>
      <x:c r="B183" s="16" t="str">
        <x:v>Cuauhtémoc</x:v>
      </x:c>
      <x:c r="C183" s="20" t="n">
        <x:f>INDEX(Population!$B$2:$R$17,MATCH(B183,Population!$A$2:$A$17,0),MATCH(A183,Population!$B$1:$R$1,0))</x:f>
        <x:v>911414</x:v>
      </x:c>
      <x:c r="D183" s="18" t="n">
        <x:f>COUNTIFS('Hospital Catalog'!$E:$E,B183,'Hospital Catalog'!$F:$F,"&lt;="&amp;A183,'Hospital Catalog'!$H:$H,"Yes")</x:f>
        <x:v>4</x:v>
      </x:c>
      <x:c r="E183" s="22" t="n">
        <x:f>IFERROR(D183/C183*100000,"")</x:f>
        <x:v>0.43887848990689193</x:v>
      </x:c>
      <x:c r="F183" s="18" t="n">
        <x:f>COUNTIFS('Hospital Catalog'!$E:$E,B183,'Hospital Catalog'!$F:$F,"&lt;="&amp;A183,'Hospital Catalog'!$H:$H,"Yes",'Hospital Catalog'!$D:$D,"*public*") + COUNTIFS('Hospital Catalog'!$E:$E,B183,'Hospital Catalog'!$F:$F,"&lt;="&amp;A183,'Hospital Catalog'!$H:$H,"Yes",'Hospital Catalog'!$D:$D,"IMSS public") + COUNTIFS('Hospital Catalog'!$E:$E,B183,'Hospital Catalog'!$F:$F,"&lt;="&amp;A183,'Hospital Catalog'!$H:$H,"Yes",'Hospital Catalog'!$D:$D,"ISSSTE public")</x:f>
        <x:v>1</x:v>
      </x:c>
      <x:c r="G183" s="22" t="n">
        <x:f>IFERROR(F183/C183*100000,"")</x:f>
        <x:v>0.10971962247672298</x:v>
      </x:c>
      <x:c r="H183" s="18" t="n">
        <x:f>COUNTIFS('Hospital Catalog'!$E:$E,B183,'Hospital Catalog'!$F:$F,"&lt;="&amp;A183,'Hospital Catalog'!$H:$H,"Yes",'Hospital Catalog'!$K:$K,"High") + COUNTIFS('Hospital Catalog'!$E:$E,B183,'Hospital Catalog'!$F:$F,"&lt;="&amp;A183,'Hospital Catalog'!$H:$H,"Yes",'Hospital Catalog'!$K:$K,"Medium")</x:f>
        <x:v>4</x:v>
      </x:c>
      <x:c r="I183" s="22" t="n">
        <x:f>IFERROR(H183/C183*100000,"")</x:f>
        <x:v>0.43887848990689193</x:v>
      </x:c>
      <x:c r="J183" s="16" t="str"/>
    </x:row>
    <x:row r="184">
      <x:c r="A184" s="16" t="n">
        <x:v>1970</x:v>
      </x:c>
      <x:c r="B184" s="16" t="str">
        <x:v>Gustavo A. Madero</x:v>
      </x:c>
      <x:c r="C184" s="20" t="n">
        <x:f>INDEX(Population!$B$2:$R$17,MATCH(B184,Population!$A$2:$A$17,0),MATCH(A184,Population!$B$1:$R$1,0))</x:f>
        <x:v>1186107</x:v>
      </x:c>
      <x:c r="D184" s="18" t="n">
        <x:f>COUNTIFS('Hospital Catalog'!$E:$E,B184,'Hospital Catalog'!$F:$F,"&lt;="&amp;A184,'Hospital Catalog'!$H:$H,"Yes")</x:f>
        <x:v>3</x:v>
      </x:c>
      <x:c r="E184" s="22" t="n">
        <x:f>IFERROR(D184/C184*100000,"")</x:f>
        <x:v>0.25292827712845467</x:v>
      </x:c>
      <x:c r="F184" s="18" t="n">
        <x:f>COUNTIFS('Hospital Catalog'!$E:$E,B184,'Hospital Catalog'!$F:$F,"&lt;="&amp;A184,'Hospital Catalog'!$H:$H,"Yes",'Hospital Catalog'!$D:$D,"*public*") + COUNTIFS('Hospital Catalog'!$E:$E,B184,'Hospital Catalog'!$F:$F,"&lt;="&amp;A184,'Hospital Catalog'!$H:$H,"Yes",'Hospital Catalog'!$D:$D,"IMSS public") + COUNTIFS('Hospital Catalog'!$E:$E,B184,'Hospital Catalog'!$F:$F,"&lt;="&amp;A184,'Hospital Catalog'!$H:$H,"Yes",'Hospital Catalog'!$D:$D,"ISSSTE public")</x:f>
        <x:v>0</x:v>
      </x:c>
      <x:c r="G184" s="22" t="n">
        <x:f>IFERROR(F184/C184*100000,"")</x:f>
        <x:v>0</x:v>
      </x:c>
      <x:c r="H184" s="18" t="n">
        <x:f>COUNTIFS('Hospital Catalog'!$E:$E,B184,'Hospital Catalog'!$F:$F,"&lt;="&amp;A184,'Hospital Catalog'!$H:$H,"Yes",'Hospital Catalog'!$K:$K,"High") + COUNTIFS('Hospital Catalog'!$E:$E,B184,'Hospital Catalog'!$F:$F,"&lt;="&amp;A184,'Hospital Catalog'!$H:$H,"Yes",'Hospital Catalog'!$K:$K,"Medium")</x:f>
        <x:v>0</x:v>
      </x:c>
      <x:c r="I184" s="22" t="n">
        <x:f>IFERROR(H184/C184*100000,"")</x:f>
        <x:v>0</x:v>
      </x:c>
      <x:c r="J184" s="16" t="str"/>
    </x:row>
    <x:row r="185">
      <x:c r="A185" s="16" t="n">
        <x:v>1970</x:v>
      </x:c>
      <x:c r="B185" s="16" t="str">
        <x:v>Iztacalco</x:v>
      </x:c>
      <x:c r="C185" s="20" t="n">
        <x:f>INDEX(Population!$B$2:$R$17,MATCH(B185,Population!$A$2:$A$17,0),MATCH(A185,Population!$B$1:$R$1,0))</x:f>
        <x:v>477331</x:v>
      </x:c>
      <x:c r="D185" s="18" t="n">
        <x:f>COUNTIFS('Hospital Catalog'!$E:$E,B185,'Hospital Catalog'!$F:$F,"&lt;="&amp;A185,'Hospital Catalog'!$H:$H,"Yes")</x:f>
        <x:v>1</x:v>
      </x:c>
      <x:c r="E185" s="22" t="n">
        <x:f>IFERROR(D185/C185*100000,"")</x:f>
        <x:v>0.209498230787441</x:v>
      </x:c>
      <x:c r="F185" s="18" t="n">
        <x:f>COUNTIFS('Hospital Catalog'!$E:$E,B185,'Hospital Catalog'!$F:$F,"&lt;="&amp;A185,'Hospital Catalog'!$H:$H,"Yes",'Hospital Catalog'!$D:$D,"*public*") + COUNTIFS('Hospital Catalog'!$E:$E,B185,'Hospital Catalog'!$F:$F,"&lt;="&amp;A185,'Hospital Catalog'!$H:$H,"Yes",'Hospital Catalog'!$D:$D,"IMSS public") + COUNTIFS('Hospital Catalog'!$E:$E,B185,'Hospital Catalog'!$F:$F,"&lt;="&amp;A185,'Hospital Catalog'!$H:$H,"Yes",'Hospital Catalog'!$D:$D,"ISSSTE public")</x:f>
        <x:v>0</x:v>
      </x:c>
      <x:c r="G185" s="22" t="n">
        <x:f>IFERROR(F185/C185*100000,"")</x:f>
        <x:v>0</x:v>
      </x:c>
      <x:c r="H185" s="18" t="n">
        <x:f>COUNTIFS('Hospital Catalog'!$E:$E,B185,'Hospital Catalog'!$F:$F,"&lt;="&amp;A185,'Hospital Catalog'!$H:$H,"Yes",'Hospital Catalog'!$K:$K,"High") + COUNTIFS('Hospital Catalog'!$E:$E,B185,'Hospital Catalog'!$F:$F,"&lt;="&amp;A185,'Hospital Catalog'!$H:$H,"Yes",'Hospital Catalog'!$K:$K,"Medium")</x:f>
        <x:v>0</x:v>
      </x:c>
      <x:c r="I185" s="22" t="n">
        <x:f>IFERROR(H185/C185*100000,"")</x:f>
        <x:v>0</x:v>
      </x:c>
      <x:c r="J185" s="16" t="str"/>
    </x:row>
    <x:row r="186">
      <x:c r="A186" s="16" t="n">
        <x:v>1970</x:v>
      </x:c>
      <x:c r="B186" s="16" t="str">
        <x:v>Iztapalapa</x:v>
      </x:c>
      <x:c r="C186" s="20" t="n">
        <x:f>INDEX(Population!$B$2:$R$17,MATCH(B186,Population!$A$2:$A$17,0),MATCH(A186,Population!$B$1:$R$1,0))</x:f>
        <x:v>522095</x:v>
      </x:c>
      <x:c r="D186" s="18" t="n">
        <x:f>COUNTIFS('Hospital Catalog'!$E:$E,B186,'Hospital Catalog'!$F:$F,"&lt;="&amp;A186,'Hospital Catalog'!$H:$H,"Yes")</x:f>
        <x:v>0</x:v>
      </x:c>
      <x:c r="E186" s="22" t="n">
        <x:f>IFERROR(D186/C186*100000,"")</x:f>
        <x:v>0</x:v>
      </x:c>
      <x:c r="F186" s="18" t="n">
        <x:f>COUNTIFS('Hospital Catalog'!$E:$E,B186,'Hospital Catalog'!$F:$F,"&lt;="&amp;A186,'Hospital Catalog'!$H:$H,"Yes",'Hospital Catalog'!$D:$D,"*public*") + COUNTIFS('Hospital Catalog'!$E:$E,B186,'Hospital Catalog'!$F:$F,"&lt;="&amp;A186,'Hospital Catalog'!$H:$H,"Yes",'Hospital Catalog'!$D:$D,"IMSS public") + COUNTIFS('Hospital Catalog'!$E:$E,B186,'Hospital Catalog'!$F:$F,"&lt;="&amp;A186,'Hospital Catalog'!$H:$H,"Yes",'Hospital Catalog'!$D:$D,"ISSSTE public")</x:f>
        <x:v>0</x:v>
      </x:c>
      <x:c r="G186" s="22" t="n">
        <x:f>IFERROR(F186/C186*100000,"")</x:f>
        <x:v>0</x:v>
      </x:c>
      <x:c r="H186" s="18" t="n">
        <x:f>COUNTIFS('Hospital Catalog'!$E:$E,B186,'Hospital Catalog'!$F:$F,"&lt;="&amp;A186,'Hospital Catalog'!$H:$H,"Yes",'Hospital Catalog'!$K:$K,"High") + COUNTIFS('Hospital Catalog'!$E:$E,B186,'Hospital Catalog'!$F:$F,"&lt;="&amp;A186,'Hospital Catalog'!$H:$H,"Yes",'Hospital Catalog'!$K:$K,"Medium")</x:f>
        <x:v>0</x:v>
      </x:c>
      <x:c r="I186" s="22" t="n">
        <x:f>IFERROR(H186/C186*100000,"")</x:f>
        <x:v>0</x:v>
      </x:c>
      <x:c r="J186" s="16" t="str"/>
    </x:row>
    <x:row r="187">
      <x:c r="A187" s="16" t="n">
        <x:v>1970</x:v>
      </x:c>
      <x:c r="B187" s="16" t="str">
        <x:v>La Magdalena Contreras</x:v>
      </x:c>
      <x:c r="C187" s="20" t="n">
        <x:f>INDEX(Population!$B$2:$R$17,MATCH(B187,Population!$A$2:$A$17,0),MATCH(A187,Population!$B$1:$R$1,0))</x:f>
        <x:v>75429</x:v>
      </x:c>
      <x:c r="D187" s="18" t="n">
        <x:f>COUNTIFS('Hospital Catalog'!$E:$E,B187,'Hospital Catalog'!$F:$F,"&lt;="&amp;A187,'Hospital Catalog'!$H:$H,"Yes")</x:f>
        <x:v>0</x:v>
      </x:c>
      <x:c r="E187" s="22" t="n">
        <x:f>IFERROR(D187/C187*100000,"")</x:f>
        <x:v>0</x:v>
      </x:c>
      <x:c r="F187" s="18" t="n">
        <x:f>COUNTIFS('Hospital Catalog'!$E:$E,B187,'Hospital Catalog'!$F:$F,"&lt;="&amp;A187,'Hospital Catalog'!$H:$H,"Yes",'Hospital Catalog'!$D:$D,"*public*") + COUNTIFS('Hospital Catalog'!$E:$E,B187,'Hospital Catalog'!$F:$F,"&lt;="&amp;A187,'Hospital Catalog'!$H:$H,"Yes",'Hospital Catalog'!$D:$D,"IMSS public") + COUNTIFS('Hospital Catalog'!$E:$E,B187,'Hospital Catalog'!$F:$F,"&lt;="&amp;A187,'Hospital Catalog'!$H:$H,"Yes",'Hospital Catalog'!$D:$D,"ISSSTE public")</x:f>
        <x:v>0</x:v>
      </x:c>
      <x:c r="G187" s="22" t="n">
        <x:f>IFERROR(F187/C187*100000,"")</x:f>
        <x:v>0</x:v>
      </x:c>
      <x:c r="H187" s="18" t="n">
        <x:f>COUNTIFS('Hospital Catalog'!$E:$E,B187,'Hospital Catalog'!$F:$F,"&lt;="&amp;A187,'Hospital Catalog'!$H:$H,"Yes",'Hospital Catalog'!$K:$K,"High") + COUNTIFS('Hospital Catalog'!$E:$E,B187,'Hospital Catalog'!$F:$F,"&lt;="&amp;A187,'Hospital Catalog'!$H:$H,"Yes",'Hospital Catalog'!$K:$K,"Medium")</x:f>
        <x:v>0</x:v>
      </x:c>
      <x:c r="I187" s="22" t="n">
        <x:f>IFERROR(H187/C187*100000,"")</x:f>
        <x:v>0</x:v>
      </x:c>
      <x:c r="J187" s="16" t="str"/>
    </x:row>
    <x:row r="188">
      <x:c r="A188" s="16" t="n">
        <x:v>1970</x:v>
      </x:c>
      <x:c r="B188" s="16" t="str">
        <x:v>Miguel Hidalgo</x:v>
      </x:c>
      <x:c r="C188" s="20" t="n">
        <x:f>INDEX(Population!$B$2:$R$17,MATCH(B188,Population!$A$2:$A$17,0),MATCH(A188,Population!$B$1:$R$1,0))</x:f>
        <x:v>607319</x:v>
      </x:c>
      <x:c r="D188" s="18" t="n">
        <x:f>COUNTIFS('Hospital Catalog'!$E:$E,B188,'Hospital Catalog'!$F:$F,"&lt;="&amp;A188,'Hospital Catalog'!$H:$H,"Yes")</x:f>
        <x:v>3</x:v>
      </x:c>
      <x:c r="E188" s="22" t="n">
        <x:f>IFERROR(D188/C188*100000,"")</x:f>
        <x:v>0.4939743363866436</x:v>
      </x:c>
      <x:c r="F188" s="18" t="n">
        <x:f>COUNTIFS('Hospital Catalog'!$E:$E,B188,'Hospital Catalog'!$F:$F,"&lt;="&amp;A188,'Hospital Catalog'!$H:$H,"Yes",'Hospital Catalog'!$D:$D,"*public*") + COUNTIFS('Hospital Catalog'!$E:$E,B188,'Hospital Catalog'!$F:$F,"&lt;="&amp;A188,'Hospital Catalog'!$H:$H,"Yes",'Hospital Catalog'!$D:$D,"IMSS public") + COUNTIFS('Hospital Catalog'!$E:$E,B188,'Hospital Catalog'!$F:$F,"&lt;="&amp;A188,'Hospital Catalog'!$H:$H,"Yes",'Hospital Catalog'!$D:$D,"ISSSTE public")</x:f>
        <x:v>0</x:v>
      </x:c>
      <x:c r="G188" s="22" t="n">
        <x:f>IFERROR(F188/C188*100000,"")</x:f>
        <x:v>0</x:v>
      </x:c>
      <x:c r="H188" s="18" t="n">
        <x:f>COUNTIFS('Hospital Catalog'!$E:$E,B188,'Hospital Catalog'!$F:$F,"&lt;="&amp;A188,'Hospital Catalog'!$H:$H,"Yes",'Hospital Catalog'!$K:$K,"High") + COUNTIFS('Hospital Catalog'!$E:$E,B188,'Hospital Catalog'!$F:$F,"&lt;="&amp;A188,'Hospital Catalog'!$H:$H,"Yes",'Hospital Catalog'!$K:$K,"Medium")</x:f>
        <x:v>3</x:v>
      </x:c>
      <x:c r="I188" s="22" t="n">
        <x:f>IFERROR(H188/C188*100000,"")</x:f>
        <x:v>0.4939743363866436</x:v>
      </x:c>
      <x:c r="J188" s="16" t="str"/>
    </x:row>
    <x:row r="189">
      <x:c r="A189" s="16" t="n">
        <x:v>1970</x:v>
      </x:c>
      <x:c r="B189" s="16" t="str">
        <x:v>Milpa Alta</x:v>
      </x:c>
      <x:c r="C189" s="20" t="n">
        <x:f>INDEX(Population!$B$2:$R$17,MATCH(B189,Population!$A$2:$A$17,0),MATCH(A189,Population!$B$1:$R$1,0))</x:f>
        <x:v>33694</x:v>
      </x:c>
      <x:c r="D189" s="18" t="n">
        <x:f>COUNTIFS('Hospital Catalog'!$E:$E,B189,'Hospital Catalog'!$F:$F,"&lt;="&amp;A189,'Hospital Catalog'!$H:$H,"Yes")</x:f>
        <x:v>0</x:v>
      </x:c>
      <x:c r="E189" s="22" t="n">
        <x:f>IFERROR(D189/C189*100000,"")</x:f>
        <x:v>0</x:v>
      </x:c>
      <x:c r="F189" s="18" t="n">
        <x:f>COUNTIFS('Hospital Catalog'!$E:$E,B189,'Hospital Catalog'!$F:$F,"&lt;="&amp;A189,'Hospital Catalog'!$H:$H,"Yes",'Hospital Catalog'!$D:$D,"*public*") + COUNTIFS('Hospital Catalog'!$E:$E,B189,'Hospital Catalog'!$F:$F,"&lt;="&amp;A189,'Hospital Catalog'!$H:$H,"Yes",'Hospital Catalog'!$D:$D,"IMSS public") + COUNTIFS('Hospital Catalog'!$E:$E,B189,'Hospital Catalog'!$F:$F,"&lt;="&amp;A189,'Hospital Catalog'!$H:$H,"Yes",'Hospital Catalog'!$D:$D,"ISSSTE public")</x:f>
        <x:v>0</x:v>
      </x:c>
      <x:c r="G189" s="22" t="n">
        <x:f>IFERROR(F189/C189*100000,"")</x:f>
        <x:v>0</x:v>
      </x:c>
      <x:c r="H189" s="18" t="n">
        <x:f>COUNTIFS('Hospital Catalog'!$E:$E,B189,'Hospital Catalog'!$F:$F,"&lt;="&amp;A189,'Hospital Catalog'!$H:$H,"Yes",'Hospital Catalog'!$K:$K,"High") + COUNTIFS('Hospital Catalog'!$E:$E,B189,'Hospital Catalog'!$F:$F,"&lt;="&amp;A189,'Hospital Catalog'!$H:$H,"Yes",'Hospital Catalog'!$K:$K,"Medium")</x:f>
        <x:v>0</x:v>
      </x:c>
      <x:c r="I189" s="22" t="n">
        <x:f>IFERROR(H189/C189*100000,"")</x:f>
        <x:v>0</x:v>
      </x:c>
      <x:c r="J189" s="16" t="str"/>
    </x:row>
    <x:row r="190">
      <x:c r="A190" s="16" t="n">
        <x:v>1970</x:v>
      </x:c>
      <x:c r="B190" s="16" t="str">
        <x:v>Tláhuac</x:v>
      </x:c>
      <x:c r="C190" s="20" t="n">
        <x:f>INDEX(Population!$B$2:$R$17,MATCH(B190,Population!$A$2:$A$17,0),MATCH(A190,Population!$B$1:$R$1,0))</x:f>
        <x:v>62419</x:v>
      </x:c>
      <x:c r="D190" s="18" t="n">
        <x:f>COUNTIFS('Hospital Catalog'!$E:$E,B190,'Hospital Catalog'!$F:$F,"&lt;="&amp;A190,'Hospital Catalog'!$H:$H,"Yes")</x:f>
        <x:v>0</x:v>
      </x:c>
      <x:c r="E190" s="22" t="n">
        <x:f>IFERROR(D190/C190*100000,"")</x:f>
        <x:v>0</x:v>
      </x:c>
      <x:c r="F190" s="18" t="n">
        <x:f>COUNTIFS('Hospital Catalog'!$E:$E,B190,'Hospital Catalog'!$F:$F,"&lt;="&amp;A190,'Hospital Catalog'!$H:$H,"Yes",'Hospital Catalog'!$D:$D,"*public*") + COUNTIFS('Hospital Catalog'!$E:$E,B190,'Hospital Catalog'!$F:$F,"&lt;="&amp;A190,'Hospital Catalog'!$H:$H,"Yes",'Hospital Catalog'!$D:$D,"IMSS public") + COUNTIFS('Hospital Catalog'!$E:$E,B190,'Hospital Catalog'!$F:$F,"&lt;="&amp;A190,'Hospital Catalog'!$H:$H,"Yes",'Hospital Catalog'!$D:$D,"ISSSTE public")</x:f>
        <x:v>0</x:v>
      </x:c>
      <x:c r="G190" s="22" t="n">
        <x:f>IFERROR(F190/C190*100000,"")</x:f>
        <x:v>0</x:v>
      </x:c>
      <x:c r="H190" s="18" t="n">
        <x:f>COUNTIFS('Hospital Catalog'!$E:$E,B190,'Hospital Catalog'!$F:$F,"&lt;="&amp;A190,'Hospital Catalog'!$H:$H,"Yes",'Hospital Catalog'!$K:$K,"High") + COUNTIFS('Hospital Catalog'!$E:$E,B190,'Hospital Catalog'!$F:$F,"&lt;="&amp;A190,'Hospital Catalog'!$H:$H,"Yes",'Hospital Catalog'!$K:$K,"Medium")</x:f>
        <x:v>0</x:v>
      </x:c>
      <x:c r="I190" s="22" t="n">
        <x:f>IFERROR(H190/C190*100000,"")</x:f>
        <x:v>0</x:v>
      </x:c>
      <x:c r="J190" s="16" t="str"/>
    </x:row>
    <x:row r="191">
      <x:c r="A191" s="16" t="n">
        <x:v>1970</x:v>
      </x:c>
      <x:c r="B191" s="16" t="str">
        <x:v>Tlalpan</x:v>
      </x:c>
      <x:c r="C191" s="20" t="n">
        <x:f>INDEX(Population!$B$2:$R$17,MATCH(B191,Population!$A$2:$A$17,0),MATCH(A191,Population!$B$1:$R$1,0))</x:f>
        <x:v>130719</x:v>
      </x:c>
      <x:c r="D191" s="18" t="n">
        <x:f>COUNTIFS('Hospital Catalog'!$E:$E,B191,'Hospital Catalog'!$F:$F,"&lt;="&amp;A191,'Hospital Catalog'!$H:$H,"Yes")</x:f>
        <x:v>5</x:v>
      </x:c>
      <x:c r="E191" s="22" t="n">
        <x:f>IFERROR(D191/C191*100000,"")</x:f>
        <x:v>3.8249986612504685</x:v>
      </x:c>
      <x:c r="F191" s="18" t="n">
        <x:f>COUNTIFS('Hospital Catalog'!$E:$E,B191,'Hospital Catalog'!$F:$F,"&lt;="&amp;A191,'Hospital Catalog'!$H:$H,"Yes",'Hospital Catalog'!$D:$D,"*public*") + COUNTIFS('Hospital Catalog'!$E:$E,B191,'Hospital Catalog'!$F:$F,"&lt;="&amp;A191,'Hospital Catalog'!$H:$H,"Yes",'Hospital Catalog'!$D:$D,"IMSS public") + COUNTIFS('Hospital Catalog'!$E:$E,B191,'Hospital Catalog'!$F:$F,"&lt;="&amp;A191,'Hospital Catalog'!$H:$H,"Yes",'Hospital Catalog'!$D:$D,"ISSSTE public")</x:f>
        <x:v>0</x:v>
      </x:c>
      <x:c r="G191" s="22" t="n">
        <x:f>IFERROR(F191/C191*100000,"")</x:f>
        <x:v>0</x:v>
      </x:c>
      <x:c r="H191" s="18" t="n">
        <x:f>COUNTIFS('Hospital Catalog'!$E:$E,B191,'Hospital Catalog'!$F:$F,"&lt;="&amp;A191,'Hospital Catalog'!$H:$H,"Yes",'Hospital Catalog'!$K:$K,"High") + COUNTIFS('Hospital Catalog'!$E:$E,B191,'Hospital Catalog'!$F:$F,"&lt;="&amp;A191,'Hospital Catalog'!$H:$H,"Yes",'Hospital Catalog'!$K:$K,"Medium")</x:f>
        <x:v>5</x:v>
      </x:c>
      <x:c r="I191" s="22" t="n">
        <x:f>IFERROR(H191/C191*100000,"")</x:f>
        <x:v>3.8249986612504685</x:v>
      </x:c>
      <x:c r="J191" s="16" t="str"/>
    </x:row>
    <x:row r="192">
      <x:c r="A192" s="16" t="n">
        <x:v>1970</x:v>
      </x:c>
      <x:c r="B192" s="16" t="str">
        <x:v>Venustiano Carranza</x:v>
      </x:c>
      <x:c r="C192" s="20" t="n">
        <x:f>INDEX(Population!$B$2:$R$17,MATCH(B192,Population!$A$2:$A$17,0),MATCH(A192,Population!$B$1:$R$1,0))</x:f>
        <x:v>774882</x:v>
      </x:c>
      <x:c r="D192" s="18" t="n">
        <x:f>COUNTIFS('Hospital Catalog'!$E:$E,B192,'Hospital Catalog'!$F:$F,"&lt;="&amp;A192,'Hospital Catalog'!$H:$H,"Yes")</x:f>
        <x:v>2</x:v>
      </x:c>
      <x:c r="E192" s="22" t="n">
        <x:f>IFERROR(D192/C192*100000,"")</x:f>
        <x:v>0.25810381451627473</x:v>
      </x:c>
      <x:c r="F192" s="18" t="n">
        <x:f>COUNTIFS('Hospital Catalog'!$E:$E,B192,'Hospital Catalog'!$F:$F,"&lt;="&amp;A192,'Hospital Catalog'!$H:$H,"Yes",'Hospital Catalog'!$D:$D,"*public*") + COUNTIFS('Hospital Catalog'!$E:$E,B192,'Hospital Catalog'!$F:$F,"&lt;="&amp;A192,'Hospital Catalog'!$H:$H,"Yes",'Hospital Catalog'!$D:$D,"IMSS public") + COUNTIFS('Hospital Catalog'!$E:$E,B192,'Hospital Catalog'!$F:$F,"&lt;="&amp;A192,'Hospital Catalog'!$H:$H,"Yes",'Hospital Catalog'!$D:$D,"ISSSTE public")</x:f>
        <x:v>0</x:v>
      </x:c>
      <x:c r="G192" s="22" t="n">
        <x:f>IFERROR(F192/C192*100000,"")</x:f>
        <x:v>0</x:v>
      </x:c>
      <x:c r="H192" s="18" t="n">
        <x:f>COUNTIFS('Hospital Catalog'!$E:$E,B192,'Hospital Catalog'!$F:$F,"&lt;="&amp;A192,'Hospital Catalog'!$H:$H,"Yes",'Hospital Catalog'!$K:$K,"High") + COUNTIFS('Hospital Catalog'!$E:$E,B192,'Hospital Catalog'!$F:$F,"&lt;="&amp;A192,'Hospital Catalog'!$H:$H,"Yes",'Hospital Catalog'!$K:$K,"Medium")</x:f>
        <x:v>2</x:v>
      </x:c>
      <x:c r="I192" s="22" t="n">
        <x:f>IFERROR(H192/C192*100000,"")</x:f>
        <x:v>0.25810381451627473</x:v>
      </x:c>
      <x:c r="J192" s="16" t="str"/>
    </x:row>
    <x:row r="193">
      <x:c r="A193" s="16" t="n">
        <x:v>1970</x:v>
      </x:c>
      <x:c r="B193" s="16" t="str">
        <x:v>Xochimilco</x:v>
      </x:c>
      <x:c r="C193" s="20" t="n">
        <x:f>INDEX(Population!$B$2:$R$17,MATCH(B193,Population!$A$2:$A$17,0),MATCH(A193,Population!$B$1:$R$1,0))</x:f>
        <x:v>116493</x:v>
      </x:c>
      <x:c r="D193" s="18" t="n">
        <x:f>COUNTIFS('Hospital Catalog'!$E:$E,B193,'Hospital Catalog'!$F:$F,"&lt;="&amp;A193,'Hospital Catalog'!$H:$H,"Yes")</x:f>
        <x:v>0</x:v>
      </x:c>
      <x:c r="E193" s="22" t="n">
        <x:f>IFERROR(D193/C193*100000,"")</x:f>
        <x:v>0</x:v>
      </x:c>
      <x:c r="F193" s="18" t="n">
        <x:f>COUNTIFS('Hospital Catalog'!$E:$E,B193,'Hospital Catalog'!$F:$F,"&lt;="&amp;A193,'Hospital Catalog'!$H:$H,"Yes",'Hospital Catalog'!$D:$D,"*public*") + COUNTIFS('Hospital Catalog'!$E:$E,B193,'Hospital Catalog'!$F:$F,"&lt;="&amp;A193,'Hospital Catalog'!$H:$H,"Yes",'Hospital Catalog'!$D:$D,"IMSS public") + COUNTIFS('Hospital Catalog'!$E:$E,B193,'Hospital Catalog'!$F:$F,"&lt;="&amp;A193,'Hospital Catalog'!$H:$H,"Yes",'Hospital Catalog'!$D:$D,"ISSSTE public")</x:f>
        <x:v>0</x:v>
      </x:c>
      <x:c r="G193" s="22" t="n">
        <x:f>IFERROR(F193/C193*100000,"")</x:f>
        <x:v>0</x:v>
      </x:c>
      <x:c r="H193" s="18" t="n">
        <x:f>COUNTIFS('Hospital Catalog'!$E:$E,B193,'Hospital Catalog'!$F:$F,"&lt;="&amp;A193,'Hospital Catalog'!$H:$H,"Yes",'Hospital Catalog'!$K:$K,"High") + COUNTIFS('Hospital Catalog'!$E:$E,B193,'Hospital Catalog'!$F:$F,"&lt;="&amp;A193,'Hospital Catalog'!$H:$H,"Yes",'Hospital Catalog'!$K:$K,"Medium")</x:f>
        <x:v>0</x:v>
      </x:c>
      <x:c r="I193" s="22" t="n">
        <x:f>IFERROR(H193/C193*100000,"")</x:f>
        <x:v>0</x:v>
      </x:c>
      <x:c r="J193" s="16" t="str"/>
    </x:row>
    <x:row r="194">
      <x:c r="A194" s="16" t="n">
        <x:v>1980</x:v>
      </x:c>
      <x:c r="B194" s="16" t="str">
        <x:v>Álvaro Obregón</x:v>
      </x:c>
      <x:c r="C194" s="20" t="n">
        <x:f>INDEX(Population!$B$2:$R$17,MATCH(B194,Population!$A$2:$A$17,0),MATCH(A194,Population!$B$1:$R$1,0))</x:f>
        <x:v>639213</x:v>
      </x:c>
      <x:c r="D194" s="18" t="n">
        <x:f>COUNTIFS('Hospital Catalog'!$E:$E,B194,'Hospital Catalog'!$F:$F,"&lt;="&amp;A194,'Hospital Catalog'!$H:$H,"Yes")</x:f>
        <x:v>2</x:v>
      </x:c>
      <x:c r="E194" s="22" t="n">
        <x:f>IFERROR(D194/C194*100000,"")</x:f>
        <x:v>0.31288475046658937</x:v>
      </x:c>
      <x:c r="F194" s="18" t="n">
        <x:f>COUNTIFS('Hospital Catalog'!$E:$E,B194,'Hospital Catalog'!$F:$F,"&lt;="&amp;A194,'Hospital Catalog'!$H:$H,"Yes",'Hospital Catalog'!$D:$D,"*public*") + COUNTIFS('Hospital Catalog'!$E:$E,B194,'Hospital Catalog'!$F:$F,"&lt;="&amp;A194,'Hospital Catalog'!$H:$H,"Yes",'Hospital Catalog'!$D:$D,"IMSS public") + COUNTIFS('Hospital Catalog'!$E:$E,B194,'Hospital Catalog'!$F:$F,"&lt;="&amp;A194,'Hospital Catalog'!$H:$H,"Yes",'Hospital Catalog'!$D:$D,"ISSSTE public")</x:f>
        <x:v>1</x:v>
      </x:c>
      <x:c r="G194" s="22" t="n">
        <x:f>IFERROR(F194/C194*100000,"")</x:f>
        <x:v>0.15644237523329468</x:v>
      </x:c>
      <x:c r="H194" s="18" t="n">
        <x:f>COUNTIFS('Hospital Catalog'!$E:$E,B194,'Hospital Catalog'!$F:$F,"&lt;="&amp;A194,'Hospital Catalog'!$H:$H,"Yes",'Hospital Catalog'!$K:$K,"High") + COUNTIFS('Hospital Catalog'!$E:$E,B194,'Hospital Catalog'!$F:$F,"&lt;="&amp;A194,'Hospital Catalog'!$H:$H,"Yes",'Hospital Catalog'!$K:$K,"Medium")</x:f>
        <x:v>2</x:v>
      </x:c>
      <x:c r="I194" s="22" t="n">
        <x:f>IFERROR(H194/C194*100000,"")</x:f>
        <x:v>0.31288475046658937</x:v>
      </x:c>
      <x:c r="J194" s="16" t="str"/>
    </x:row>
    <x:row r="195">
      <x:c r="A195" s="16" t="n">
        <x:v>1980</x:v>
      </x:c>
      <x:c r="B195" s="16" t="str">
        <x:v>Azcapotzalco</x:v>
      </x:c>
      <x:c r="C195" s="20" t="n">
        <x:f>INDEX(Population!$B$2:$R$17,MATCH(B195,Population!$A$2:$A$17,0),MATCH(A195,Population!$B$1:$R$1,0))</x:f>
        <x:v>601524</x:v>
      </x:c>
      <x:c r="D195" s="18" t="n">
        <x:f>COUNTIFS('Hospital Catalog'!$E:$E,B195,'Hospital Catalog'!$F:$F,"&lt;="&amp;A195,'Hospital Catalog'!$H:$H,"Yes")</x:f>
        <x:v>2</x:v>
      </x:c>
      <x:c r="E195" s="22" t="n">
        <x:f>IFERROR(D195/C195*100000,"")</x:f>
        <x:v>0.3324888117514846</x:v>
      </x:c>
      <x:c r="F195" s="18" t="n">
        <x:f>COUNTIFS('Hospital Catalog'!$E:$E,B195,'Hospital Catalog'!$F:$F,"&lt;="&amp;A195,'Hospital Catalog'!$H:$H,"Yes",'Hospital Catalog'!$D:$D,"*public*") + COUNTIFS('Hospital Catalog'!$E:$E,B195,'Hospital Catalog'!$F:$F,"&lt;="&amp;A195,'Hospital Catalog'!$H:$H,"Yes",'Hospital Catalog'!$D:$D,"IMSS public") + COUNTIFS('Hospital Catalog'!$E:$E,B195,'Hospital Catalog'!$F:$F,"&lt;="&amp;A195,'Hospital Catalog'!$H:$H,"Yes",'Hospital Catalog'!$D:$D,"ISSSTE public")</x:f>
        <x:v>1</x:v>
      </x:c>
      <x:c r="G195" s="22" t="n">
        <x:f>IFERROR(F195/C195*100000,"")</x:f>
        <x:v>0.1662444058757423</x:v>
      </x:c>
      <x:c r="H195" s="18" t="n">
        <x:f>COUNTIFS('Hospital Catalog'!$E:$E,B195,'Hospital Catalog'!$F:$F,"&lt;="&amp;A195,'Hospital Catalog'!$H:$H,"Yes",'Hospital Catalog'!$K:$K,"High") + COUNTIFS('Hospital Catalog'!$E:$E,B195,'Hospital Catalog'!$F:$F,"&lt;="&amp;A195,'Hospital Catalog'!$H:$H,"Yes",'Hospital Catalog'!$K:$K,"Medium")</x:f>
        <x:v>2</x:v>
      </x:c>
      <x:c r="I195" s="22" t="n">
        <x:f>IFERROR(H195/C195*100000,"")</x:f>
        <x:v>0.3324888117514846</x:v>
      </x:c>
      <x:c r="J195" s="16" t="str"/>
    </x:row>
    <x:row r="196">
      <x:c r="A196" s="16" t="n">
        <x:v>1980</x:v>
      </x:c>
      <x:c r="B196" s="16" t="str">
        <x:v>Benito Juárez</x:v>
      </x:c>
      <x:c r="C196" s="20" t="n">
        <x:f>INDEX(Population!$B$2:$R$17,MATCH(B196,Population!$A$2:$A$17,0),MATCH(A196,Population!$B$1:$R$1,0))</x:f>
        <x:v>544882</x:v>
      </x:c>
      <x:c r="D196" s="18" t="n">
        <x:f>COUNTIFS('Hospital Catalog'!$E:$E,B196,'Hospital Catalog'!$F:$F,"&lt;="&amp;A196,'Hospital Catalog'!$H:$H,"Yes")</x:f>
        <x:v>2</x:v>
      </x:c>
      <x:c r="E196" s="22" t="n">
        <x:f>IFERROR(D196/C196*100000,"")</x:f>
        <x:v>0.3670519488623225</x:v>
      </x:c>
      <x:c r="F196" s="18" t="n">
        <x:f>COUNTIFS('Hospital Catalog'!$E:$E,B196,'Hospital Catalog'!$F:$F,"&lt;="&amp;A196,'Hospital Catalog'!$H:$H,"Yes",'Hospital Catalog'!$D:$D,"*public*") + COUNTIFS('Hospital Catalog'!$E:$E,B196,'Hospital Catalog'!$F:$F,"&lt;="&amp;A196,'Hospital Catalog'!$H:$H,"Yes",'Hospital Catalog'!$D:$D,"IMSS public") + COUNTIFS('Hospital Catalog'!$E:$E,B196,'Hospital Catalog'!$F:$F,"&lt;="&amp;A196,'Hospital Catalog'!$H:$H,"Yes",'Hospital Catalog'!$D:$D,"ISSSTE public")</x:f>
        <x:v>1</x:v>
      </x:c>
      <x:c r="G196" s="22" t="n">
        <x:f>IFERROR(F196/C196*100000,"")</x:f>
        <x:v>0.18352597443116125</x:v>
      </x:c>
      <x:c r="H196" s="18" t="n">
        <x:f>COUNTIFS('Hospital Catalog'!$E:$E,B196,'Hospital Catalog'!$F:$F,"&lt;="&amp;A196,'Hospital Catalog'!$H:$H,"Yes",'Hospital Catalog'!$K:$K,"High") + COUNTIFS('Hospital Catalog'!$E:$E,B196,'Hospital Catalog'!$F:$F,"&lt;="&amp;A196,'Hospital Catalog'!$H:$H,"Yes",'Hospital Catalog'!$K:$K,"Medium")</x:f>
        <x:v>1</x:v>
      </x:c>
      <x:c r="I196" s="22" t="n">
        <x:f>IFERROR(H196/C196*100000,"")</x:f>
        <x:v>0.18352597443116125</x:v>
      </x:c>
      <x:c r="J196" s="16" t="str"/>
    </x:row>
    <x:row r="197">
      <x:c r="A197" s="16" t="n">
        <x:v>1980</x:v>
      </x:c>
      <x:c r="B197" s="16" t="str">
        <x:v>Coyoacán</x:v>
      </x:c>
      <x:c r="C197" s="20" t="n">
        <x:f>INDEX(Population!$B$2:$R$17,MATCH(B197,Population!$A$2:$A$17,0),MATCH(A197,Population!$B$1:$R$1,0))</x:f>
        <x:v>597129</x:v>
      </x:c>
      <x:c r="D197" s="18" t="n">
        <x:f>COUNTIFS('Hospital Catalog'!$E:$E,B197,'Hospital Catalog'!$F:$F,"&lt;="&amp;A197,'Hospital Catalog'!$H:$H,"Yes")</x:f>
        <x:v>3</x:v>
      </x:c>
      <x:c r="E197" s="22" t="n">
        <x:f>IFERROR(D197/C197*100000,"")</x:f>
        <x:v>0.5024040031550971</x:v>
      </x:c>
      <x:c r="F197" s="18" t="n">
        <x:f>COUNTIFS('Hospital Catalog'!$E:$E,B197,'Hospital Catalog'!$F:$F,"&lt;="&amp;A197,'Hospital Catalog'!$H:$H,"Yes",'Hospital Catalog'!$D:$D,"*public*") + COUNTIFS('Hospital Catalog'!$E:$E,B197,'Hospital Catalog'!$F:$F,"&lt;="&amp;A197,'Hospital Catalog'!$H:$H,"Yes",'Hospital Catalog'!$D:$D,"IMSS public") + COUNTIFS('Hospital Catalog'!$E:$E,B197,'Hospital Catalog'!$F:$F,"&lt;="&amp;A197,'Hospital Catalog'!$H:$H,"Yes",'Hospital Catalog'!$D:$D,"ISSSTE public")</x:f>
        <x:v>0</x:v>
      </x:c>
      <x:c r="G197" s="22" t="n">
        <x:f>IFERROR(F197/C197*100000,"")</x:f>
        <x:v>0</x:v>
      </x:c>
      <x:c r="H197" s="18" t="n">
        <x:f>COUNTIFS('Hospital Catalog'!$E:$E,B197,'Hospital Catalog'!$F:$F,"&lt;="&amp;A197,'Hospital Catalog'!$H:$H,"Yes",'Hospital Catalog'!$K:$K,"High") + COUNTIFS('Hospital Catalog'!$E:$E,B197,'Hospital Catalog'!$F:$F,"&lt;="&amp;A197,'Hospital Catalog'!$H:$H,"Yes",'Hospital Catalog'!$K:$K,"Medium")</x:f>
        <x:v>3</x:v>
      </x:c>
      <x:c r="I197" s="22" t="n">
        <x:f>IFERROR(H197/C197*100000,"")</x:f>
        <x:v>0.5024040031550971</x:v>
      </x:c>
      <x:c r="J197" s="16" t="str"/>
    </x:row>
    <x:row r="198">
      <x:c r="A198" s="16" t="n">
        <x:v>1980</x:v>
      </x:c>
      <x:c r="B198" s="16" t="str">
        <x:v>Cuajimalpa de Morelos</x:v>
      </x:c>
      <x:c r="C198" s="20" t="n">
        <x:f>INDEX(Population!$B$2:$R$17,MATCH(B198,Population!$A$2:$A$17,0),MATCH(A198,Population!$B$1:$R$1,0))</x:f>
        <x:v>91200</x:v>
      </x:c>
      <x:c r="D198" s="18" t="n">
        <x:f>COUNTIFS('Hospital Catalog'!$E:$E,B198,'Hospital Catalog'!$F:$F,"&lt;="&amp;A198,'Hospital Catalog'!$H:$H,"Yes")</x:f>
        <x:v>0</x:v>
      </x:c>
      <x:c r="E198" s="22" t="n">
        <x:f>IFERROR(D198/C198*100000,"")</x:f>
        <x:v>0</x:v>
      </x:c>
      <x:c r="F198" s="18" t="n">
        <x:f>COUNTIFS('Hospital Catalog'!$E:$E,B198,'Hospital Catalog'!$F:$F,"&lt;="&amp;A198,'Hospital Catalog'!$H:$H,"Yes",'Hospital Catalog'!$D:$D,"*public*") + COUNTIFS('Hospital Catalog'!$E:$E,B198,'Hospital Catalog'!$F:$F,"&lt;="&amp;A198,'Hospital Catalog'!$H:$H,"Yes",'Hospital Catalog'!$D:$D,"IMSS public") + COUNTIFS('Hospital Catalog'!$E:$E,B198,'Hospital Catalog'!$F:$F,"&lt;="&amp;A198,'Hospital Catalog'!$H:$H,"Yes",'Hospital Catalog'!$D:$D,"ISSSTE public")</x:f>
        <x:v>0</x:v>
      </x:c>
      <x:c r="G198" s="22" t="n">
        <x:f>IFERROR(F198/C198*100000,"")</x:f>
        <x:v>0</x:v>
      </x:c>
      <x:c r="H198" s="18" t="n">
        <x:f>COUNTIFS('Hospital Catalog'!$E:$E,B198,'Hospital Catalog'!$F:$F,"&lt;="&amp;A198,'Hospital Catalog'!$H:$H,"Yes",'Hospital Catalog'!$K:$K,"High") + COUNTIFS('Hospital Catalog'!$E:$E,B198,'Hospital Catalog'!$F:$F,"&lt;="&amp;A198,'Hospital Catalog'!$H:$H,"Yes",'Hospital Catalog'!$K:$K,"Medium")</x:f>
        <x:v>0</x:v>
      </x:c>
      <x:c r="I198" s="22" t="n">
        <x:f>IFERROR(H198/C198*100000,"")</x:f>
        <x:v>0</x:v>
      </x:c>
      <x:c r="J198" s="16" t="str"/>
    </x:row>
    <x:row r="199">
      <x:c r="A199" s="16" t="n">
        <x:v>1980</x:v>
      </x:c>
      <x:c r="B199" s="16" t="str">
        <x:v>Cuauhtémoc</x:v>
      </x:c>
      <x:c r="C199" s="20" t="n">
        <x:f>INDEX(Population!$B$2:$R$17,MATCH(B199,Population!$A$2:$A$17,0),MATCH(A199,Population!$B$1:$R$1,0))</x:f>
        <x:v>814983</x:v>
      </x:c>
      <x:c r="D199" s="18" t="n">
        <x:f>COUNTIFS('Hospital Catalog'!$E:$E,B199,'Hospital Catalog'!$F:$F,"&lt;="&amp;A199,'Hospital Catalog'!$H:$H,"Yes")</x:f>
        <x:v>4</x:v>
      </x:c>
      <x:c r="E199" s="22" t="n">
        <x:f>IFERROR(D199/C199*100000,"")</x:f>
        <x:v>0.490807783720642</x:v>
      </x:c>
      <x:c r="F199" s="18" t="n">
        <x:f>COUNTIFS('Hospital Catalog'!$E:$E,B199,'Hospital Catalog'!$F:$F,"&lt;="&amp;A199,'Hospital Catalog'!$H:$H,"Yes",'Hospital Catalog'!$D:$D,"*public*") + COUNTIFS('Hospital Catalog'!$E:$E,B199,'Hospital Catalog'!$F:$F,"&lt;="&amp;A199,'Hospital Catalog'!$H:$H,"Yes",'Hospital Catalog'!$D:$D,"IMSS public") + COUNTIFS('Hospital Catalog'!$E:$E,B199,'Hospital Catalog'!$F:$F,"&lt;="&amp;A199,'Hospital Catalog'!$H:$H,"Yes",'Hospital Catalog'!$D:$D,"ISSSTE public")</x:f>
        <x:v>1</x:v>
      </x:c>
      <x:c r="G199" s="22" t="n">
        <x:f>IFERROR(F199/C199*100000,"")</x:f>
        <x:v>0.1227019459301605</x:v>
      </x:c>
      <x:c r="H199" s="18" t="n">
        <x:f>COUNTIFS('Hospital Catalog'!$E:$E,B199,'Hospital Catalog'!$F:$F,"&lt;="&amp;A199,'Hospital Catalog'!$H:$H,"Yes",'Hospital Catalog'!$K:$K,"High") + COUNTIFS('Hospital Catalog'!$E:$E,B199,'Hospital Catalog'!$F:$F,"&lt;="&amp;A199,'Hospital Catalog'!$H:$H,"Yes",'Hospital Catalog'!$K:$K,"Medium")</x:f>
        <x:v>4</x:v>
      </x:c>
      <x:c r="I199" s="22" t="n">
        <x:f>IFERROR(H199/C199*100000,"")</x:f>
        <x:v>0.490807783720642</x:v>
      </x:c>
      <x:c r="J199" s="16" t="str"/>
    </x:row>
    <x:row r="200">
      <x:c r="A200" s="16" t="n">
        <x:v>1980</x:v>
      </x:c>
      <x:c r="B200" s="16" t="str">
        <x:v>Gustavo A. Madero</x:v>
      </x:c>
      <x:c r="C200" s="20" t="n">
        <x:f>INDEX(Population!$B$2:$R$17,MATCH(B200,Population!$A$2:$A$17,0),MATCH(A200,Population!$B$1:$R$1,0))</x:f>
        <x:v>1513360</x:v>
      </x:c>
      <x:c r="D200" s="18" t="n">
        <x:f>COUNTIFS('Hospital Catalog'!$E:$E,B200,'Hospital Catalog'!$F:$F,"&lt;="&amp;A200,'Hospital Catalog'!$H:$H,"Yes")</x:f>
        <x:v>3</x:v>
      </x:c>
      <x:c r="E200" s="22" t="n">
        <x:f>IFERROR(D200/C200*100000,"")</x:f>
        <x:v>0.19823439234550932</x:v>
      </x:c>
      <x:c r="F200" s="18" t="n">
        <x:f>COUNTIFS('Hospital Catalog'!$E:$E,B200,'Hospital Catalog'!$F:$F,"&lt;="&amp;A200,'Hospital Catalog'!$H:$H,"Yes",'Hospital Catalog'!$D:$D,"*public*") + COUNTIFS('Hospital Catalog'!$E:$E,B200,'Hospital Catalog'!$F:$F,"&lt;="&amp;A200,'Hospital Catalog'!$H:$H,"Yes",'Hospital Catalog'!$D:$D,"IMSS public") + COUNTIFS('Hospital Catalog'!$E:$E,B200,'Hospital Catalog'!$F:$F,"&lt;="&amp;A200,'Hospital Catalog'!$H:$H,"Yes",'Hospital Catalog'!$D:$D,"ISSSTE public")</x:f>
        <x:v>0</x:v>
      </x:c>
      <x:c r="G200" s="22" t="n">
        <x:f>IFERROR(F200/C200*100000,"")</x:f>
        <x:v>0</x:v>
      </x:c>
      <x:c r="H200" s="18" t="n">
        <x:f>COUNTIFS('Hospital Catalog'!$E:$E,B200,'Hospital Catalog'!$F:$F,"&lt;="&amp;A200,'Hospital Catalog'!$H:$H,"Yes",'Hospital Catalog'!$K:$K,"High") + COUNTIFS('Hospital Catalog'!$E:$E,B200,'Hospital Catalog'!$F:$F,"&lt;="&amp;A200,'Hospital Catalog'!$H:$H,"Yes",'Hospital Catalog'!$K:$K,"Medium")</x:f>
        <x:v>0</x:v>
      </x:c>
      <x:c r="I200" s="22" t="n">
        <x:f>IFERROR(H200/C200*100000,"")</x:f>
        <x:v>0</x:v>
      </x:c>
      <x:c r="J200" s="16" t="str"/>
    </x:row>
    <x:row r="201">
      <x:c r="A201" s="16" t="n">
        <x:v>1980</x:v>
      </x:c>
      <x:c r="B201" s="16" t="str">
        <x:v>Iztacalco</x:v>
      </x:c>
      <x:c r="C201" s="20" t="n">
        <x:f>INDEX(Population!$B$2:$R$17,MATCH(B201,Population!$A$2:$A$17,0),MATCH(A201,Population!$B$1:$R$1,0))</x:f>
        <x:v>570377</x:v>
      </x:c>
      <x:c r="D201" s="18" t="n">
        <x:f>COUNTIFS('Hospital Catalog'!$E:$E,B201,'Hospital Catalog'!$F:$F,"&lt;="&amp;A201,'Hospital Catalog'!$H:$H,"Yes")</x:f>
        <x:v>1</x:v>
      </x:c>
      <x:c r="E201" s="22" t="n">
        <x:f>IFERROR(D201/C201*100000,"")</x:f>
        <x:v>0.17532263748362925</x:v>
      </x:c>
      <x:c r="F201" s="18" t="n">
        <x:f>COUNTIFS('Hospital Catalog'!$E:$E,B201,'Hospital Catalog'!$F:$F,"&lt;="&amp;A201,'Hospital Catalog'!$H:$H,"Yes",'Hospital Catalog'!$D:$D,"*public*") + COUNTIFS('Hospital Catalog'!$E:$E,B201,'Hospital Catalog'!$F:$F,"&lt;="&amp;A201,'Hospital Catalog'!$H:$H,"Yes",'Hospital Catalog'!$D:$D,"IMSS public") + COUNTIFS('Hospital Catalog'!$E:$E,B201,'Hospital Catalog'!$F:$F,"&lt;="&amp;A201,'Hospital Catalog'!$H:$H,"Yes",'Hospital Catalog'!$D:$D,"ISSSTE public")</x:f>
        <x:v>0</x:v>
      </x:c>
      <x:c r="G201" s="22" t="n">
        <x:f>IFERROR(F201/C201*100000,"")</x:f>
        <x:v>0</x:v>
      </x:c>
      <x:c r="H201" s="18" t="n">
        <x:f>COUNTIFS('Hospital Catalog'!$E:$E,B201,'Hospital Catalog'!$F:$F,"&lt;="&amp;A201,'Hospital Catalog'!$H:$H,"Yes",'Hospital Catalog'!$K:$K,"High") + COUNTIFS('Hospital Catalog'!$E:$E,B201,'Hospital Catalog'!$F:$F,"&lt;="&amp;A201,'Hospital Catalog'!$H:$H,"Yes",'Hospital Catalog'!$K:$K,"Medium")</x:f>
        <x:v>0</x:v>
      </x:c>
      <x:c r="I201" s="22" t="n">
        <x:f>IFERROR(H201/C201*100000,"")</x:f>
        <x:v>0</x:v>
      </x:c>
      <x:c r="J201" s="16" t="str"/>
    </x:row>
    <x:row r="202">
      <x:c r="A202" s="16" t="n">
        <x:v>1980</x:v>
      </x:c>
      <x:c r="B202" s="16" t="str">
        <x:v>Iztapalapa</x:v>
      </x:c>
      <x:c r="C202" s="20" t="n">
        <x:f>INDEX(Population!$B$2:$R$17,MATCH(B202,Population!$A$2:$A$17,0),MATCH(A202,Population!$B$1:$R$1,0))</x:f>
        <x:v>1262354</x:v>
      </x:c>
      <x:c r="D202" s="18" t="n">
        <x:f>COUNTIFS('Hospital Catalog'!$E:$E,B202,'Hospital Catalog'!$F:$F,"&lt;="&amp;A202,'Hospital Catalog'!$H:$H,"Yes")</x:f>
        <x:v>1</x:v>
      </x:c>
      <x:c r="E202" s="22" t="n">
        <x:f>IFERROR(D202/C202*100000,"")</x:f>
        <x:v>0.07921708173776927</x:v>
      </x:c>
      <x:c r="F202" s="18" t="n">
        <x:f>COUNTIFS('Hospital Catalog'!$E:$E,B202,'Hospital Catalog'!$F:$F,"&lt;="&amp;A202,'Hospital Catalog'!$H:$H,"Yes",'Hospital Catalog'!$D:$D,"*public*") + COUNTIFS('Hospital Catalog'!$E:$E,B202,'Hospital Catalog'!$F:$F,"&lt;="&amp;A202,'Hospital Catalog'!$H:$H,"Yes",'Hospital Catalog'!$D:$D,"IMSS public") + COUNTIFS('Hospital Catalog'!$E:$E,B202,'Hospital Catalog'!$F:$F,"&lt;="&amp;A202,'Hospital Catalog'!$H:$H,"Yes",'Hospital Catalog'!$D:$D,"ISSSTE public")</x:f>
        <x:v>1</x:v>
      </x:c>
      <x:c r="G202" s="22" t="n">
        <x:f>IFERROR(F202/C202*100000,"")</x:f>
        <x:v>0.07921708173776927</x:v>
      </x:c>
      <x:c r="H202" s="18" t="n">
        <x:f>COUNTIFS('Hospital Catalog'!$E:$E,B202,'Hospital Catalog'!$F:$F,"&lt;="&amp;A202,'Hospital Catalog'!$H:$H,"Yes",'Hospital Catalog'!$K:$K,"High") + COUNTIFS('Hospital Catalog'!$E:$E,B202,'Hospital Catalog'!$F:$F,"&lt;="&amp;A202,'Hospital Catalog'!$H:$H,"Yes",'Hospital Catalog'!$K:$K,"Medium")</x:f>
        <x:v>0</x:v>
      </x:c>
      <x:c r="I202" s="22" t="n">
        <x:f>IFERROR(H202/C202*100000,"")</x:f>
        <x:v>0</x:v>
      </x:c>
      <x:c r="J202" s="16" t="str"/>
    </x:row>
    <x:row r="203">
      <x:c r="A203" s="16" t="n">
        <x:v>1980</x:v>
      </x:c>
      <x:c r="B203" s="16" t="str">
        <x:v>La Magdalena Contreras</x:v>
      </x:c>
      <x:c r="C203" s="20" t="n">
        <x:f>INDEX(Population!$B$2:$R$17,MATCH(B203,Population!$A$2:$A$17,0),MATCH(A203,Population!$B$1:$R$1,0))</x:f>
        <x:v>173105</x:v>
      </x:c>
      <x:c r="D203" s="18" t="n">
        <x:f>COUNTIFS('Hospital Catalog'!$E:$E,B203,'Hospital Catalog'!$F:$F,"&lt;="&amp;A203,'Hospital Catalog'!$H:$H,"Yes")</x:f>
        <x:v>0</x:v>
      </x:c>
      <x:c r="E203" s="22" t="n">
        <x:f>IFERROR(D203/C203*100000,"")</x:f>
        <x:v>0</x:v>
      </x:c>
      <x:c r="F203" s="18" t="n">
        <x:f>COUNTIFS('Hospital Catalog'!$E:$E,B203,'Hospital Catalog'!$F:$F,"&lt;="&amp;A203,'Hospital Catalog'!$H:$H,"Yes",'Hospital Catalog'!$D:$D,"*public*") + COUNTIFS('Hospital Catalog'!$E:$E,B203,'Hospital Catalog'!$F:$F,"&lt;="&amp;A203,'Hospital Catalog'!$H:$H,"Yes",'Hospital Catalog'!$D:$D,"IMSS public") + COUNTIFS('Hospital Catalog'!$E:$E,B203,'Hospital Catalog'!$F:$F,"&lt;="&amp;A203,'Hospital Catalog'!$H:$H,"Yes",'Hospital Catalog'!$D:$D,"ISSSTE public")</x:f>
        <x:v>0</x:v>
      </x:c>
      <x:c r="G203" s="22" t="n">
        <x:f>IFERROR(F203/C203*100000,"")</x:f>
        <x:v>0</x:v>
      </x:c>
      <x:c r="H203" s="18" t="n">
        <x:f>COUNTIFS('Hospital Catalog'!$E:$E,B203,'Hospital Catalog'!$F:$F,"&lt;="&amp;A203,'Hospital Catalog'!$H:$H,"Yes",'Hospital Catalog'!$K:$K,"High") + COUNTIFS('Hospital Catalog'!$E:$E,B203,'Hospital Catalog'!$F:$F,"&lt;="&amp;A203,'Hospital Catalog'!$H:$H,"Yes",'Hospital Catalog'!$K:$K,"Medium")</x:f>
        <x:v>0</x:v>
      </x:c>
      <x:c r="I203" s="22" t="n">
        <x:f>IFERROR(H203/C203*100000,"")</x:f>
        <x:v>0</x:v>
      </x:c>
      <x:c r="J203" s="16" t="str"/>
    </x:row>
    <x:row r="204">
      <x:c r="A204" s="16" t="n">
        <x:v>1980</x:v>
      </x:c>
      <x:c r="B204" s="16" t="str">
        <x:v>Miguel Hidalgo</x:v>
      </x:c>
      <x:c r="C204" s="20" t="n">
        <x:f>INDEX(Population!$B$2:$R$17,MATCH(B204,Population!$A$2:$A$17,0),MATCH(A204,Population!$B$1:$R$1,0))</x:f>
        <x:v>543062</x:v>
      </x:c>
      <x:c r="D204" s="18" t="n">
        <x:f>COUNTIFS('Hospital Catalog'!$E:$E,B204,'Hospital Catalog'!$F:$F,"&lt;="&amp;A204,'Hospital Catalog'!$H:$H,"Yes")</x:f>
        <x:v>4</x:v>
      </x:c>
      <x:c r="E204" s="22" t="n">
        <x:f>IFERROR(D204/C204*100000,"")</x:f>
        <x:v>0.7365641492131653</x:v>
      </x:c>
      <x:c r="F204" s="18" t="n">
        <x:f>COUNTIFS('Hospital Catalog'!$E:$E,B204,'Hospital Catalog'!$F:$F,"&lt;="&amp;A204,'Hospital Catalog'!$H:$H,"Yes",'Hospital Catalog'!$D:$D,"*public*") + COUNTIFS('Hospital Catalog'!$E:$E,B204,'Hospital Catalog'!$F:$F,"&lt;="&amp;A204,'Hospital Catalog'!$H:$H,"Yes",'Hospital Catalog'!$D:$D,"IMSS public") + COUNTIFS('Hospital Catalog'!$E:$E,B204,'Hospital Catalog'!$F:$F,"&lt;="&amp;A204,'Hospital Catalog'!$H:$H,"Yes",'Hospital Catalog'!$D:$D,"ISSSTE public")</x:f>
        <x:v>0</x:v>
      </x:c>
      <x:c r="G204" s="22" t="n">
        <x:f>IFERROR(F204/C204*100000,"")</x:f>
        <x:v>0</x:v>
      </x:c>
      <x:c r="H204" s="18" t="n">
        <x:f>COUNTIFS('Hospital Catalog'!$E:$E,B204,'Hospital Catalog'!$F:$F,"&lt;="&amp;A204,'Hospital Catalog'!$H:$H,"Yes",'Hospital Catalog'!$K:$K,"High") + COUNTIFS('Hospital Catalog'!$E:$E,B204,'Hospital Catalog'!$F:$F,"&lt;="&amp;A204,'Hospital Catalog'!$H:$H,"Yes",'Hospital Catalog'!$K:$K,"Medium")</x:f>
        <x:v>4</x:v>
      </x:c>
      <x:c r="I204" s="22" t="n">
        <x:f>IFERROR(H204/C204*100000,"")</x:f>
        <x:v>0.7365641492131653</x:v>
      </x:c>
      <x:c r="J204" s="16" t="str"/>
    </x:row>
    <x:row r="205">
      <x:c r="A205" s="16" t="n">
        <x:v>1980</x:v>
      </x:c>
      <x:c r="B205" s="16" t="str">
        <x:v>Milpa Alta</x:v>
      </x:c>
      <x:c r="C205" s="20" t="n">
        <x:f>INDEX(Population!$B$2:$R$17,MATCH(B205,Population!$A$2:$A$17,0),MATCH(A205,Population!$B$1:$R$1,0))</x:f>
        <x:v>53616</x:v>
      </x:c>
      <x:c r="D205" s="18" t="n">
        <x:f>COUNTIFS('Hospital Catalog'!$E:$E,B205,'Hospital Catalog'!$F:$F,"&lt;="&amp;A205,'Hospital Catalog'!$H:$H,"Yes")</x:f>
        <x:v>0</x:v>
      </x:c>
      <x:c r="E205" s="22" t="n">
        <x:f>IFERROR(D205/C205*100000,"")</x:f>
        <x:v>0</x:v>
      </x:c>
      <x:c r="F205" s="18" t="n">
        <x:f>COUNTIFS('Hospital Catalog'!$E:$E,B205,'Hospital Catalog'!$F:$F,"&lt;="&amp;A205,'Hospital Catalog'!$H:$H,"Yes",'Hospital Catalog'!$D:$D,"*public*") + COUNTIFS('Hospital Catalog'!$E:$E,B205,'Hospital Catalog'!$F:$F,"&lt;="&amp;A205,'Hospital Catalog'!$H:$H,"Yes",'Hospital Catalog'!$D:$D,"IMSS public") + COUNTIFS('Hospital Catalog'!$E:$E,B205,'Hospital Catalog'!$F:$F,"&lt;="&amp;A205,'Hospital Catalog'!$H:$H,"Yes",'Hospital Catalog'!$D:$D,"ISSSTE public")</x:f>
        <x:v>0</x:v>
      </x:c>
      <x:c r="G205" s="22" t="n">
        <x:f>IFERROR(F205/C205*100000,"")</x:f>
        <x:v>0</x:v>
      </x:c>
      <x:c r="H205" s="18" t="n">
        <x:f>COUNTIFS('Hospital Catalog'!$E:$E,B205,'Hospital Catalog'!$F:$F,"&lt;="&amp;A205,'Hospital Catalog'!$H:$H,"Yes",'Hospital Catalog'!$K:$K,"High") + COUNTIFS('Hospital Catalog'!$E:$E,B205,'Hospital Catalog'!$F:$F,"&lt;="&amp;A205,'Hospital Catalog'!$H:$H,"Yes",'Hospital Catalog'!$K:$K,"Medium")</x:f>
        <x:v>0</x:v>
      </x:c>
      <x:c r="I205" s="22" t="n">
        <x:f>IFERROR(H205/C205*100000,"")</x:f>
        <x:v>0</x:v>
      </x:c>
      <x:c r="J205" s="16" t="str"/>
    </x:row>
    <x:row r="206">
      <x:c r="A206" s="16" t="n">
        <x:v>1980</x:v>
      </x:c>
      <x:c r="B206" s="16" t="str">
        <x:v>Tláhuac</x:v>
      </x:c>
      <x:c r="C206" s="20" t="n">
        <x:f>INDEX(Population!$B$2:$R$17,MATCH(B206,Population!$A$2:$A$17,0),MATCH(A206,Population!$B$1:$R$1,0))</x:f>
        <x:v>146923</x:v>
      </x:c>
      <x:c r="D206" s="18" t="n">
        <x:f>COUNTIFS('Hospital Catalog'!$E:$E,B206,'Hospital Catalog'!$F:$F,"&lt;="&amp;A206,'Hospital Catalog'!$H:$H,"Yes")</x:f>
        <x:v>0</x:v>
      </x:c>
      <x:c r="E206" s="22" t="n">
        <x:f>IFERROR(D206/C206*100000,"")</x:f>
        <x:v>0</x:v>
      </x:c>
      <x:c r="F206" s="18" t="n">
        <x:f>COUNTIFS('Hospital Catalog'!$E:$E,B206,'Hospital Catalog'!$F:$F,"&lt;="&amp;A206,'Hospital Catalog'!$H:$H,"Yes",'Hospital Catalog'!$D:$D,"*public*") + COUNTIFS('Hospital Catalog'!$E:$E,B206,'Hospital Catalog'!$F:$F,"&lt;="&amp;A206,'Hospital Catalog'!$H:$H,"Yes",'Hospital Catalog'!$D:$D,"IMSS public") + COUNTIFS('Hospital Catalog'!$E:$E,B206,'Hospital Catalog'!$F:$F,"&lt;="&amp;A206,'Hospital Catalog'!$H:$H,"Yes",'Hospital Catalog'!$D:$D,"ISSSTE public")</x:f>
        <x:v>0</x:v>
      </x:c>
      <x:c r="G206" s="22" t="n">
        <x:f>IFERROR(F206/C206*100000,"")</x:f>
        <x:v>0</x:v>
      </x:c>
      <x:c r="H206" s="18" t="n">
        <x:f>COUNTIFS('Hospital Catalog'!$E:$E,B206,'Hospital Catalog'!$F:$F,"&lt;="&amp;A206,'Hospital Catalog'!$H:$H,"Yes",'Hospital Catalog'!$K:$K,"High") + COUNTIFS('Hospital Catalog'!$E:$E,B206,'Hospital Catalog'!$F:$F,"&lt;="&amp;A206,'Hospital Catalog'!$H:$H,"Yes",'Hospital Catalog'!$K:$K,"Medium")</x:f>
        <x:v>0</x:v>
      </x:c>
      <x:c r="I206" s="22" t="n">
        <x:f>IFERROR(H206/C206*100000,"")</x:f>
        <x:v>0</x:v>
      </x:c>
      <x:c r="J206" s="16" t="str"/>
    </x:row>
    <x:row r="207">
      <x:c r="A207" s="16" t="n">
        <x:v>1980</x:v>
      </x:c>
      <x:c r="B207" s="16" t="str">
        <x:v>Tlalpan</x:v>
      </x:c>
      <x:c r="C207" s="20" t="n">
        <x:f>INDEX(Population!$B$2:$R$17,MATCH(B207,Population!$A$2:$A$17,0),MATCH(A207,Population!$B$1:$R$1,0))</x:f>
        <x:v>368974</x:v>
      </x:c>
      <x:c r="D207" s="18" t="n">
        <x:f>COUNTIFS('Hospital Catalog'!$E:$E,B207,'Hospital Catalog'!$F:$F,"&lt;="&amp;A207,'Hospital Catalog'!$H:$H,"Yes")</x:f>
        <x:v>7</x:v>
      </x:c>
      <x:c r="E207" s="22" t="n">
        <x:f>IFERROR(D207/C207*100000,"")</x:f>
        <x:v>1.8971526449018088</x:v>
      </x:c>
      <x:c r="F207" s="18" t="n">
        <x:f>COUNTIFS('Hospital Catalog'!$E:$E,B207,'Hospital Catalog'!$F:$F,"&lt;="&amp;A207,'Hospital Catalog'!$H:$H,"Yes",'Hospital Catalog'!$D:$D,"*public*") + COUNTIFS('Hospital Catalog'!$E:$E,B207,'Hospital Catalog'!$F:$F,"&lt;="&amp;A207,'Hospital Catalog'!$H:$H,"Yes",'Hospital Catalog'!$D:$D,"IMSS public") + COUNTIFS('Hospital Catalog'!$E:$E,B207,'Hospital Catalog'!$F:$F,"&lt;="&amp;A207,'Hospital Catalog'!$H:$H,"Yes",'Hospital Catalog'!$D:$D,"ISSSTE public")</x:f>
        <x:v>1</x:v>
      </x:c>
      <x:c r="G207" s="22" t="n">
        <x:f>IFERROR(F207/C207*100000,"")</x:f>
        <x:v>0.27102180641454415</x:v>
      </x:c>
      <x:c r="H207" s="18" t="n">
        <x:f>COUNTIFS('Hospital Catalog'!$E:$E,B207,'Hospital Catalog'!$F:$F,"&lt;="&amp;A207,'Hospital Catalog'!$H:$H,"Yes",'Hospital Catalog'!$K:$K,"High") + COUNTIFS('Hospital Catalog'!$E:$E,B207,'Hospital Catalog'!$F:$F,"&lt;="&amp;A207,'Hospital Catalog'!$H:$H,"Yes",'Hospital Catalog'!$K:$K,"Medium")</x:f>
        <x:v>6</x:v>
      </x:c>
      <x:c r="I207" s="22" t="n">
        <x:f>IFERROR(H207/C207*100000,"")</x:f>
        <x:v>1.6261308384872646</x:v>
      </x:c>
      <x:c r="J207" s="16" t="str"/>
    </x:row>
    <x:row r="208">
      <x:c r="A208" s="16" t="n">
        <x:v>1980</x:v>
      </x:c>
      <x:c r="B208" s="16" t="str">
        <x:v>Venustiano Carranza</x:v>
      </x:c>
      <x:c r="C208" s="20" t="n">
        <x:f>INDEX(Population!$B$2:$R$17,MATCH(B208,Population!$A$2:$A$17,0),MATCH(A208,Population!$B$1:$R$1,0))</x:f>
        <x:v>692896</x:v>
      </x:c>
      <x:c r="D208" s="18" t="n">
        <x:f>COUNTIFS('Hospital Catalog'!$E:$E,B208,'Hospital Catalog'!$F:$F,"&lt;="&amp;A208,'Hospital Catalog'!$H:$H,"Yes")</x:f>
        <x:v>2</x:v>
      </x:c>
      <x:c r="E208" s="22" t="n">
        <x:f>IFERROR(D208/C208*100000,"")</x:f>
        <x:v>0.2886436059668406</x:v>
      </x:c>
      <x:c r="F208" s="18" t="n">
        <x:f>COUNTIFS('Hospital Catalog'!$E:$E,B208,'Hospital Catalog'!$F:$F,"&lt;="&amp;A208,'Hospital Catalog'!$H:$H,"Yes",'Hospital Catalog'!$D:$D,"*public*") + COUNTIFS('Hospital Catalog'!$E:$E,B208,'Hospital Catalog'!$F:$F,"&lt;="&amp;A208,'Hospital Catalog'!$H:$H,"Yes",'Hospital Catalog'!$D:$D,"IMSS public") + COUNTIFS('Hospital Catalog'!$E:$E,B208,'Hospital Catalog'!$F:$F,"&lt;="&amp;A208,'Hospital Catalog'!$H:$H,"Yes",'Hospital Catalog'!$D:$D,"ISSSTE public")</x:f>
        <x:v>0</x:v>
      </x:c>
      <x:c r="G208" s="22" t="n">
        <x:f>IFERROR(F208/C208*100000,"")</x:f>
        <x:v>0</x:v>
      </x:c>
      <x:c r="H208" s="18" t="n">
        <x:f>COUNTIFS('Hospital Catalog'!$E:$E,B208,'Hospital Catalog'!$F:$F,"&lt;="&amp;A208,'Hospital Catalog'!$H:$H,"Yes",'Hospital Catalog'!$K:$K,"High") + COUNTIFS('Hospital Catalog'!$E:$E,B208,'Hospital Catalog'!$F:$F,"&lt;="&amp;A208,'Hospital Catalog'!$H:$H,"Yes",'Hospital Catalog'!$K:$K,"Medium")</x:f>
        <x:v>2</x:v>
      </x:c>
      <x:c r="I208" s="22" t="n">
        <x:f>IFERROR(H208/C208*100000,"")</x:f>
        <x:v>0.2886436059668406</x:v>
      </x:c>
      <x:c r="J208" s="16" t="str"/>
    </x:row>
    <x:row r="209">
      <x:c r="A209" s="16" t="n">
        <x:v>1980</x:v>
      </x:c>
      <x:c r="B209" s="16" t="str">
        <x:v>Xochimilco</x:v>
      </x:c>
      <x:c r="C209" s="20" t="n">
        <x:f>INDEX(Population!$B$2:$R$17,MATCH(B209,Population!$A$2:$A$17,0),MATCH(A209,Population!$B$1:$R$1,0))</x:f>
        <x:v>217481</x:v>
      </x:c>
      <x:c r="D209" s="18" t="n">
        <x:f>COUNTIFS('Hospital Catalog'!$E:$E,B209,'Hospital Catalog'!$F:$F,"&lt;="&amp;A209,'Hospital Catalog'!$H:$H,"Yes")</x:f>
        <x:v>1</x:v>
      </x:c>
      <x:c r="E209" s="22" t="n">
        <x:f>IFERROR(D209/C209*100000,"")</x:f>
        <x:v>0.4598102822775323</x:v>
      </x:c>
      <x:c r="F209" s="18" t="n">
        <x:f>COUNTIFS('Hospital Catalog'!$E:$E,B209,'Hospital Catalog'!$F:$F,"&lt;="&amp;A209,'Hospital Catalog'!$H:$H,"Yes",'Hospital Catalog'!$D:$D,"*public*") + COUNTIFS('Hospital Catalog'!$E:$E,B209,'Hospital Catalog'!$F:$F,"&lt;="&amp;A209,'Hospital Catalog'!$H:$H,"Yes",'Hospital Catalog'!$D:$D,"IMSS public") + COUNTIFS('Hospital Catalog'!$E:$E,B209,'Hospital Catalog'!$F:$F,"&lt;="&amp;A209,'Hospital Catalog'!$H:$H,"Yes",'Hospital Catalog'!$D:$D,"ISSSTE public")</x:f>
        <x:v>0</x:v>
      </x:c>
      <x:c r="G209" s="22" t="n">
        <x:f>IFERROR(F209/C209*100000,"")</x:f>
        <x:v>0</x:v>
      </x:c>
      <x:c r="H209" s="18" t="n">
        <x:f>COUNTIFS('Hospital Catalog'!$E:$E,B209,'Hospital Catalog'!$F:$F,"&lt;="&amp;A209,'Hospital Catalog'!$H:$H,"Yes",'Hospital Catalog'!$K:$K,"High") + COUNTIFS('Hospital Catalog'!$E:$E,B209,'Hospital Catalog'!$F:$F,"&lt;="&amp;A209,'Hospital Catalog'!$H:$H,"Yes",'Hospital Catalog'!$K:$K,"Medium")</x:f>
        <x:v>0</x:v>
      </x:c>
      <x:c r="I209" s="22" t="n">
        <x:f>IFERROR(H209/C209*100000,"")</x:f>
        <x:v>0</x:v>
      </x:c>
      <x:c r="J209" s="16" t="str"/>
    </x:row>
    <x:row r="210">
      <x:c r="A210" s="16" t="n">
        <x:v>1990</x:v>
      </x:c>
      <x:c r="B210" s="16" t="str">
        <x:v>Álvaro Obregón</x:v>
      </x:c>
      <x:c r="C210" s="20" t="n">
        <x:f>INDEX(Population!$B$2:$R$17,MATCH(B210,Population!$A$2:$A$17,0),MATCH(A210,Population!$B$1:$R$1,0))</x:f>
        <x:v>642753</x:v>
      </x:c>
      <x:c r="D210" s="18" t="n">
        <x:f>COUNTIFS('Hospital Catalog'!$E:$E,B210,'Hospital Catalog'!$F:$F,"&lt;="&amp;A210,'Hospital Catalog'!$H:$H,"Yes")</x:f>
        <x:v>2</x:v>
      </x:c>
      <x:c r="E210" s="22" t="n">
        <x:f>IFERROR(D210/C210*100000,"")</x:f>
        <x:v>0.311161519277234</x:v>
      </x:c>
      <x:c r="F210" s="18" t="n">
        <x:f>COUNTIFS('Hospital Catalog'!$E:$E,B210,'Hospital Catalog'!$F:$F,"&lt;="&amp;A210,'Hospital Catalog'!$H:$H,"Yes",'Hospital Catalog'!$D:$D,"*public*") + COUNTIFS('Hospital Catalog'!$E:$E,B210,'Hospital Catalog'!$F:$F,"&lt;="&amp;A210,'Hospital Catalog'!$H:$H,"Yes",'Hospital Catalog'!$D:$D,"IMSS public") + COUNTIFS('Hospital Catalog'!$E:$E,B210,'Hospital Catalog'!$F:$F,"&lt;="&amp;A210,'Hospital Catalog'!$H:$H,"Yes",'Hospital Catalog'!$D:$D,"ISSSTE public")</x:f>
        <x:v>1</x:v>
      </x:c>
      <x:c r="G210" s="22" t="n">
        <x:f>IFERROR(F210/C210*100000,"")</x:f>
        <x:v>0.155580759638617</x:v>
      </x:c>
      <x:c r="H210" s="18" t="n">
        <x:f>COUNTIFS('Hospital Catalog'!$E:$E,B210,'Hospital Catalog'!$F:$F,"&lt;="&amp;A210,'Hospital Catalog'!$H:$H,"Yes",'Hospital Catalog'!$K:$K,"High") + COUNTIFS('Hospital Catalog'!$E:$E,B210,'Hospital Catalog'!$F:$F,"&lt;="&amp;A210,'Hospital Catalog'!$H:$H,"Yes",'Hospital Catalog'!$K:$K,"Medium")</x:f>
        <x:v>2</x:v>
      </x:c>
      <x:c r="I210" s="22" t="n">
        <x:f>IFERROR(H210/C210*100000,"")</x:f>
        <x:v>0.311161519277234</x:v>
      </x:c>
      <x:c r="J210" s="16" t="str"/>
    </x:row>
    <x:row r="211">
      <x:c r="A211" s="16" t="n">
        <x:v>1990</x:v>
      </x:c>
      <x:c r="B211" s="16" t="str">
        <x:v>Azcapotzalco</x:v>
      </x:c>
      <x:c r="C211" s="20" t="n">
        <x:f>INDEX(Population!$B$2:$R$17,MATCH(B211,Population!$A$2:$A$17,0),MATCH(A211,Population!$B$1:$R$1,0))</x:f>
        <x:v>474688</x:v>
      </x:c>
      <x:c r="D211" s="18" t="n">
        <x:f>COUNTIFS('Hospital Catalog'!$E:$E,B211,'Hospital Catalog'!$F:$F,"&lt;="&amp;A211,'Hospital Catalog'!$H:$H,"Yes")</x:f>
        <x:v>2</x:v>
      </x:c>
      <x:c r="E211" s="22" t="n">
        <x:f>IFERROR(D211/C211*100000,"")</x:f>
        <x:v>0.42132937845490087</x:v>
      </x:c>
      <x:c r="F211" s="18" t="n">
        <x:f>COUNTIFS('Hospital Catalog'!$E:$E,B211,'Hospital Catalog'!$F:$F,"&lt;="&amp;A211,'Hospital Catalog'!$H:$H,"Yes",'Hospital Catalog'!$D:$D,"*public*") + COUNTIFS('Hospital Catalog'!$E:$E,B211,'Hospital Catalog'!$F:$F,"&lt;="&amp;A211,'Hospital Catalog'!$H:$H,"Yes",'Hospital Catalog'!$D:$D,"IMSS public") + COUNTIFS('Hospital Catalog'!$E:$E,B211,'Hospital Catalog'!$F:$F,"&lt;="&amp;A211,'Hospital Catalog'!$H:$H,"Yes",'Hospital Catalog'!$D:$D,"ISSSTE public")</x:f>
        <x:v>1</x:v>
      </x:c>
      <x:c r="G211" s="22" t="n">
        <x:f>IFERROR(F211/C211*100000,"")</x:f>
        <x:v>0.21066468922745044</x:v>
      </x:c>
      <x:c r="H211" s="18" t="n">
        <x:f>COUNTIFS('Hospital Catalog'!$E:$E,B211,'Hospital Catalog'!$F:$F,"&lt;="&amp;A211,'Hospital Catalog'!$H:$H,"Yes",'Hospital Catalog'!$K:$K,"High") + COUNTIFS('Hospital Catalog'!$E:$E,B211,'Hospital Catalog'!$F:$F,"&lt;="&amp;A211,'Hospital Catalog'!$H:$H,"Yes",'Hospital Catalog'!$K:$K,"Medium")</x:f>
        <x:v>2</x:v>
      </x:c>
      <x:c r="I211" s="22" t="n">
        <x:f>IFERROR(H211/C211*100000,"")</x:f>
        <x:v>0.42132937845490087</x:v>
      </x:c>
      <x:c r="J211" s="16" t="str"/>
    </x:row>
    <x:row r="212">
      <x:c r="A212" s="16" t="n">
        <x:v>1990</x:v>
      </x:c>
      <x:c r="B212" s="16" t="str">
        <x:v>Benito Juárez</x:v>
      </x:c>
      <x:c r="C212" s="20" t="n">
        <x:f>INDEX(Population!$B$2:$R$17,MATCH(B212,Population!$A$2:$A$17,0),MATCH(A212,Population!$B$1:$R$1,0))</x:f>
        <x:v>407811</x:v>
      </x:c>
      <x:c r="D212" s="18" t="n">
        <x:f>COUNTIFS('Hospital Catalog'!$E:$E,B212,'Hospital Catalog'!$F:$F,"&lt;="&amp;A212,'Hospital Catalog'!$H:$H,"Yes")</x:f>
        <x:v>3</x:v>
      </x:c>
      <x:c r="E212" s="22" t="n">
        <x:f>IFERROR(D212/C212*100000,"")</x:f>
        <x:v>0.7356348896915483</x:v>
      </x:c>
      <x:c r="F212" s="18" t="n">
        <x:f>COUNTIFS('Hospital Catalog'!$E:$E,B212,'Hospital Catalog'!$F:$F,"&lt;="&amp;A212,'Hospital Catalog'!$H:$H,"Yes",'Hospital Catalog'!$D:$D,"*public*") + COUNTIFS('Hospital Catalog'!$E:$E,B212,'Hospital Catalog'!$F:$F,"&lt;="&amp;A212,'Hospital Catalog'!$H:$H,"Yes",'Hospital Catalog'!$D:$D,"IMSS public") + COUNTIFS('Hospital Catalog'!$E:$E,B212,'Hospital Catalog'!$F:$F,"&lt;="&amp;A212,'Hospital Catalog'!$H:$H,"Yes",'Hospital Catalog'!$D:$D,"ISSSTE public")</x:f>
        <x:v>1</x:v>
      </x:c>
      <x:c r="G212" s="22" t="n">
        <x:f>IFERROR(F212/C212*100000,"")</x:f>
        <x:v>0.2452116298971828</x:v>
      </x:c>
      <x:c r="H212" s="18" t="n">
        <x:f>COUNTIFS('Hospital Catalog'!$E:$E,B212,'Hospital Catalog'!$F:$F,"&lt;="&amp;A212,'Hospital Catalog'!$H:$H,"Yes",'Hospital Catalog'!$K:$K,"High") + COUNTIFS('Hospital Catalog'!$E:$E,B212,'Hospital Catalog'!$F:$F,"&lt;="&amp;A212,'Hospital Catalog'!$H:$H,"Yes",'Hospital Catalog'!$K:$K,"Medium")</x:f>
        <x:v>1</x:v>
      </x:c>
      <x:c r="I212" s="22" t="n">
        <x:f>IFERROR(H212/C212*100000,"")</x:f>
        <x:v>0.2452116298971828</x:v>
      </x:c>
      <x:c r="J212" s="16" t="str"/>
    </x:row>
    <x:row r="213">
      <x:c r="A213" s="16" t="n">
        <x:v>1990</x:v>
      </x:c>
      <x:c r="B213" s="16" t="str">
        <x:v>Coyoacán</x:v>
      </x:c>
      <x:c r="C213" s="20" t="n">
        <x:f>INDEX(Population!$B$2:$R$17,MATCH(B213,Population!$A$2:$A$17,0),MATCH(A213,Population!$B$1:$R$1,0))</x:f>
        <x:v>640066</x:v>
      </x:c>
      <x:c r="D213" s="18" t="n">
        <x:f>COUNTIFS('Hospital Catalog'!$E:$E,B213,'Hospital Catalog'!$F:$F,"&lt;="&amp;A213,'Hospital Catalog'!$H:$H,"Yes")</x:f>
        <x:v>3</x:v>
      </x:c>
      <x:c r="E213" s="22" t="n">
        <x:f>IFERROR(D213/C213*100000,"")</x:f>
        <x:v>0.4687016651407823</x:v>
      </x:c>
      <x:c r="F213" s="18" t="n">
        <x:f>COUNTIFS('Hospital Catalog'!$E:$E,B213,'Hospital Catalog'!$F:$F,"&lt;="&amp;A213,'Hospital Catalog'!$H:$H,"Yes",'Hospital Catalog'!$D:$D,"*public*") + COUNTIFS('Hospital Catalog'!$E:$E,B213,'Hospital Catalog'!$F:$F,"&lt;="&amp;A213,'Hospital Catalog'!$H:$H,"Yes",'Hospital Catalog'!$D:$D,"IMSS public") + COUNTIFS('Hospital Catalog'!$E:$E,B213,'Hospital Catalog'!$F:$F,"&lt;="&amp;A213,'Hospital Catalog'!$H:$H,"Yes",'Hospital Catalog'!$D:$D,"ISSSTE public")</x:f>
        <x:v>0</x:v>
      </x:c>
      <x:c r="G213" s="22" t="n">
        <x:f>IFERROR(F213/C213*100000,"")</x:f>
        <x:v>0</x:v>
      </x:c>
      <x:c r="H213" s="18" t="n">
        <x:f>COUNTIFS('Hospital Catalog'!$E:$E,B213,'Hospital Catalog'!$F:$F,"&lt;="&amp;A213,'Hospital Catalog'!$H:$H,"Yes",'Hospital Catalog'!$K:$K,"High") + COUNTIFS('Hospital Catalog'!$E:$E,B213,'Hospital Catalog'!$F:$F,"&lt;="&amp;A213,'Hospital Catalog'!$H:$H,"Yes",'Hospital Catalog'!$K:$K,"Medium")</x:f>
        <x:v>3</x:v>
      </x:c>
      <x:c r="I213" s="22" t="n">
        <x:f>IFERROR(H213/C213*100000,"")</x:f>
        <x:v>0.4687016651407823</x:v>
      </x:c>
      <x:c r="J213" s="16" t="str"/>
    </x:row>
    <x:row r="214">
      <x:c r="A214" s="16" t="n">
        <x:v>1990</x:v>
      </x:c>
      <x:c r="B214" s="16" t="str">
        <x:v>Cuajimalpa de Morelos</x:v>
      </x:c>
      <x:c r="C214" s="20" t="n">
        <x:f>INDEX(Population!$B$2:$R$17,MATCH(B214,Population!$A$2:$A$17,0),MATCH(A214,Population!$B$1:$R$1,0))</x:f>
        <x:v>119669</x:v>
      </x:c>
      <x:c r="D214" s="18" t="n">
        <x:f>COUNTIFS('Hospital Catalog'!$E:$E,B214,'Hospital Catalog'!$F:$F,"&lt;="&amp;A214,'Hospital Catalog'!$H:$H,"Yes")</x:f>
        <x:v>0</x:v>
      </x:c>
      <x:c r="E214" s="22" t="n">
        <x:f>IFERROR(D214/C214*100000,"")</x:f>
        <x:v>0</x:v>
      </x:c>
      <x:c r="F214" s="18" t="n">
        <x:f>COUNTIFS('Hospital Catalog'!$E:$E,B214,'Hospital Catalog'!$F:$F,"&lt;="&amp;A214,'Hospital Catalog'!$H:$H,"Yes",'Hospital Catalog'!$D:$D,"*public*") + COUNTIFS('Hospital Catalog'!$E:$E,B214,'Hospital Catalog'!$F:$F,"&lt;="&amp;A214,'Hospital Catalog'!$H:$H,"Yes",'Hospital Catalog'!$D:$D,"IMSS public") + COUNTIFS('Hospital Catalog'!$E:$E,B214,'Hospital Catalog'!$F:$F,"&lt;="&amp;A214,'Hospital Catalog'!$H:$H,"Yes",'Hospital Catalog'!$D:$D,"ISSSTE public")</x:f>
        <x:v>0</x:v>
      </x:c>
      <x:c r="G214" s="22" t="n">
        <x:f>IFERROR(F214/C214*100000,"")</x:f>
        <x:v>0</x:v>
      </x:c>
      <x:c r="H214" s="18" t="n">
        <x:f>COUNTIFS('Hospital Catalog'!$E:$E,B214,'Hospital Catalog'!$F:$F,"&lt;="&amp;A214,'Hospital Catalog'!$H:$H,"Yes",'Hospital Catalog'!$K:$K,"High") + COUNTIFS('Hospital Catalog'!$E:$E,B214,'Hospital Catalog'!$F:$F,"&lt;="&amp;A214,'Hospital Catalog'!$H:$H,"Yes",'Hospital Catalog'!$K:$K,"Medium")</x:f>
        <x:v>0</x:v>
      </x:c>
      <x:c r="I214" s="22" t="n">
        <x:f>IFERROR(H214/C214*100000,"")</x:f>
        <x:v>0</x:v>
      </x:c>
      <x:c r="J214" s="16" t="str"/>
    </x:row>
    <x:row r="215">
      <x:c r="A215" s="16" t="n">
        <x:v>1990</x:v>
      </x:c>
      <x:c r="B215" s="16" t="str">
        <x:v>Cuauhtémoc</x:v>
      </x:c>
      <x:c r="C215" s="20" t="n">
        <x:f>INDEX(Population!$B$2:$R$17,MATCH(B215,Population!$A$2:$A$17,0),MATCH(A215,Population!$B$1:$R$1,0))</x:f>
        <x:v>595960</x:v>
      </x:c>
      <x:c r="D215" s="18" t="n">
        <x:f>COUNTIFS('Hospital Catalog'!$E:$E,B215,'Hospital Catalog'!$F:$F,"&lt;="&amp;A215,'Hospital Catalog'!$H:$H,"Yes")</x:f>
        <x:v>4</x:v>
      </x:c>
      <x:c r="E215" s="22" t="n">
        <x:f>IFERROR(D215/C215*100000,"")</x:f>
        <x:v>0.6711859856366199</x:v>
      </x:c>
      <x:c r="F215" s="18" t="n">
        <x:f>COUNTIFS('Hospital Catalog'!$E:$E,B215,'Hospital Catalog'!$F:$F,"&lt;="&amp;A215,'Hospital Catalog'!$H:$H,"Yes",'Hospital Catalog'!$D:$D,"*public*") + COUNTIFS('Hospital Catalog'!$E:$E,B215,'Hospital Catalog'!$F:$F,"&lt;="&amp;A215,'Hospital Catalog'!$H:$H,"Yes",'Hospital Catalog'!$D:$D,"IMSS public") + COUNTIFS('Hospital Catalog'!$E:$E,B215,'Hospital Catalog'!$F:$F,"&lt;="&amp;A215,'Hospital Catalog'!$H:$H,"Yes",'Hospital Catalog'!$D:$D,"ISSSTE public")</x:f>
        <x:v>1</x:v>
      </x:c>
      <x:c r="G215" s="22" t="n">
        <x:f>IFERROR(F215/C215*100000,"")</x:f>
        <x:v>0.16779649640915498</x:v>
      </x:c>
      <x:c r="H215" s="18" t="n">
        <x:f>COUNTIFS('Hospital Catalog'!$E:$E,B215,'Hospital Catalog'!$F:$F,"&lt;="&amp;A215,'Hospital Catalog'!$H:$H,"Yes",'Hospital Catalog'!$K:$K,"High") + COUNTIFS('Hospital Catalog'!$E:$E,B215,'Hospital Catalog'!$F:$F,"&lt;="&amp;A215,'Hospital Catalog'!$H:$H,"Yes",'Hospital Catalog'!$K:$K,"Medium")</x:f>
        <x:v>4</x:v>
      </x:c>
      <x:c r="I215" s="22" t="n">
        <x:f>IFERROR(H215/C215*100000,"")</x:f>
        <x:v>0.6711859856366199</x:v>
      </x:c>
      <x:c r="J215" s="16" t="str"/>
    </x:row>
    <x:row r="216">
      <x:c r="A216" s="16" t="n">
        <x:v>1990</x:v>
      </x:c>
      <x:c r="B216" s="16" t="str">
        <x:v>Gustavo A. Madero</x:v>
      </x:c>
      <x:c r="C216" s="20" t="n">
        <x:f>INDEX(Population!$B$2:$R$17,MATCH(B216,Population!$A$2:$A$17,0),MATCH(A216,Population!$B$1:$R$1,0))</x:f>
        <x:v>1268068</x:v>
      </x:c>
      <x:c r="D216" s="18" t="n">
        <x:f>COUNTIFS('Hospital Catalog'!$E:$E,B216,'Hospital Catalog'!$F:$F,"&lt;="&amp;A216,'Hospital Catalog'!$H:$H,"Yes")</x:f>
        <x:v>4</x:v>
      </x:c>
      <x:c r="E216" s="22" t="n">
        <x:f>IFERROR(D216/C216*100000,"")</x:f>
        <x:v>0.3154404968818707</x:v>
      </x:c>
      <x:c r="F216" s="18" t="n">
        <x:f>COUNTIFS('Hospital Catalog'!$E:$E,B216,'Hospital Catalog'!$F:$F,"&lt;="&amp;A216,'Hospital Catalog'!$H:$H,"Yes",'Hospital Catalog'!$D:$D,"*public*") + COUNTIFS('Hospital Catalog'!$E:$E,B216,'Hospital Catalog'!$F:$F,"&lt;="&amp;A216,'Hospital Catalog'!$H:$H,"Yes",'Hospital Catalog'!$D:$D,"IMSS public") + COUNTIFS('Hospital Catalog'!$E:$E,B216,'Hospital Catalog'!$F:$F,"&lt;="&amp;A216,'Hospital Catalog'!$H:$H,"Yes",'Hospital Catalog'!$D:$D,"ISSSTE public")</x:f>
        <x:v>0</x:v>
      </x:c>
      <x:c r="G216" s="22" t="n">
        <x:f>IFERROR(F216/C216*100000,"")</x:f>
        <x:v>0</x:v>
      </x:c>
      <x:c r="H216" s="18" t="n">
        <x:f>COUNTIFS('Hospital Catalog'!$E:$E,B216,'Hospital Catalog'!$F:$F,"&lt;="&amp;A216,'Hospital Catalog'!$H:$H,"Yes",'Hospital Catalog'!$K:$K,"High") + COUNTIFS('Hospital Catalog'!$E:$E,B216,'Hospital Catalog'!$F:$F,"&lt;="&amp;A216,'Hospital Catalog'!$H:$H,"Yes",'Hospital Catalog'!$K:$K,"Medium")</x:f>
        <x:v>1</x:v>
      </x:c>
      <x:c r="I216" s="22" t="n">
        <x:f>IFERROR(H216/C216*100000,"")</x:f>
        <x:v>0.07886012422046768</x:v>
      </x:c>
      <x:c r="J216" s="16" t="str"/>
    </x:row>
    <x:row r="217">
      <x:c r="A217" s="16" t="n">
        <x:v>1990</x:v>
      </x:c>
      <x:c r="B217" s="16" t="str">
        <x:v>Iztacalco</x:v>
      </x:c>
      <x:c r="C217" s="20" t="n">
        <x:f>INDEX(Population!$B$2:$R$17,MATCH(B217,Population!$A$2:$A$17,0),MATCH(A217,Population!$B$1:$R$1,0))</x:f>
        <x:v>448322</x:v>
      </x:c>
      <x:c r="D217" s="18" t="n">
        <x:f>COUNTIFS('Hospital Catalog'!$E:$E,B217,'Hospital Catalog'!$F:$F,"&lt;="&amp;A217,'Hospital Catalog'!$H:$H,"Yes")</x:f>
        <x:v>1</x:v>
      </x:c>
      <x:c r="E217" s="22" t="n">
        <x:f>IFERROR(D217/C217*100000,"")</x:f>
        <x:v>0.22305396567645577</x:v>
      </x:c>
      <x:c r="F217" s="18" t="n">
        <x:f>COUNTIFS('Hospital Catalog'!$E:$E,B217,'Hospital Catalog'!$F:$F,"&lt;="&amp;A217,'Hospital Catalog'!$H:$H,"Yes",'Hospital Catalog'!$D:$D,"*public*") + COUNTIFS('Hospital Catalog'!$E:$E,B217,'Hospital Catalog'!$F:$F,"&lt;="&amp;A217,'Hospital Catalog'!$H:$H,"Yes",'Hospital Catalog'!$D:$D,"IMSS public") + COUNTIFS('Hospital Catalog'!$E:$E,B217,'Hospital Catalog'!$F:$F,"&lt;="&amp;A217,'Hospital Catalog'!$H:$H,"Yes",'Hospital Catalog'!$D:$D,"ISSSTE public")</x:f>
        <x:v>0</x:v>
      </x:c>
      <x:c r="G217" s="22" t="n">
        <x:f>IFERROR(F217/C217*100000,"")</x:f>
        <x:v>0</x:v>
      </x:c>
      <x:c r="H217" s="18" t="n">
        <x:f>COUNTIFS('Hospital Catalog'!$E:$E,B217,'Hospital Catalog'!$F:$F,"&lt;="&amp;A217,'Hospital Catalog'!$H:$H,"Yes",'Hospital Catalog'!$K:$K,"High") + COUNTIFS('Hospital Catalog'!$E:$E,B217,'Hospital Catalog'!$F:$F,"&lt;="&amp;A217,'Hospital Catalog'!$H:$H,"Yes",'Hospital Catalog'!$K:$K,"Medium")</x:f>
        <x:v>0</x:v>
      </x:c>
      <x:c r="I217" s="22" t="n">
        <x:f>IFERROR(H217/C217*100000,"")</x:f>
        <x:v>0</x:v>
      </x:c>
      <x:c r="J217" s="16" t="str"/>
    </x:row>
    <x:row r="218">
      <x:c r="A218" s="16" t="n">
        <x:v>1990</x:v>
      </x:c>
      <x:c r="B218" s="16" t="str">
        <x:v>Iztapalapa</x:v>
      </x:c>
      <x:c r="C218" s="20" t="n">
        <x:f>INDEX(Population!$B$2:$R$17,MATCH(B218,Population!$A$2:$A$17,0),MATCH(A218,Population!$B$1:$R$1,0))</x:f>
        <x:v>1490499</x:v>
      </x:c>
      <x:c r="D218" s="18" t="n">
        <x:f>COUNTIFS('Hospital Catalog'!$E:$E,B218,'Hospital Catalog'!$F:$F,"&lt;="&amp;A218,'Hospital Catalog'!$H:$H,"Yes")</x:f>
        <x:v>2</x:v>
      </x:c>
      <x:c r="E218" s="22" t="n">
        <x:f>IFERROR(D218/C218*100000,"")</x:f>
        <x:v>0.13418325003908088</x:v>
      </x:c>
      <x:c r="F218" s="18" t="n">
        <x:f>COUNTIFS('Hospital Catalog'!$E:$E,B218,'Hospital Catalog'!$F:$F,"&lt;="&amp;A218,'Hospital Catalog'!$H:$H,"Yes",'Hospital Catalog'!$D:$D,"*public*") + COUNTIFS('Hospital Catalog'!$E:$E,B218,'Hospital Catalog'!$F:$F,"&lt;="&amp;A218,'Hospital Catalog'!$H:$H,"Yes",'Hospital Catalog'!$D:$D,"IMSS public") + COUNTIFS('Hospital Catalog'!$E:$E,B218,'Hospital Catalog'!$F:$F,"&lt;="&amp;A218,'Hospital Catalog'!$H:$H,"Yes",'Hospital Catalog'!$D:$D,"ISSSTE public")</x:f>
        <x:v>1</x:v>
      </x:c>
      <x:c r="G218" s="22" t="n">
        <x:f>IFERROR(F218/C218*100000,"")</x:f>
        <x:v>0.06709162501954044</x:v>
      </x:c>
      <x:c r="H218" s="18" t="n">
        <x:f>COUNTIFS('Hospital Catalog'!$E:$E,B218,'Hospital Catalog'!$F:$F,"&lt;="&amp;A218,'Hospital Catalog'!$H:$H,"Yes",'Hospital Catalog'!$K:$K,"High") + COUNTIFS('Hospital Catalog'!$E:$E,B218,'Hospital Catalog'!$F:$F,"&lt;="&amp;A218,'Hospital Catalog'!$H:$H,"Yes",'Hospital Catalog'!$K:$K,"Medium")</x:f>
        <x:v>0</x:v>
      </x:c>
      <x:c r="I218" s="22" t="n">
        <x:f>IFERROR(H218/C218*100000,"")</x:f>
        <x:v>0</x:v>
      </x:c>
      <x:c r="J218" s="16" t="str"/>
    </x:row>
    <x:row r="219">
      <x:c r="A219" s="16" t="n">
        <x:v>1990</x:v>
      </x:c>
      <x:c r="B219" s="16" t="str">
        <x:v>La Magdalena Contreras</x:v>
      </x:c>
      <x:c r="C219" s="20" t="n">
        <x:f>INDEX(Population!$B$2:$R$17,MATCH(B219,Population!$A$2:$A$17,0),MATCH(A219,Population!$B$1:$R$1,0))</x:f>
        <x:v>195041</x:v>
      </x:c>
      <x:c r="D219" s="18" t="n">
        <x:f>COUNTIFS('Hospital Catalog'!$E:$E,B219,'Hospital Catalog'!$F:$F,"&lt;="&amp;A219,'Hospital Catalog'!$H:$H,"Yes")</x:f>
        <x:v>1</x:v>
      </x:c>
      <x:c r="E219" s="22" t="n">
        <x:f>IFERROR(D219/C219*100000,"")</x:f>
        <x:v>0.5127127116862609</x:v>
      </x:c>
      <x:c r="F219" s="18" t="n">
        <x:f>COUNTIFS('Hospital Catalog'!$E:$E,B219,'Hospital Catalog'!$F:$F,"&lt;="&amp;A219,'Hospital Catalog'!$H:$H,"Yes",'Hospital Catalog'!$D:$D,"*public*") + COUNTIFS('Hospital Catalog'!$E:$E,B219,'Hospital Catalog'!$F:$F,"&lt;="&amp;A219,'Hospital Catalog'!$H:$H,"Yes",'Hospital Catalog'!$D:$D,"IMSS public") + COUNTIFS('Hospital Catalog'!$E:$E,B219,'Hospital Catalog'!$F:$F,"&lt;="&amp;A219,'Hospital Catalog'!$H:$H,"Yes",'Hospital Catalog'!$D:$D,"ISSSTE public")</x:f>
        <x:v>0</x:v>
      </x:c>
      <x:c r="G219" s="22" t="n">
        <x:f>IFERROR(F219/C219*100000,"")</x:f>
        <x:v>0</x:v>
      </x:c>
      <x:c r="H219" s="18" t="n">
        <x:f>COUNTIFS('Hospital Catalog'!$E:$E,B219,'Hospital Catalog'!$F:$F,"&lt;="&amp;A219,'Hospital Catalog'!$H:$H,"Yes",'Hospital Catalog'!$K:$K,"High") + COUNTIFS('Hospital Catalog'!$E:$E,B219,'Hospital Catalog'!$F:$F,"&lt;="&amp;A219,'Hospital Catalog'!$H:$H,"Yes",'Hospital Catalog'!$K:$K,"Medium")</x:f>
        <x:v>0</x:v>
      </x:c>
      <x:c r="I219" s="22" t="n">
        <x:f>IFERROR(H219/C219*100000,"")</x:f>
        <x:v>0</x:v>
      </x:c>
      <x:c r="J219" s="16" t="str"/>
    </x:row>
    <x:row r="220">
      <x:c r="A220" s="16" t="n">
        <x:v>1990</x:v>
      </x:c>
      <x:c r="B220" s="16" t="str">
        <x:v>Miguel Hidalgo</x:v>
      </x:c>
      <x:c r="C220" s="20" t="n">
        <x:f>INDEX(Population!$B$2:$R$17,MATCH(B220,Population!$A$2:$A$17,0),MATCH(A220,Population!$B$1:$R$1,0))</x:f>
        <x:v>406868</x:v>
      </x:c>
      <x:c r="D220" s="18" t="n">
        <x:f>COUNTIFS('Hospital Catalog'!$E:$E,B220,'Hospital Catalog'!$F:$F,"&lt;="&amp;A220,'Hospital Catalog'!$H:$H,"Yes")</x:f>
        <x:v>4</x:v>
      </x:c>
      <x:c r="E220" s="22" t="n">
        <x:f>IFERROR(D220/C220*100000,"")</x:f>
        <x:v>0.9831198324763806</x:v>
      </x:c>
      <x:c r="F220" s="18" t="n">
        <x:f>COUNTIFS('Hospital Catalog'!$E:$E,B220,'Hospital Catalog'!$F:$F,"&lt;="&amp;A220,'Hospital Catalog'!$H:$H,"Yes",'Hospital Catalog'!$D:$D,"*public*") + COUNTIFS('Hospital Catalog'!$E:$E,B220,'Hospital Catalog'!$F:$F,"&lt;="&amp;A220,'Hospital Catalog'!$H:$H,"Yes",'Hospital Catalog'!$D:$D,"IMSS public") + COUNTIFS('Hospital Catalog'!$E:$E,B220,'Hospital Catalog'!$F:$F,"&lt;="&amp;A220,'Hospital Catalog'!$H:$H,"Yes",'Hospital Catalog'!$D:$D,"ISSSTE public")</x:f>
        <x:v>0</x:v>
      </x:c>
      <x:c r="G220" s="22" t="n">
        <x:f>IFERROR(F220/C220*100000,"")</x:f>
        <x:v>0</x:v>
      </x:c>
      <x:c r="H220" s="18" t="n">
        <x:f>COUNTIFS('Hospital Catalog'!$E:$E,B220,'Hospital Catalog'!$F:$F,"&lt;="&amp;A220,'Hospital Catalog'!$H:$H,"Yes",'Hospital Catalog'!$K:$K,"High") + COUNTIFS('Hospital Catalog'!$E:$E,B220,'Hospital Catalog'!$F:$F,"&lt;="&amp;A220,'Hospital Catalog'!$H:$H,"Yes",'Hospital Catalog'!$K:$K,"Medium")</x:f>
        <x:v>4</x:v>
      </x:c>
      <x:c r="I220" s="22" t="n">
        <x:f>IFERROR(H220/C220*100000,"")</x:f>
        <x:v>0.9831198324763806</x:v>
      </x:c>
      <x:c r="J220" s="16" t="str"/>
    </x:row>
    <x:row r="221">
      <x:c r="A221" s="16" t="n">
        <x:v>1990</x:v>
      </x:c>
      <x:c r="B221" s="16" t="str">
        <x:v>Milpa Alta</x:v>
      </x:c>
      <x:c r="C221" s="20" t="n">
        <x:f>INDEX(Population!$B$2:$R$17,MATCH(B221,Population!$A$2:$A$17,0),MATCH(A221,Population!$B$1:$R$1,0))</x:f>
        <x:v>63654</x:v>
      </x:c>
      <x:c r="D221" s="18" t="n">
        <x:f>COUNTIFS('Hospital Catalog'!$E:$E,B221,'Hospital Catalog'!$F:$F,"&lt;="&amp;A221,'Hospital Catalog'!$H:$H,"Yes")</x:f>
        <x:v>1</x:v>
      </x:c>
      <x:c r="E221" s="22" t="n">
        <x:f>IFERROR(D221/C221*100000,"")</x:f>
        <x:v>1.5709931818895906</x:v>
      </x:c>
      <x:c r="F221" s="18" t="n">
        <x:f>COUNTIFS('Hospital Catalog'!$E:$E,B221,'Hospital Catalog'!$F:$F,"&lt;="&amp;A221,'Hospital Catalog'!$H:$H,"Yes",'Hospital Catalog'!$D:$D,"*public*") + COUNTIFS('Hospital Catalog'!$E:$E,B221,'Hospital Catalog'!$F:$F,"&lt;="&amp;A221,'Hospital Catalog'!$H:$H,"Yes",'Hospital Catalog'!$D:$D,"IMSS public") + COUNTIFS('Hospital Catalog'!$E:$E,B221,'Hospital Catalog'!$F:$F,"&lt;="&amp;A221,'Hospital Catalog'!$H:$H,"Yes",'Hospital Catalog'!$D:$D,"ISSSTE public")</x:f>
        <x:v>0</x:v>
      </x:c>
      <x:c r="G221" s="22" t="n">
        <x:f>IFERROR(F221/C221*100000,"")</x:f>
        <x:v>0</x:v>
      </x:c>
      <x:c r="H221" s="18" t="n">
        <x:f>COUNTIFS('Hospital Catalog'!$E:$E,B221,'Hospital Catalog'!$F:$F,"&lt;="&amp;A221,'Hospital Catalog'!$H:$H,"Yes",'Hospital Catalog'!$K:$K,"High") + COUNTIFS('Hospital Catalog'!$E:$E,B221,'Hospital Catalog'!$F:$F,"&lt;="&amp;A221,'Hospital Catalog'!$H:$H,"Yes",'Hospital Catalog'!$K:$K,"Medium")</x:f>
        <x:v>0</x:v>
      </x:c>
      <x:c r="I221" s="22" t="n">
        <x:f>IFERROR(H221/C221*100000,"")</x:f>
        <x:v>0</x:v>
      </x:c>
      <x:c r="J221" s="16" t="str"/>
    </x:row>
    <x:row r="222">
      <x:c r="A222" s="16" t="n">
        <x:v>1990</x:v>
      </x:c>
      <x:c r="B222" s="16" t="str">
        <x:v>Tláhuac</x:v>
      </x:c>
      <x:c r="C222" s="20" t="n">
        <x:f>INDEX(Population!$B$2:$R$17,MATCH(B222,Population!$A$2:$A$17,0),MATCH(A222,Population!$B$1:$R$1,0))</x:f>
        <x:v>206700</x:v>
      </x:c>
      <x:c r="D222" s="18" t="n">
        <x:f>COUNTIFS('Hospital Catalog'!$E:$E,B222,'Hospital Catalog'!$F:$F,"&lt;="&amp;A222,'Hospital Catalog'!$H:$H,"Yes")</x:f>
        <x:v>0</x:v>
      </x:c>
      <x:c r="E222" s="22" t="n">
        <x:f>IFERROR(D222/C222*100000,"")</x:f>
        <x:v>0</x:v>
      </x:c>
      <x:c r="F222" s="18" t="n">
        <x:f>COUNTIFS('Hospital Catalog'!$E:$E,B222,'Hospital Catalog'!$F:$F,"&lt;="&amp;A222,'Hospital Catalog'!$H:$H,"Yes",'Hospital Catalog'!$D:$D,"*public*") + COUNTIFS('Hospital Catalog'!$E:$E,B222,'Hospital Catalog'!$F:$F,"&lt;="&amp;A222,'Hospital Catalog'!$H:$H,"Yes",'Hospital Catalog'!$D:$D,"IMSS public") + COUNTIFS('Hospital Catalog'!$E:$E,B222,'Hospital Catalog'!$F:$F,"&lt;="&amp;A222,'Hospital Catalog'!$H:$H,"Yes",'Hospital Catalog'!$D:$D,"ISSSTE public")</x:f>
        <x:v>0</x:v>
      </x:c>
      <x:c r="G222" s="22" t="n">
        <x:f>IFERROR(F222/C222*100000,"")</x:f>
        <x:v>0</x:v>
      </x:c>
      <x:c r="H222" s="18" t="n">
        <x:f>COUNTIFS('Hospital Catalog'!$E:$E,B222,'Hospital Catalog'!$F:$F,"&lt;="&amp;A222,'Hospital Catalog'!$H:$H,"Yes",'Hospital Catalog'!$K:$K,"High") + COUNTIFS('Hospital Catalog'!$E:$E,B222,'Hospital Catalog'!$F:$F,"&lt;="&amp;A222,'Hospital Catalog'!$H:$H,"Yes",'Hospital Catalog'!$K:$K,"Medium")</x:f>
        <x:v>0</x:v>
      </x:c>
      <x:c r="I222" s="22" t="n">
        <x:f>IFERROR(H222/C222*100000,"")</x:f>
        <x:v>0</x:v>
      </x:c>
      <x:c r="J222" s="16" t="str"/>
    </x:row>
    <x:row r="223">
      <x:c r="A223" s="16" t="n">
        <x:v>1990</x:v>
      </x:c>
      <x:c r="B223" s="16" t="str">
        <x:v>Tlalpan</x:v>
      </x:c>
      <x:c r="C223" s="20" t="n">
        <x:f>INDEX(Population!$B$2:$R$17,MATCH(B223,Population!$A$2:$A$17,0),MATCH(A223,Population!$B$1:$R$1,0))</x:f>
        <x:v>484866</x:v>
      </x:c>
      <x:c r="D223" s="18" t="n">
        <x:f>COUNTIFS('Hospital Catalog'!$E:$E,B223,'Hospital Catalog'!$F:$F,"&lt;="&amp;A223,'Hospital Catalog'!$H:$H,"Yes")</x:f>
        <x:v>7</x:v>
      </x:c>
      <x:c r="E223" s="22" t="n">
        <x:f>IFERROR(D223/C223*100000,"")</x:f>
        <x:v>1.4436978464152983</x:v>
      </x:c>
      <x:c r="F223" s="18" t="n">
        <x:f>COUNTIFS('Hospital Catalog'!$E:$E,B223,'Hospital Catalog'!$F:$F,"&lt;="&amp;A223,'Hospital Catalog'!$H:$H,"Yes",'Hospital Catalog'!$D:$D,"*public*") + COUNTIFS('Hospital Catalog'!$E:$E,B223,'Hospital Catalog'!$F:$F,"&lt;="&amp;A223,'Hospital Catalog'!$H:$H,"Yes",'Hospital Catalog'!$D:$D,"IMSS public") + COUNTIFS('Hospital Catalog'!$E:$E,B223,'Hospital Catalog'!$F:$F,"&lt;="&amp;A223,'Hospital Catalog'!$H:$H,"Yes",'Hospital Catalog'!$D:$D,"ISSSTE public")</x:f>
        <x:v>1</x:v>
      </x:c>
      <x:c r="G223" s="22" t="n">
        <x:f>IFERROR(F223/C223*100000,"")</x:f>
        <x:v>0.20624254948789972</x:v>
      </x:c>
      <x:c r="H223" s="18" t="n">
        <x:f>COUNTIFS('Hospital Catalog'!$E:$E,B223,'Hospital Catalog'!$F:$F,"&lt;="&amp;A223,'Hospital Catalog'!$H:$H,"Yes",'Hospital Catalog'!$K:$K,"High") + COUNTIFS('Hospital Catalog'!$E:$E,B223,'Hospital Catalog'!$F:$F,"&lt;="&amp;A223,'Hospital Catalog'!$H:$H,"Yes",'Hospital Catalog'!$K:$K,"Medium")</x:f>
        <x:v>6</x:v>
      </x:c>
      <x:c r="I223" s="22" t="n">
        <x:f>IFERROR(H223/C223*100000,"")</x:f>
        <x:v>1.2374552969273984</x:v>
      </x:c>
      <x:c r="J223" s="16" t="str"/>
    </x:row>
    <x:row r="224">
      <x:c r="A224" s="16" t="n">
        <x:v>1990</x:v>
      </x:c>
      <x:c r="B224" s="16" t="str">
        <x:v>Venustiano Carranza</x:v>
      </x:c>
      <x:c r="C224" s="20" t="n">
        <x:f>INDEX(Population!$B$2:$R$17,MATCH(B224,Population!$A$2:$A$17,0),MATCH(A224,Population!$B$1:$R$1,0))</x:f>
        <x:v>519628</x:v>
      </x:c>
      <x:c r="D224" s="18" t="n">
        <x:f>COUNTIFS('Hospital Catalog'!$E:$E,B224,'Hospital Catalog'!$F:$F,"&lt;="&amp;A224,'Hospital Catalog'!$H:$H,"Yes")</x:f>
        <x:v>2</x:v>
      </x:c>
      <x:c r="E224" s="22" t="n">
        <x:f>IFERROR(D224/C224*100000,"")</x:f>
        <x:v>0.38489072952188874</x:v>
      </x:c>
      <x:c r="F224" s="18" t="n">
        <x:f>COUNTIFS('Hospital Catalog'!$E:$E,B224,'Hospital Catalog'!$F:$F,"&lt;="&amp;A224,'Hospital Catalog'!$H:$H,"Yes",'Hospital Catalog'!$D:$D,"*public*") + COUNTIFS('Hospital Catalog'!$E:$E,B224,'Hospital Catalog'!$F:$F,"&lt;="&amp;A224,'Hospital Catalog'!$H:$H,"Yes",'Hospital Catalog'!$D:$D,"IMSS public") + COUNTIFS('Hospital Catalog'!$E:$E,B224,'Hospital Catalog'!$F:$F,"&lt;="&amp;A224,'Hospital Catalog'!$H:$H,"Yes",'Hospital Catalog'!$D:$D,"ISSSTE public")</x:f>
        <x:v>0</x:v>
      </x:c>
      <x:c r="G224" s="22" t="n">
        <x:f>IFERROR(F224/C224*100000,"")</x:f>
        <x:v>0</x:v>
      </x:c>
      <x:c r="H224" s="18" t="n">
        <x:f>COUNTIFS('Hospital Catalog'!$E:$E,B224,'Hospital Catalog'!$F:$F,"&lt;="&amp;A224,'Hospital Catalog'!$H:$H,"Yes",'Hospital Catalog'!$K:$K,"High") + COUNTIFS('Hospital Catalog'!$E:$E,B224,'Hospital Catalog'!$F:$F,"&lt;="&amp;A224,'Hospital Catalog'!$H:$H,"Yes",'Hospital Catalog'!$K:$K,"Medium")</x:f>
        <x:v>2</x:v>
      </x:c>
      <x:c r="I224" s="22" t="n">
        <x:f>IFERROR(H224/C224*100000,"")</x:f>
        <x:v>0.38489072952188874</x:v>
      </x:c>
      <x:c r="J224" s="16" t="str"/>
    </x:row>
    <x:row r="225">
      <x:c r="A225" s="16" t="n">
        <x:v>1990</x:v>
      </x:c>
      <x:c r="B225" s="16" t="str">
        <x:v>Xochimilco</x:v>
      </x:c>
      <x:c r="C225" s="20" t="n">
        <x:f>INDEX(Population!$B$2:$R$17,MATCH(B225,Population!$A$2:$A$17,0),MATCH(A225,Population!$B$1:$R$1,0))</x:f>
        <x:v>271151</x:v>
      </x:c>
      <x:c r="D225" s="18" t="n">
        <x:f>COUNTIFS('Hospital Catalog'!$E:$E,B225,'Hospital Catalog'!$F:$F,"&lt;="&amp;A225,'Hospital Catalog'!$H:$H,"Yes")</x:f>
        <x:v>1</x:v>
      </x:c>
      <x:c r="E225" s="22" t="n">
        <x:f>IFERROR(D225/C225*100000,"")</x:f>
        <x:v>0.36879819731441155</x:v>
      </x:c>
      <x:c r="F225" s="18" t="n">
        <x:f>COUNTIFS('Hospital Catalog'!$E:$E,B225,'Hospital Catalog'!$F:$F,"&lt;="&amp;A225,'Hospital Catalog'!$H:$H,"Yes",'Hospital Catalog'!$D:$D,"*public*") + COUNTIFS('Hospital Catalog'!$E:$E,B225,'Hospital Catalog'!$F:$F,"&lt;="&amp;A225,'Hospital Catalog'!$H:$H,"Yes",'Hospital Catalog'!$D:$D,"IMSS public") + COUNTIFS('Hospital Catalog'!$E:$E,B225,'Hospital Catalog'!$F:$F,"&lt;="&amp;A225,'Hospital Catalog'!$H:$H,"Yes",'Hospital Catalog'!$D:$D,"ISSSTE public")</x:f>
        <x:v>0</x:v>
      </x:c>
      <x:c r="G225" s="22" t="n">
        <x:f>IFERROR(F225/C225*100000,"")</x:f>
        <x:v>0</x:v>
      </x:c>
      <x:c r="H225" s="18" t="n">
        <x:f>COUNTIFS('Hospital Catalog'!$E:$E,B225,'Hospital Catalog'!$F:$F,"&lt;="&amp;A225,'Hospital Catalog'!$H:$H,"Yes",'Hospital Catalog'!$K:$K,"High") + COUNTIFS('Hospital Catalog'!$E:$E,B225,'Hospital Catalog'!$F:$F,"&lt;="&amp;A225,'Hospital Catalog'!$H:$H,"Yes",'Hospital Catalog'!$K:$K,"Medium")</x:f>
        <x:v>0</x:v>
      </x:c>
      <x:c r="I225" s="22" t="n">
        <x:f>IFERROR(H225/C225*100000,"")</x:f>
        <x:v>0</x:v>
      </x:c>
      <x:c r="J225" s="16" t="str"/>
    </x:row>
    <x:row r="226">
      <x:c r="A226" s="16" t="n">
        <x:v>2000</x:v>
      </x:c>
      <x:c r="B226" s="16" t="str">
        <x:v>Álvaro Obregón</x:v>
      </x:c>
      <x:c r="C226" s="20" t="n">
        <x:f>INDEX(Population!$B$2:$R$17,MATCH(B226,Population!$A$2:$A$17,0),MATCH(A226,Population!$B$1:$R$1,0))</x:f>
        <x:v>687020</x:v>
      </x:c>
      <x:c r="D226" s="18" t="n">
        <x:f>COUNTIFS('Hospital Catalog'!$E:$E,B226,'Hospital Catalog'!$F:$F,"&lt;="&amp;A226,'Hospital Catalog'!$H:$H,"Yes")</x:f>
        <x:v>2</x:v>
      </x:c>
      <x:c r="E226" s="22" t="n">
        <x:f>IFERROR(D226/C226*100000,"")</x:f>
        <x:v>0.29111234025210325</x:v>
      </x:c>
      <x:c r="F226" s="18" t="n">
        <x:f>COUNTIFS('Hospital Catalog'!$E:$E,B226,'Hospital Catalog'!$F:$F,"&lt;="&amp;A226,'Hospital Catalog'!$H:$H,"Yes",'Hospital Catalog'!$D:$D,"*public*") + COUNTIFS('Hospital Catalog'!$E:$E,B226,'Hospital Catalog'!$F:$F,"&lt;="&amp;A226,'Hospital Catalog'!$H:$H,"Yes",'Hospital Catalog'!$D:$D,"IMSS public") + COUNTIFS('Hospital Catalog'!$E:$E,B226,'Hospital Catalog'!$F:$F,"&lt;="&amp;A226,'Hospital Catalog'!$H:$H,"Yes",'Hospital Catalog'!$D:$D,"ISSSTE public")</x:f>
        <x:v>1</x:v>
      </x:c>
      <x:c r="G226" s="22" t="n">
        <x:f>IFERROR(F226/C226*100000,"")</x:f>
        <x:v>0.14555617012605163</x:v>
      </x:c>
      <x:c r="H226" s="18" t="n">
        <x:f>COUNTIFS('Hospital Catalog'!$E:$E,B226,'Hospital Catalog'!$F:$F,"&lt;="&amp;A226,'Hospital Catalog'!$H:$H,"Yes",'Hospital Catalog'!$K:$K,"High") + COUNTIFS('Hospital Catalog'!$E:$E,B226,'Hospital Catalog'!$F:$F,"&lt;="&amp;A226,'Hospital Catalog'!$H:$H,"Yes",'Hospital Catalog'!$K:$K,"Medium")</x:f>
        <x:v>2</x:v>
      </x:c>
      <x:c r="I226" s="22" t="n">
        <x:f>IFERROR(H226/C226*100000,"")</x:f>
        <x:v>0.29111234025210325</x:v>
      </x:c>
      <x:c r="J226" s="16" t="str"/>
    </x:row>
    <x:row r="227">
      <x:c r="A227" s="16" t="n">
        <x:v>2000</x:v>
      </x:c>
      <x:c r="B227" s="16" t="str">
        <x:v>Azcapotzalco</x:v>
      </x:c>
      <x:c r="C227" s="20" t="n">
        <x:f>INDEX(Population!$B$2:$R$17,MATCH(B227,Population!$A$2:$A$17,0),MATCH(A227,Population!$B$1:$R$1,0))</x:f>
        <x:v>441008</x:v>
      </x:c>
      <x:c r="D227" s="18" t="n">
        <x:f>COUNTIFS('Hospital Catalog'!$E:$E,B227,'Hospital Catalog'!$F:$F,"&lt;="&amp;A227,'Hospital Catalog'!$H:$H,"Yes")</x:f>
        <x:v>2</x:v>
      </x:c>
      <x:c r="E227" s="22" t="n">
        <x:f>IFERROR(D227/C227*100000,"")</x:f>
        <x:v>0.4535065123535174</x:v>
      </x:c>
      <x:c r="F227" s="18" t="n">
        <x:f>COUNTIFS('Hospital Catalog'!$E:$E,B227,'Hospital Catalog'!$F:$F,"&lt;="&amp;A227,'Hospital Catalog'!$H:$H,"Yes",'Hospital Catalog'!$D:$D,"*public*") + COUNTIFS('Hospital Catalog'!$E:$E,B227,'Hospital Catalog'!$F:$F,"&lt;="&amp;A227,'Hospital Catalog'!$H:$H,"Yes",'Hospital Catalog'!$D:$D,"IMSS public") + COUNTIFS('Hospital Catalog'!$E:$E,B227,'Hospital Catalog'!$F:$F,"&lt;="&amp;A227,'Hospital Catalog'!$H:$H,"Yes",'Hospital Catalog'!$D:$D,"ISSSTE public")</x:f>
        <x:v>1</x:v>
      </x:c>
      <x:c r="G227" s="22" t="n">
        <x:f>IFERROR(F227/C227*100000,"")</x:f>
        <x:v>0.2267532561767587</x:v>
      </x:c>
      <x:c r="H227" s="18" t="n">
        <x:f>COUNTIFS('Hospital Catalog'!$E:$E,B227,'Hospital Catalog'!$F:$F,"&lt;="&amp;A227,'Hospital Catalog'!$H:$H,"Yes",'Hospital Catalog'!$K:$K,"High") + COUNTIFS('Hospital Catalog'!$E:$E,B227,'Hospital Catalog'!$F:$F,"&lt;="&amp;A227,'Hospital Catalog'!$H:$H,"Yes",'Hospital Catalog'!$K:$K,"Medium")</x:f>
        <x:v>2</x:v>
      </x:c>
      <x:c r="I227" s="22" t="n">
        <x:f>IFERROR(H227/C227*100000,"")</x:f>
        <x:v>0.4535065123535174</x:v>
      </x:c>
      <x:c r="J227" s="16" t="str"/>
    </x:row>
    <x:row r="228">
      <x:c r="A228" s="16" t="n">
        <x:v>2000</x:v>
      </x:c>
      <x:c r="B228" s="16" t="str">
        <x:v>Benito Juárez</x:v>
      </x:c>
      <x:c r="C228" s="20" t="n">
        <x:f>INDEX(Population!$B$2:$R$17,MATCH(B228,Population!$A$2:$A$17,0),MATCH(A228,Population!$B$1:$R$1,0))</x:f>
        <x:v>360478</x:v>
      </x:c>
      <x:c r="D228" s="18" t="n">
        <x:f>COUNTIFS('Hospital Catalog'!$E:$E,B228,'Hospital Catalog'!$F:$F,"&lt;="&amp;A228,'Hospital Catalog'!$H:$H,"Yes")</x:f>
        <x:v>3</x:v>
      </x:c>
      <x:c r="E228" s="22" t="n">
        <x:f>IFERROR(D228/C228*100000,"")</x:f>
        <x:v>0.8322283190652412</x:v>
      </x:c>
      <x:c r="F228" s="18" t="n">
        <x:f>COUNTIFS('Hospital Catalog'!$E:$E,B228,'Hospital Catalog'!$F:$F,"&lt;="&amp;A228,'Hospital Catalog'!$H:$H,"Yes",'Hospital Catalog'!$D:$D,"*public*") + COUNTIFS('Hospital Catalog'!$E:$E,B228,'Hospital Catalog'!$F:$F,"&lt;="&amp;A228,'Hospital Catalog'!$H:$H,"Yes",'Hospital Catalog'!$D:$D,"IMSS public") + COUNTIFS('Hospital Catalog'!$E:$E,B228,'Hospital Catalog'!$F:$F,"&lt;="&amp;A228,'Hospital Catalog'!$H:$H,"Yes",'Hospital Catalog'!$D:$D,"ISSSTE public")</x:f>
        <x:v>1</x:v>
      </x:c>
      <x:c r="G228" s="22" t="n">
        <x:f>IFERROR(F228/C228*100000,"")</x:f>
        <x:v>0.2774094396884137</x:v>
      </x:c>
      <x:c r="H228" s="18" t="n">
        <x:f>COUNTIFS('Hospital Catalog'!$E:$E,B228,'Hospital Catalog'!$F:$F,"&lt;="&amp;A228,'Hospital Catalog'!$H:$H,"Yes",'Hospital Catalog'!$K:$K,"High") + COUNTIFS('Hospital Catalog'!$E:$E,B228,'Hospital Catalog'!$F:$F,"&lt;="&amp;A228,'Hospital Catalog'!$H:$H,"Yes",'Hospital Catalog'!$K:$K,"Medium")</x:f>
        <x:v>1</x:v>
      </x:c>
      <x:c r="I228" s="22" t="n">
        <x:f>IFERROR(H228/C228*100000,"")</x:f>
        <x:v>0.2774094396884137</x:v>
      </x:c>
      <x:c r="J228" s="16" t="str"/>
    </x:row>
    <x:row r="229">
      <x:c r="A229" s="16" t="n">
        <x:v>2000</x:v>
      </x:c>
      <x:c r="B229" s="16" t="str">
        <x:v>Coyoacán</x:v>
      </x:c>
      <x:c r="C229" s="20" t="n">
        <x:f>INDEX(Population!$B$2:$R$17,MATCH(B229,Population!$A$2:$A$17,0),MATCH(A229,Population!$B$1:$R$1,0))</x:f>
        <x:v>640423</x:v>
      </x:c>
      <x:c r="D229" s="18" t="n">
        <x:f>COUNTIFS('Hospital Catalog'!$E:$E,B229,'Hospital Catalog'!$F:$F,"&lt;="&amp;A229,'Hospital Catalog'!$H:$H,"Yes")</x:f>
        <x:v>3</x:v>
      </x:c>
      <x:c r="E229" s="22" t="n">
        <x:f>IFERROR(D229/C229*100000,"")</x:f>
        <x:v>0.4684403901796157</x:v>
      </x:c>
      <x:c r="F229" s="18" t="n">
        <x:f>COUNTIFS('Hospital Catalog'!$E:$E,B229,'Hospital Catalog'!$F:$F,"&lt;="&amp;A229,'Hospital Catalog'!$H:$H,"Yes",'Hospital Catalog'!$D:$D,"*public*") + COUNTIFS('Hospital Catalog'!$E:$E,B229,'Hospital Catalog'!$F:$F,"&lt;="&amp;A229,'Hospital Catalog'!$H:$H,"Yes",'Hospital Catalog'!$D:$D,"IMSS public") + COUNTIFS('Hospital Catalog'!$E:$E,B229,'Hospital Catalog'!$F:$F,"&lt;="&amp;A229,'Hospital Catalog'!$H:$H,"Yes",'Hospital Catalog'!$D:$D,"ISSSTE public")</x:f>
        <x:v>0</x:v>
      </x:c>
      <x:c r="G229" s="22" t="n">
        <x:f>IFERROR(F229/C229*100000,"")</x:f>
        <x:v>0</x:v>
      </x:c>
      <x:c r="H229" s="18" t="n">
        <x:f>COUNTIFS('Hospital Catalog'!$E:$E,B229,'Hospital Catalog'!$F:$F,"&lt;="&amp;A229,'Hospital Catalog'!$H:$H,"Yes",'Hospital Catalog'!$K:$K,"High") + COUNTIFS('Hospital Catalog'!$E:$E,B229,'Hospital Catalog'!$F:$F,"&lt;="&amp;A229,'Hospital Catalog'!$H:$H,"Yes",'Hospital Catalog'!$K:$K,"Medium")</x:f>
        <x:v>3</x:v>
      </x:c>
      <x:c r="I229" s="22" t="n">
        <x:f>IFERROR(H229/C229*100000,"")</x:f>
        <x:v>0.4684403901796157</x:v>
      </x:c>
      <x:c r="J229" s="16" t="str"/>
    </x:row>
    <x:row r="230">
      <x:c r="A230" s="16" t="n">
        <x:v>2000</x:v>
      </x:c>
      <x:c r="B230" s="16" t="str">
        <x:v>Cuajimalpa de Morelos</x:v>
      </x:c>
      <x:c r="C230" s="20" t="n">
        <x:f>INDEX(Population!$B$2:$R$17,MATCH(B230,Population!$A$2:$A$17,0),MATCH(A230,Population!$B$1:$R$1,0))</x:f>
        <x:v>151222</x:v>
      </x:c>
      <x:c r="D230" s="18" t="n">
        <x:f>COUNTIFS('Hospital Catalog'!$E:$E,B230,'Hospital Catalog'!$F:$F,"&lt;="&amp;A230,'Hospital Catalog'!$H:$H,"Yes")</x:f>
        <x:v>0</x:v>
      </x:c>
      <x:c r="E230" s="22" t="n">
        <x:f>IFERROR(D230/C230*100000,"")</x:f>
        <x:v>0</x:v>
      </x:c>
      <x:c r="F230" s="18" t="n">
        <x:f>COUNTIFS('Hospital Catalog'!$E:$E,B230,'Hospital Catalog'!$F:$F,"&lt;="&amp;A230,'Hospital Catalog'!$H:$H,"Yes",'Hospital Catalog'!$D:$D,"*public*") + COUNTIFS('Hospital Catalog'!$E:$E,B230,'Hospital Catalog'!$F:$F,"&lt;="&amp;A230,'Hospital Catalog'!$H:$H,"Yes",'Hospital Catalog'!$D:$D,"IMSS public") + COUNTIFS('Hospital Catalog'!$E:$E,B230,'Hospital Catalog'!$F:$F,"&lt;="&amp;A230,'Hospital Catalog'!$H:$H,"Yes",'Hospital Catalog'!$D:$D,"ISSSTE public")</x:f>
        <x:v>0</x:v>
      </x:c>
      <x:c r="G230" s="22" t="n">
        <x:f>IFERROR(F230/C230*100000,"")</x:f>
        <x:v>0</x:v>
      </x:c>
      <x:c r="H230" s="18" t="n">
        <x:f>COUNTIFS('Hospital Catalog'!$E:$E,B230,'Hospital Catalog'!$F:$F,"&lt;="&amp;A230,'Hospital Catalog'!$H:$H,"Yes",'Hospital Catalog'!$K:$K,"High") + COUNTIFS('Hospital Catalog'!$E:$E,B230,'Hospital Catalog'!$F:$F,"&lt;="&amp;A230,'Hospital Catalog'!$H:$H,"Yes",'Hospital Catalog'!$K:$K,"Medium")</x:f>
        <x:v>0</x:v>
      </x:c>
      <x:c r="I230" s="22" t="n">
        <x:f>IFERROR(H230/C230*100000,"")</x:f>
        <x:v>0</x:v>
      </x:c>
      <x:c r="J230" s="16" t="str"/>
    </x:row>
    <x:row r="231">
      <x:c r="A231" s="16" t="n">
        <x:v>2000</x:v>
      </x:c>
      <x:c r="B231" s="16" t="str">
        <x:v>Cuauhtémoc</x:v>
      </x:c>
      <x:c r="C231" s="20" t="n">
        <x:f>INDEX(Population!$B$2:$R$17,MATCH(B231,Population!$A$2:$A$17,0),MATCH(A231,Population!$B$1:$R$1,0))</x:f>
        <x:v>516255</x:v>
      </x:c>
      <x:c r="D231" s="18" t="n">
        <x:f>COUNTIFS('Hospital Catalog'!$E:$E,B231,'Hospital Catalog'!$F:$F,"&lt;="&amp;A231,'Hospital Catalog'!$H:$H,"Yes")</x:f>
        <x:v>4</x:v>
      </x:c>
      <x:c r="E231" s="22" t="n">
        <x:f>IFERROR(D231/C231*100000,"")</x:f>
        <x:v>0.7748108977152764</x:v>
      </x:c>
      <x:c r="F231" s="18" t="n">
        <x:f>COUNTIFS('Hospital Catalog'!$E:$E,B231,'Hospital Catalog'!$F:$F,"&lt;="&amp;A231,'Hospital Catalog'!$H:$H,"Yes",'Hospital Catalog'!$D:$D,"*public*") + COUNTIFS('Hospital Catalog'!$E:$E,B231,'Hospital Catalog'!$F:$F,"&lt;="&amp;A231,'Hospital Catalog'!$H:$H,"Yes",'Hospital Catalog'!$D:$D,"IMSS public") + COUNTIFS('Hospital Catalog'!$E:$E,B231,'Hospital Catalog'!$F:$F,"&lt;="&amp;A231,'Hospital Catalog'!$H:$H,"Yes",'Hospital Catalog'!$D:$D,"ISSSTE public")</x:f>
        <x:v>1</x:v>
      </x:c>
      <x:c r="G231" s="22" t="n">
        <x:f>IFERROR(F231/C231*100000,"")</x:f>
        <x:v>0.1937027244288191</x:v>
      </x:c>
      <x:c r="H231" s="18" t="n">
        <x:f>COUNTIFS('Hospital Catalog'!$E:$E,B231,'Hospital Catalog'!$F:$F,"&lt;="&amp;A231,'Hospital Catalog'!$H:$H,"Yes",'Hospital Catalog'!$K:$K,"High") + COUNTIFS('Hospital Catalog'!$E:$E,B231,'Hospital Catalog'!$F:$F,"&lt;="&amp;A231,'Hospital Catalog'!$H:$H,"Yes",'Hospital Catalog'!$K:$K,"Medium")</x:f>
        <x:v>4</x:v>
      </x:c>
      <x:c r="I231" s="22" t="n">
        <x:f>IFERROR(H231/C231*100000,"")</x:f>
        <x:v>0.7748108977152764</x:v>
      </x:c>
      <x:c r="J231" s="16" t="str"/>
    </x:row>
    <x:row r="232">
      <x:c r="A232" s="16" t="n">
        <x:v>2000</x:v>
      </x:c>
      <x:c r="B232" s="16" t="str">
        <x:v>Gustavo A. Madero</x:v>
      </x:c>
      <x:c r="C232" s="20" t="n">
        <x:f>INDEX(Population!$B$2:$R$17,MATCH(B232,Population!$A$2:$A$17,0),MATCH(A232,Population!$B$1:$R$1,0))</x:f>
        <x:v>1235542</x:v>
      </x:c>
      <x:c r="D232" s="18" t="n">
        <x:f>COUNTIFS('Hospital Catalog'!$E:$E,B232,'Hospital Catalog'!$F:$F,"&lt;="&amp;A232,'Hospital Catalog'!$H:$H,"Yes")</x:f>
        <x:v>4</x:v>
      </x:c>
      <x:c r="E232" s="22" t="n">
        <x:f>IFERROR(D232/C232*100000,"")</x:f>
        <x:v>0.3237445590680042</x:v>
      </x:c>
      <x:c r="F232" s="18" t="n">
        <x:f>COUNTIFS('Hospital Catalog'!$E:$E,B232,'Hospital Catalog'!$F:$F,"&lt;="&amp;A232,'Hospital Catalog'!$H:$H,"Yes",'Hospital Catalog'!$D:$D,"*public*") + COUNTIFS('Hospital Catalog'!$E:$E,B232,'Hospital Catalog'!$F:$F,"&lt;="&amp;A232,'Hospital Catalog'!$H:$H,"Yes",'Hospital Catalog'!$D:$D,"IMSS public") + COUNTIFS('Hospital Catalog'!$E:$E,B232,'Hospital Catalog'!$F:$F,"&lt;="&amp;A232,'Hospital Catalog'!$H:$H,"Yes",'Hospital Catalog'!$D:$D,"ISSSTE public")</x:f>
        <x:v>0</x:v>
      </x:c>
      <x:c r="G232" s="22" t="n">
        <x:f>IFERROR(F232/C232*100000,"")</x:f>
        <x:v>0</x:v>
      </x:c>
      <x:c r="H232" s="18" t="n">
        <x:f>COUNTIFS('Hospital Catalog'!$E:$E,B232,'Hospital Catalog'!$F:$F,"&lt;="&amp;A232,'Hospital Catalog'!$H:$H,"Yes",'Hospital Catalog'!$K:$K,"High") + COUNTIFS('Hospital Catalog'!$E:$E,B232,'Hospital Catalog'!$F:$F,"&lt;="&amp;A232,'Hospital Catalog'!$H:$H,"Yes",'Hospital Catalog'!$K:$K,"Medium")</x:f>
        <x:v>1</x:v>
      </x:c>
      <x:c r="I232" s="22" t="n">
        <x:f>IFERROR(H232/C232*100000,"")</x:f>
        <x:v>0.08093613976700105</x:v>
      </x:c>
      <x:c r="J232" s="16" t="str"/>
    </x:row>
    <x:row r="233">
      <x:c r="A233" s="16" t="n">
        <x:v>2000</x:v>
      </x:c>
      <x:c r="B233" s="16" t="str">
        <x:v>Iztacalco</x:v>
      </x:c>
      <x:c r="C233" s="20" t="n">
        <x:f>INDEX(Population!$B$2:$R$17,MATCH(B233,Population!$A$2:$A$17,0),MATCH(A233,Population!$B$1:$R$1,0))</x:f>
        <x:v>411321</x:v>
      </x:c>
      <x:c r="D233" s="18" t="n">
        <x:f>COUNTIFS('Hospital Catalog'!$E:$E,B233,'Hospital Catalog'!$F:$F,"&lt;="&amp;A233,'Hospital Catalog'!$H:$H,"Yes")</x:f>
        <x:v>1</x:v>
      </x:c>
      <x:c r="E233" s="22" t="n">
        <x:f>IFERROR(D233/C233*100000,"")</x:f>
        <x:v>0.24311912107575348</x:v>
      </x:c>
      <x:c r="F233" s="18" t="n">
        <x:f>COUNTIFS('Hospital Catalog'!$E:$E,B233,'Hospital Catalog'!$F:$F,"&lt;="&amp;A233,'Hospital Catalog'!$H:$H,"Yes",'Hospital Catalog'!$D:$D,"*public*") + COUNTIFS('Hospital Catalog'!$E:$E,B233,'Hospital Catalog'!$F:$F,"&lt;="&amp;A233,'Hospital Catalog'!$H:$H,"Yes",'Hospital Catalog'!$D:$D,"IMSS public") + COUNTIFS('Hospital Catalog'!$E:$E,B233,'Hospital Catalog'!$F:$F,"&lt;="&amp;A233,'Hospital Catalog'!$H:$H,"Yes",'Hospital Catalog'!$D:$D,"ISSSTE public")</x:f>
        <x:v>0</x:v>
      </x:c>
      <x:c r="G233" s="22" t="n">
        <x:f>IFERROR(F233/C233*100000,"")</x:f>
        <x:v>0</x:v>
      </x:c>
      <x:c r="H233" s="18" t="n">
        <x:f>COUNTIFS('Hospital Catalog'!$E:$E,B233,'Hospital Catalog'!$F:$F,"&lt;="&amp;A233,'Hospital Catalog'!$H:$H,"Yes",'Hospital Catalog'!$K:$K,"High") + COUNTIFS('Hospital Catalog'!$E:$E,B233,'Hospital Catalog'!$F:$F,"&lt;="&amp;A233,'Hospital Catalog'!$H:$H,"Yes",'Hospital Catalog'!$K:$K,"Medium")</x:f>
        <x:v>0</x:v>
      </x:c>
      <x:c r="I233" s="22" t="n">
        <x:f>IFERROR(H233/C233*100000,"")</x:f>
        <x:v>0</x:v>
      </x:c>
      <x:c r="J233" s="16" t="str"/>
    </x:row>
    <x:row r="234">
      <x:c r="A234" s="16" t="n">
        <x:v>2000</x:v>
      </x:c>
      <x:c r="B234" s="16" t="str">
        <x:v>Iztapalapa</x:v>
      </x:c>
      <x:c r="C234" s="20" t="n">
        <x:f>INDEX(Population!$B$2:$R$17,MATCH(B234,Population!$A$2:$A$17,0),MATCH(A234,Population!$B$1:$R$1,0))</x:f>
        <x:v>1773343</x:v>
      </x:c>
      <x:c r="D234" s="18" t="n">
        <x:f>COUNTIFS('Hospital Catalog'!$E:$E,B234,'Hospital Catalog'!$F:$F,"&lt;="&amp;A234,'Hospital Catalog'!$H:$H,"Yes")</x:f>
        <x:v>2</x:v>
      </x:c>
      <x:c r="E234" s="22" t="n">
        <x:f>IFERROR(D234/C234*100000,"")</x:f>
        <x:v>0.11278134010171749</x:v>
      </x:c>
      <x:c r="F234" s="18" t="n">
        <x:f>COUNTIFS('Hospital Catalog'!$E:$E,B234,'Hospital Catalog'!$F:$F,"&lt;="&amp;A234,'Hospital Catalog'!$H:$H,"Yes",'Hospital Catalog'!$D:$D,"*public*") + COUNTIFS('Hospital Catalog'!$E:$E,B234,'Hospital Catalog'!$F:$F,"&lt;="&amp;A234,'Hospital Catalog'!$H:$H,"Yes",'Hospital Catalog'!$D:$D,"IMSS public") + COUNTIFS('Hospital Catalog'!$E:$E,B234,'Hospital Catalog'!$F:$F,"&lt;="&amp;A234,'Hospital Catalog'!$H:$H,"Yes",'Hospital Catalog'!$D:$D,"ISSSTE public")</x:f>
        <x:v>1</x:v>
      </x:c>
      <x:c r="G234" s="22" t="n">
        <x:f>IFERROR(F234/C234*100000,"")</x:f>
        <x:v>0.056390670050858745</x:v>
      </x:c>
      <x:c r="H234" s="18" t="n">
        <x:f>COUNTIFS('Hospital Catalog'!$E:$E,B234,'Hospital Catalog'!$F:$F,"&lt;="&amp;A234,'Hospital Catalog'!$H:$H,"Yes",'Hospital Catalog'!$K:$K,"High") + COUNTIFS('Hospital Catalog'!$E:$E,B234,'Hospital Catalog'!$F:$F,"&lt;="&amp;A234,'Hospital Catalog'!$H:$H,"Yes",'Hospital Catalog'!$K:$K,"Medium")</x:f>
        <x:v>0</x:v>
      </x:c>
      <x:c r="I234" s="22" t="n">
        <x:f>IFERROR(H234/C234*100000,"")</x:f>
        <x:v>0</x:v>
      </x:c>
      <x:c r="J234" s="16" t="str"/>
    </x:row>
    <x:row r="235">
      <x:c r="A235" s="16" t="n">
        <x:v>2000</x:v>
      </x:c>
      <x:c r="B235" s="16" t="str">
        <x:v>La Magdalena Contreras</x:v>
      </x:c>
      <x:c r="C235" s="20" t="n">
        <x:f>INDEX(Population!$B$2:$R$17,MATCH(B235,Population!$A$2:$A$17,0),MATCH(A235,Population!$B$1:$R$1,0))</x:f>
        <x:v>222050</x:v>
      </x:c>
      <x:c r="D235" s="18" t="n">
        <x:f>COUNTIFS('Hospital Catalog'!$E:$E,B235,'Hospital Catalog'!$F:$F,"&lt;="&amp;A235,'Hospital Catalog'!$H:$H,"Yes")</x:f>
        <x:v>2</x:v>
      </x:c>
      <x:c r="E235" s="22" t="n">
        <x:f>IFERROR(D235/C235*100000,"")</x:f>
        <x:v>0.9006980409817609</x:v>
      </x:c>
      <x:c r="F235" s="18" t="n">
        <x:f>COUNTIFS('Hospital Catalog'!$E:$E,B235,'Hospital Catalog'!$F:$F,"&lt;="&amp;A235,'Hospital Catalog'!$H:$H,"Yes",'Hospital Catalog'!$D:$D,"*public*") + COUNTIFS('Hospital Catalog'!$E:$E,B235,'Hospital Catalog'!$F:$F,"&lt;="&amp;A235,'Hospital Catalog'!$H:$H,"Yes",'Hospital Catalog'!$D:$D,"IMSS public") + COUNTIFS('Hospital Catalog'!$E:$E,B235,'Hospital Catalog'!$F:$F,"&lt;="&amp;A235,'Hospital Catalog'!$H:$H,"Yes",'Hospital Catalog'!$D:$D,"ISSSTE public")</x:f>
        <x:v>0</x:v>
      </x:c>
      <x:c r="G235" s="22" t="n">
        <x:f>IFERROR(F235/C235*100000,"")</x:f>
        <x:v>0</x:v>
      </x:c>
      <x:c r="H235" s="18" t="n">
        <x:f>COUNTIFS('Hospital Catalog'!$E:$E,B235,'Hospital Catalog'!$F:$F,"&lt;="&amp;A235,'Hospital Catalog'!$H:$H,"Yes",'Hospital Catalog'!$K:$K,"High") + COUNTIFS('Hospital Catalog'!$E:$E,B235,'Hospital Catalog'!$F:$F,"&lt;="&amp;A235,'Hospital Catalog'!$H:$H,"Yes",'Hospital Catalog'!$K:$K,"Medium")</x:f>
        <x:v>0</x:v>
      </x:c>
      <x:c r="I235" s="22" t="n">
        <x:f>IFERROR(H235/C235*100000,"")</x:f>
        <x:v>0</x:v>
      </x:c>
      <x:c r="J235" s="16" t="str"/>
    </x:row>
    <x:row r="236">
      <x:c r="A236" s="16" t="n">
        <x:v>2000</x:v>
      </x:c>
      <x:c r="B236" s="16" t="str">
        <x:v>Miguel Hidalgo</x:v>
      </x:c>
      <x:c r="C236" s="20" t="n">
        <x:f>INDEX(Population!$B$2:$R$17,MATCH(B236,Population!$A$2:$A$17,0),MATCH(A236,Population!$B$1:$R$1,0))</x:f>
        <x:v>352640</x:v>
      </x:c>
      <x:c r="D236" s="18" t="n">
        <x:f>COUNTIFS('Hospital Catalog'!$E:$E,B236,'Hospital Catalog'!$F:$F,"&lt;="&amp;A236,'Hospital Catalog'!$H:$H,"Yes")</x:f>
        <x:v>4</x:v>
      </x:c>
      <x:c r="E236" s="22" t="n">
        <x:f>IFERROR(D236/C236*100000,"")</x:f>
        <x:v>1.1343012704174227</x:v>
      </x:c>
      <x:c r="F236" s="18" t="n">
        <x:f>COUNTIFS('Hospital Catalog'!$E:$E,B236,'Hospital Catalog'!$F:$F,"&lt;="&amp;A236,'Hospital Catalog'!$H:$H,"Yes",'Hospital Catalog'!$D:$D,"*public*") + COUNTIFS('Hospital Catalog'!$E:$E,B236,'Hospital Catalog'!$F:$F,"&lt;="&amp;A236,'Hospital Catalog'!$H:$H,"Yes",'Hospital Catalog'!$D:$D,"IMSS public") + COUNTIFS('Hospital Catalog'!$E:$E,B236,'Hospital Catalog'!$F:$F,"&lt;="&amp;A236,'Hospital Catalog'!$H:$H,"Yes",'Hospital Catalog'!$D:$D,"ISSSTE public")</x:f>
        <x:v>0</x:v>
      </x:c>
      <x:c r="G236" s="22" t="n">
        <x:f>IFERROR(F236/C236*100000,"")</x:f>
        <x:v>0</x:v>
      </x:c>
      <x:c r="H236" s="18" t="n">
        <x:f>COUNTIFS('Hospital Catalog'!$E:$E,B236,'Hospital Catalog'!$F:$F,"&lt;="&amp;A236,'Hospital Catalog'!$H:$H,"Yes",'Hospital Catalog'!$K:$K,"High") + COUNTIFS('Hospital Catalog'!$E:$E,B236,'Hospital Catalog'!$F:$F,"&lt;="&amp;A236,'Hospital Catalog'!$H:$H,"Yes",'Hospital Catalog'!$K:$K,"Medium")</x:f>
        <x:v>4</x:v>
      </x:c>
      <x:c r="I236" s="22" t="n">
        <x:f>IFERROR(H236/C236*100000,"")</x:f>
        <x:v>1.1343012704174227</x:v>
      </x:c>
      <x:c r="J236" s="16" t="str"/>
    </x:row>
    <x:row r="237">
      <x:c r="A237" s="16" t="n">
        <x:v>2000</x:v>
      </x:c>
      <x:c r="B237" s="16" t="str">
        <x:v>Milpa Alta</x:v>
      </x:c>
      <x:c r="C237" s="20" t="n">
        <x:f>INDEX(Population!$B$2:$R$17,MATCH(B237,Population!$A$2:$A$17,0),MATCH(A237,Population!$B$1:$R$1,0))</x:f>
        <x:v>96773</x:v>
      </x:c>
      <x:c r="D237" s="18" t="n">
        <x:f>COUNTIFS('Hospital Catalog'!$E:$E,B237,'Hospital Catalog'!$F:$F,"&lt;="&amp;A237,'Hospital Catalog'!$H:$H,"Yes")</x:f>
        <x:v>2</x:v>
      </x:c>
      <x:c r="E237" s="22" t="n">
        <x:f>IFERROR(D237/C237*100000,"")</x:f>
        <x:v>2.0666921558699225</x:v>
      </x:c>
      <x:c r="F237" s="18" t="n">
        <x:f>COUNTIFS('Hospital Catalog'!$E:$E,B237,'Hospital Catalog'!$F:$F,"&lt;="&amp;A237,'Hospital Catalog'!$H:$H,"Yes",'Hospital Catalog'!$D:$D,"*public*") + COUNTIFS('Hospital Catalog'!$E:$E,B237,'Hospital Catalog'!$F:$F,"&lt;="&amp;A237,'Hospital Catalog'!$H:$H,"Yes",'Hospital Catalog'!$D:$D,"IMSS public") + COUNTIFS('Hospital Catalog'!$E:$E,B237,'Hospital Catalog'!$F:$F,"&lt;="&amp;A237,'Hospital Catalog'!$H:$H,"Yes",'Hospital Catalog'!$D:$D,"ISSSTE public")</x:f>
        <x:v>0</x:v>
      </x:c>
      <x:c r="G237" s="22" t="n">
        <x:f>IFERROR(F237/C237*100000,"")</x:f>
        <x:v>0</x:v>
      </x:c>
      <x:c r="H237" s="18" t="n">
        <x:f>COUNTIFS('Hospital Catalog'!$E:$E,B237,'Hospital Catalog'!$F:$F,"&lt;="&amp;A237,'Hospital Catalog'!$H:$H,"Yes",'Hospital Catalog'!$K:$K,"High") + COUNTIFS('Hospital Catalog'!$E:$E,B237,'Hospital Catalog'!$F:$F,"&lt;="&amp;A237,'Hospital Catalog'!$H:$H,"Yes",'Hospital Catalog'!$K:$K,"Medium")</x:f>
        <x:v>0</x:v>
      </x:c>
      <x:c r="I237" s="22" t="n">
        <x:f>IFERROR(H237/C237*100000,"")</x:f>
        <x:v>0</x:v>
      </x:c>
      <x:c r="J237" s="16" t="str"/>
    </x:row>
    <x:row r="238">
      <x:c r="A238" s="16" t="n">
        <x:v>2000</x:v>
      </x:c>
      <x:c r="B238" s="16" t="str">
        <x:v>Tláhuac</x:v>
      </x:c>
      <x:c r="C238" s="20" t="n">
        <x:f>INDEX(Population!$B$2:$R$17,MATCH(B238,Population!$A$2:$A$17,0),MATCH(A238,Population!$B$1:$R$1,0))</x:f>
        <x:v>302790</x:v>
      </x:c>
      <x:c r="D238" s="18" t="n">
        <x:f>COUNTIFS('Hospital Catalog'!$E:$E,B238,'Hospital Catalog'!$F:$F,"&lt;="&amp;A238,'Hospital Catalog'!$H:$H,"Yes")</x:f>
        <x:v>1</x:v>
      </x:c>
      <x:c r="E238" s="22" t="n">
        <x:f>IFERROR(D238/C238*100000,"")</x:f>
        <x:v>0.3302618976848641</x:v>
      </x:c>
      <x:c r="F238" s="18" t="n">
        <x:f>COUNTIFS('Hospital Catalog'!$E:$E,B238,'Hospital Catalog'!$F:$F,"&lt;="&amp;A238,'Hospital Catalog'!$H:$H,"Yes",'Hospital Catalog'!$D:$D,"*public*") + COUNTIFS('Hospital Catalog'!$E:$E,B238,'Hospital Catalog'!$F:$F,"&lt;="&amp;A238,'Hospital Catalog'!$H:$H,"Yes",'Hospital Catalog'!$D:$D,"IMSS public") + COUNTIFS('Hospital Catalog'!$E:$E,B238,'Hospital Catalog'!$F:$F,"&lt;="&amp;A238,'Hospital Catalog'!$H:$H,"Yes",'Hospital Catalog'!$D:$D,"ISSSTE public")</x:f>
        <x:v>0</x:v>
      </x:c>
      <x:c r="G238" s="22" t="n">
        <x:f>IFERROR(F238/C238*100000,"")</x:f>
        <x:v>0</x:v>
      </x:c>
      <x:c r="H238" s="18" t="n">
        <x:f>COUNTIFS('Hospital Catalog'!$E:$E,B238,'Hospital Catalog'!$F:$F,"&lt;="&amp;A238,'Hospital Catalog'!$H:$H,"Yes",'Hospital Catalog'!$K:$K,"High") + COUNTIFS('Hospital Catalog'!$E:$E,B238,'Hospital Catalog'!$F:$F,"&lt;="&amp;A238,'Hospital Catalog'!$H:$H,"Yes",'Hospital Catalog'!$K:$K,"Medium")</x:f>
        <x:v>0</x:v>
      </x:c>
      <x:c r="I238" s="22" t="n">
        <x:f>IFERROR(H238/C238*100000,"")</x:f>
        <x:v>0</x:v>
      </x:c>
      <x:c r="J238" s="16" t="str"/>
    </x:row>
    <x:row r="239">
      <x:c r="A239" s="16" t="n">
        <x:v>2000</x:v>
      </x:c>
      <x:c r="B239" s="16" t="str">
        <x:v>Tlalpan</x:v>
      </x:c>
      <x:c r="C239" s="20" t="n">
        <x:f>INDEX(Population!$B$2:$R$17,MATCH(B239,Population!$A$2:$A$17,0),MATCH(A239,Population!$B$1:$R$1,0))</x:f>
        <x:v>581781</x:v>
      </x:c>
      <x:c r="D239" s="18" t="n">
        <x:f>COUNTIFS('Hospital Catalog'!$E:$E,B239,'Hospital Catalog'!$F:$F,"&lt;="&amp;A239,'Hospital Catalog'!$H:$H,"Yes")</x:f>
        <x:v>7</x:v>
      </x:c>
      <x:c r="E239" s="22" t="n">
        <x:f>IFERROR(D239/C239*100000,"")</x:f>
        <x:v>1.2032018921209182</x:v>
      </x:c>
      <x:c r="F239" s="18" t="n">
        <x:f>COUNTIFS('Hospital Catalog'!$E:$E,B239,'Hospital Catalog'!$F:$F,"&lt;="&amp;A239,'Hospital Catalog'!$H:$H,"Yes",'Hospital Catalog'!$D:$D,"*public*") + COUNTIFS('Hospital Catalog'!$E:$E,B239,'Hospital Catalog'!$F:$F,"&lt;="&amp;A239,'Hospital Catalog'!$H:$H,"Yes",'Hospital Catalog'!$D:$D,"IMSS public") + COUNTIFS('Hospital Catalog'!$E:$E,B239,'Hospital Catalog'!$F:$F,"&lt;="&amp;A239,'Hospital Catalog'!$H:$H,"Yes",'Hospital Catalog'!$D:$D,"ISSSTE public")</x:f>
        <x:v>1</x:v>
      </x:c>
      <x:c r="G239" s="22" t="n">
        <x:f>IFERROR(F239/C239*100000,"")</x:f>
        <x:v>0.1718859845887026</x:v>
      </x:c>
      <x:c r="H239" s="18" t="n">
        <x:f>COUNTIFS('Hospital Catalog'!$E:$E,B239,'Hospital Catalog'!$F:$F,"&lt;="&amp;A239,'Hospital Catalog'!$H:$H,"Yes",'Hospital Catalog'!$K:$K,"High") + COUNTIFS('Hospital Catalog'!$E:$E,B239,'Hospital Catalog'!$F:$F,"&lt;="&amp;A239,'Hospital Catalog'!$H:$H,"Yes",'Hospital Catalog'!$K:$K,"Medium")</x:f>
        <x:v>6</x:v>
      </x:c>
      <x:c r="I239" s="22" t="n">
        <x:f>IFERROR(H239/C239*100000,"")</x:f>
        <x:v>1.0313159075322156</x:v>
      </x:c>
      <x:c r="J239" s="16" t="str"/>
    </x:row>
    <x:row r="240">
      <x:c r="A240" s="16" t="n">
        <x:v>2000</x:v>
      </x:c>
      <x:c r="B240" s="16" t="str">
        <x:v>Venustiano Carranza</x:v>
      </x:c>
      <x:c r="C240" s="20" t="n">
        <x:f>INDEX(Population!$B$2:$R$17,MATCH(B240,Population!$A$2:$A$17,0),MATCH(A240,Population!$B$1:$R$1,0))</x:f>
        <x:v>462806</x:v>
      </x:c>
      <x:c r="D240" s="18" t="n">
        <x:f>COUNTIFS('Hospital Catalog'!$E:$E,B240,'Hospital Catalog'!$F:$F,"&lt;="&amp;A240,'Hospital Catalog'!$H:$H,"Yes")</x:f>
        <x:v>2</x:v>
      </x:c>
      <x:c r="E240" s="22" t="n">
        <x:f>IFERROR(D240/C240*100000,"")</x:f>
        <x:v>0.4321465149544301</x:v>
      </x:c>
      <x:c r="F240" s="18" t="n">
        <x:f>COUNTIFS('Hospital Catalog'!$E:$E,B240,'Hospital Catalog'!$F:$F,"&lt;="&amp;A240,'Hospital Catalog'!$H:$H,"Yes",'Hospital Catalog'!$D:$D,"*public*") + COUNTIFS('Hospital Catalog'!$E:$E,B240,'Hospital Catalog'!$F:$F,"&lt;="&amp;A240,'Hospital Catalog'!$H:$H,"Yes",'Hospital Catalog'!$D:$D,"IMSS public") + COUNTIFS('Hospital Catalog'!$E:$E,B240,'Hospital Catalog'!$F:$F,"&lt;="&amp;A240,'Hospital Catalog'!$H:$H,"Yes",'Hospital Catalog'!$D:$D,"ISSSTE public")</x:f>
        <x:v>0</x:v>
      </x:c>
      <x:c r="G240" s="22" t="n">
        <x:f>IFERROR(F240/C240*100000,"")</x:f>
        <x:v>0</x:v>
      </x:c>
      <x:c r="H240" s="18" t="n">
        <x:f>COUNTIFS('Hospital Catalog'!$E:$E,B240,'Hospital Catalog'!$F:$F,"&lt;="&amp;A240,'Hospital Catalog'!$H:$H,"Yes",'Hospital Catalog'!$K:$K,"High") + COUNTIFS('Hospital Catalog'!$E:$E,B240,'Hospital Catalog'!$F:$F,"&lt;="&amp;A240,'Hospital Catalog'!$H:$H,"Yes",'Hospital Catalog'!$K:$K,"Medium")</x:f>
        <x:v>2</x:v>
      </x:c>
      <x:c r="I240" s="22" t="n">
        <x:f>IFERROR(H240/C240*100000,"")</x:f>
        <x:v>0.4321465149544301</x:v>
      </x:c>
      <x:c r="J240" s="16" t="str"/>
    </x:row>
    <x:row r="241">
      <x:c r="A241" s="16" t="n">
        <x:v>2000</x:v>
      </x:c>
      <x:c r="B241" s="16" t="str">
        <x:v>Xochimilco</x:v>
      </x:c>
      <x:c r="C241" s="20" t="n">
        <x:f>INDEX(Population!$B$2:$R$17,MATCH(B241,Population!$A$2:$A$17,0),MATCH(A241,Population!$B$1:$R$1,0))</x:f>
        <x:v>369787</x:v>
      </x:c>
      <x:c r="D241" s="18" t="n">
        <x:f>COUNTIFS('Hospital Catalog'!$E:$E,B241,'Hospital Catalog'!$F:$F,"&lt;="&amp;A241,'Hospital Catalog'!$H:$H,"Yes")</x:f>
        <x:v>1</x:v>
      </x:c>
      <x:c r="E241" s="22" t="n">
        <x:f>IFERROR(D241/C241*100000,"")</x:f>
        <x:v>0.2704259479105539</x:v>
      </x:c>
      <x:c r="F241" s="18" t="n">
        <x:f>COUNTIFS('Hospital Catalog'!$E:$E,B241,'Hospital Catalog'!$F:$F,"&lt;="&amp;A241,'Hospital Catalog'!$H:$H,"Yes",'Hospital Catalog'!$D:$D,"*public*") + COUNTIFS('Hospital Catalog'!$E:$E,B241,'Hospital Catalog'!$F:$F,"&lt;="&amp;A241,'Hospital Catalog'!$H:$H,"Yes",'Hospital Catalog'!$D:$D,"IMSS public") + COUNTIFS('Hospital Catalog'!$E:$E,B241,'Hospital Catalog'!$F:$F,"&lt;="&amp;A241,'Hospital Catalog'!$H:$H,"Yes",'Hospital Catalog'!$D:$D,"ISSSTE public")</x:f>
        <x:v>0</x:v>
      </x:c>
      <x:c r="G241" s="22" t="n">
        <x:f>IFERROR(F241/C241*100000,"")</x:f>
        <x:v>0</x:v>
      </x:c>
      <x:c r="H241" s="18" t="n">
        <x:f>COUNTIFS('Hospital Catalog'!$E:$E,B241,'Hospital Catalog'!$F:$F,"&lt;="&amp;A241,'Hospital Catalog'!$H:$H,"Yes",'Hospital Catalog'!$K:$K,"High") + COUNTIFS('Hospital Catalog'!$E:$E,B241,'Hospital Catalog'!$F:$F,"&lt;="&amp;A241,'Hospital Catalog'!$H:$H,"Yes",'Hospital Catalog'!$K:$K,"Medium")</x:f>
        <x:v>0</x:v>
      </x:c>
      <x:c r="I241" s="22" t="n">
        <x:f>IFERROR(H241/C241*100000,"")</x:f>
        <x:v>0</x:v>
      </x:c>
      <x:c r="J241" s="16" t="str"/>
    </x:row>
    <x:row r="242">
      <x:c r="A242" s="16" t="n">
        <x:v>2010</x:v>
      </x:c>
      <x:c r="B242" s="16" t="str">
        <x:v>Álvaro Obregón</x:v>
      </x:c>
      <x:c r="C242" s="20" t="n">
        <x:f>INDEX(Population!$B$2:$R$17,MATCH(B242,Population!$A$2:$A$17,0),MATCH(A242,Population!$B$1:$R$1,0))</x:f>
        <x:v>727034</x:v>
      </x:c>
      <x:c r="D242" s="18" t="n">
        <x:f>COUNTIFS('Hospital Catalog'!$E:$E,B242,'Hospital Catalog'!$F:$F,"&lt;="&amp;A242,'Hospital Catalog'!$H:$H,"Yes")</x:f>
        <x:v>3</x:v>
      </x:c>
      <x:c r="E242" s="22" t="n">
        <x:f>IFERROR(D242/C242*100000,"")</x:f>
        <x:v>0.41263544758567</x:v>
      </x:c>
      <x:c r="F242" s="18" t="n">
        <x:f>COUNTIFS('Hospital Catalog'!$E:$E,B242,'Hospital Catalog'!$F:$F,"&lt;="&amp;A242,'Hospital Catalog'!$H:$H,"Yes",'Hospital Catalog'!$D:$D,"*public*") + COUNTIFS('Hospital Catalog'!$E:$E,B242,'Hospital Catalog'!$F:$F,"&lt;="&amp;A242,'Hospital Catalog'!$H:$H,"Yes",'Hospital Catalog'!$D:$D,"IMSS public") + COUNTIFS('Hospital Catalog'!$E:$E,B242,'Hospital Catalog'!$F:$F,"&lt;="&amp;A242,'Hospital Catalog'!$H:$H,"Yes",'Hospital Catalog'!$D:$D,"ISSSTE public")</x:f>
        <x:v>1</x:v>
      </x:c>
      <x:c r="G242" s="22" t="n">
        <x:f>IFERROR(F242/C242*100000,"")</x:f>
        <x:v>0.13754514919522332</x:v>
      </x:c>
      <x:c r="H242" s="18" t="n">
        <x:f>COUNTIFS('Hospital Catalog'!$E:$E,B242,'Hospital Catalog'!$F:$F,"&lt;="&amp;A242,'Hospital Catalog'!$H:$H,"Yes",'Hospital Catalog'!$K:$K,"High") + COUNTIFS('Hospital Catalog'!$E:$E,B242,'Hospital Catalog'!$F:$F,"&lt;="&amp;A242,'Hospital Catalog'!$H:$H,"Yes",'Hospital Catalog'!$K:$K,"Medium")</x:f>
        <x:v>3</x:v>
      </x:c>
      <x:c r="I242" s="22" t="n">
        <x:f>IFERROR(H242/C242*100000,"")</x:f>
        <x:v>0.41263544758567</x:v>
      </x:c>
      <x:c r="J242" s="16" t="str"/>
    </x:row>
    <x:row r="243">
      <x:c r="A243" s="16" t="n">
        <x:v>2010</x:v>
      </x:c>
      <x:c r="B243" s="16" t="str">
        <x:v>Azcapotzalco</x:v>
      </x:c>
      <x:c r="C243" s="20" t="n">
        <x:f>INDEX(Population!$B$2:$R$17,MATCH(B243,Population!$A$2:$A$17,0),MATCH(A243,Population!$B$1:$R$1,0))</x:f>
        <x:v>414711</x:v>
      </x:c>
      <x:c r="D243" s="18" t="n">
        <x:f>COUNTIFS('Hospital Catalog'!$E:$E,B243,'Hospital Catalog'!$F:$F,"&lt;="&amp;A243,'Hospital Catalog'!$H:$H,"Yes")</x:f>
        <x:v>2</x:v>
      </x:c>
      <x:c r="E243" s="22" t="n">
        <x:f>IFERROR(D243/C243*100000,"")</x:f>
        <x:v>0.48226355220864653</x:v>
      </x:c>
      <x:c r="F243" s="18" t="n">
        <x:f>COUNTIFS('Hospital Catalog'!$E:$E,B243,'Hospital Catalog'!$F:$F,"&lt;="&amp;A243,'Hospital Catalog'!$H:$H,"Yes",'Hospital Catalog'!$D:$D,"*public*") + COUNTIFS('Hospital Catalog'!$E:$E,B243,'Hospital Catalog'!$F:$F,"&lt;="&amp;A243,'Hospital Catalog'!$H:$H,"Yes",'Hospital Catalog'!$D:$D,"IMSS public") + COUNTIFS('Hospital Catalog'!$E:$E,B243,'Hospital Catalog'!$F:$F,"&lt;="&amp;A243,'Hospital Catalog'!$H:$H,"Yes",'Hospital Catalog'!$D:$D,"ISSSTE public")</x:f>
        <x:v>1</x:v>
      </x:c>
      <x:c r="G243" s="22" t="n">
        <x:f>IFERROR(F243/C243*100000,"")</x:f>
        <x:v>0.24113177610432326</x:v>
      </x:c>
      <x:c r="H243" s="18" t="n">
        <x:f>COUNTIFS('Hospital Catalog'!$E:$E,B243,'Hospital Catalog'!$F:$F,"&lt;="&amp;A243,'Hospital Catalog'!$H:$H,"Yes",'Hospital Catalog'!$K:$K,"High") + COUNTIFS('Hospital Catalog'!$E:$E,B243,'Hospital Catalog'!$F:$F,"&lt;="&amp;A243,'Hospital Catalog'!$H:$H,"Yes",'Hospital Catalog'!$K:$K,"Medium")</x:f>
        <x:v>2</x:v>
      </x:c>
      <x:c r="I243" s="22" t="n">
        <x:f>IFERROR(H243/C243*100000,"")</x:f>
        <x:v>0.48226355220864653</x:v>
      </x:c>
      <x:c r="J243" s="16" t="str"/>
    </x:row>
    <x:row r="244">
      <x:c r="A244" s="16" t="n">
        <x:v>2010</x:v>
      </x:c>
      <x:c r="B244" s="16" t="str">
        <x:v>Benito Juárez</x:v>
      </x:c>
      <x:c r="C244" s="20" t="n">
        <x:f>INDEX(Population!$B$2:$R$17,MATCH(B244,Population!$A$2:$A$17,0),MATCH(A244,Population!$B$1:$R$1,0))</x:f>
        <x:v>385439</x:v>
      </x:c>
      <x:c r="D244" s="18" t="n">
        <x:f>COUNTIFS('Hospital Catalog'!$E:$E,B244,'Hospital Catalog'!$F:$F,"&lt;="&amp;A244,'Hospital Catalog'!$H:$H,"Yes")</x:f>
        <x:v>3</x:v>
      </x:c>
      <x:c r="E244" s="22" t="n">
        <x:f>IFERROR(D244/C244*100000,"")</x:f>
        <x:v>0.7783332771203744</x:v>
      </x:c>
      <x:c r="F244" s="18" t="n">
        <x:f>COUNTIFS('Hospital Catalog'!$E:$E,B244,'Hospital Catalog'!$F:$F,"&lt;="&amp;A244,'Hospital Catalog'!$H:$H,"Yes",'Hospital Catalog'!$D:$D,"*public*") + COUNTIFS('Hospital Catalog'!$E:$E,B244,'Hospital Catalog'!$F:$F,"&lt;="&amp;A244,'Hospital Catalog'!$H:$H,"Yes",'Hospital Catalog'!$D:$D,"IMSS public") + COUNTIFS('Hospital Catalog'!$E:$E,B244,'Hospital Catalog'!$F:$F,"&lt;="&amp;A244,'Hospital Catalog'!$H:$H,"Yes",'Hospital Catalog'!$D:$D,"ISSSTE public")</x:f>
        <x:v>1</x:v>
      </x:c>
      <x:c r="G244" s="22" t="n">
        <x:f>IFERROR(F244/C244*100000,"")</x:f>
        <x:v>0.2594444257067915</x:v>
      </x:c>
      <x:c r="H244" s="18" t="n">
        <x:f>COUNTIFS('Hospital Catalog'!$E:$E,B244,'Hospital Catalog'!$F:$F,"&lt;="&amp;A244,'Hospital Catalog'!$H:$H,"Yes",'Hospital Catalog'!$K:$K,"High") + COUNTIFS('Hospital Catalog'!$E:$E,B244,'Hospital Catalog'!$F:$F,"&lt;="&amp;A244,'Hospital Catalog'!$H:$H,"Yes",'Hospital Catalog'!$K:$K,"Medium")</x:f>
        <x:v>1</x:v>
      </x:c>
      <x:c r="I244" s="22" t="n">
        <x:f>IFERROR(H244/C244*100000,"")</x:f>
        <x:v>0.2594444257067915</x:v>
      </x:c>
      <x:c r="J244" s="16" t="str"/>
    </x:row>
    <x:row r="245">
      <x:c r="A245" s="16" t="n">
        <x:v>2010</x:v>
      </x:c>
      <x:c r="B245" s="16" t="str">
        <x:v>Coyoacán</x:v>
      </x:c>
      <x:c r="C245" s="20" t="n">
        <x:f>INDEX(Population!$B$2:$R$17,MATCH(B245,Population!$A$2:$A$17,0),MATCH(A245,Population!$B$1:$R$1,0))</x:f>
        <x:v>620416</x:v>
      </x:c>
      <x:c r="D245" s="18" t="n">
        <x:f>COUNTIFS('Hospital Catalog'!$E:$E,B245,'Hospital Catalog'!$F:$F,"&lt;="&amp;A245,'Hospital Catalog'!$H:$H,"Yes")</x:f>
        <x:v>4</x:v>
      </x:c>
      <x:c r="E245" s="22" t="n">
        <x:f>IFERROR(D245/C245*100000,"")</x:f>
        <x:v>0.6447286981638127</x:v>
      </x:c>
      <x:c r="F245" s="18" t="n">
        <x:f>COUNTIFS('Hospital Catalog'!$E:$E,B245,'Hospital Catalog'!$F:$F,"&lt;="&amp;A245,'Hospital Catalog'!$H:$H,"Yes",'Hospital Catalog'!$D:$D,"*public*") + COUNTIFS('Hospital Catalog'!$E:$E,B245,'Hospital Catalog'!$F:$F,"&lt;="&amp;A245,'Hospital Catalog'!$H:$H,"Yes",'Hospital Catalog'!$D:$D,"IMSS public") + COUNTIFS('Hospital Catalog'!$E:$E,B245,'Hospital Catalog'!$F:$F,"&lt;="&amp;A245,'Hospital Catalog'!$H:$H,"Yes",'Hospital Catalog'!$D:$D,"ISSSTE public")</x:f>
        <x:v>0</x:v>
      </x:c>
      <x:c r="G245" s="22" t="n">
        <x:f>IFERROR(F245/C245*100000,"")</x:f>
        <x:v>0</x:v>
      </x:c>
      <x:c r="H245" s="18" t="n">
        <x:f>COUNTIFS('Hospital Catalog'!$E:$E,B245,'Hospital Catalog'!$F:$F,"&lt;="&amp;A245,'Hospital Catalog'!$H:$H,"Yes",'Hospital Catalog'!$K:$K,"High") + COUNTIFS('Hospital Catalog'!$E:$E,B245,'Hospital Catalog'!$F:$F,"&lt;="&amp;A245,'Hospital Catalog'!$H:$H,"Yes",'Hospital Catalog'!$K:$K,"Medium")</x:f>
        <x:v>4</x:v>
      </x:c>
      <x:c r="I245" s="22" t="n">
        <x:f>IFERROR(H245/C245*100000,"")</x:f>
        <x:v>0.6447286981638127</x:v>
      </x:c>
      <x:c r="J245" s="16" t="str"/>
    </x:row>
    <x:row r="246">
      <x:c r="A246" s="16" t="n">
        <x:v>2010</x:v>
      </x:c>
      <x:c r="B246" s="16" t="str">
        <x:v>Cuajimalpa de Morelos</x:v>
      </x:c>
      <x:c r="C246" s="20" t="n">
        <x:f>INDEX(Population!$B$2:$R$17,MATCH(B246,Population!$A$2:$A$17,0),MATCH(A246,Population!$B$1:$R$1,0))</x:f>
        <x:v>186391</x:v>
      </x:c>
      <x:c r="D246" s="18" t="n">
        <x:f>COUNTIFS('Hospital Catalog'!$E:$E,B246,'Hospital Catalog'!$F:$F,"&lt;="&amp;A246,'Hospital Catalog'!$H:$H,"Yes")</x:f>
        <x:v>2</x:v>
      </x:c>
      <x:c r="E246" s="22" t="n">
        <x:f>IFERROR(D246/C246*100000,"")</x:f>
        <x:v>1.0730131819669404</x:v>
      </x:c>
      <x:c r="F246" s="18" t="n">
        <x:f>COUNTIFS('Hospital Catalog'!$E:$E,B246,'Hospital Catalog'!$F:$F,"&lt;="&amp;A246,'Hospital Catalog'!$H:$H,"Yes",'Hospital Catalog'!$D:$D,"*public*") + COUNTIFS('Hospital Catalog'!$E:$E,B246,'Hospital Catalog'!$F:$F,"&lt;="&amp;A246,'Hospital Catalog'!$H:$H,"Yes",'Hospital Catalog'!$D:$D,"IMSS public") + COUNTIFS('Hospital Catalog'!$E:$E,B246,'Hospital Catalog'!$F:$F,"&lt;="&amp;A246,'Hospital Catalog'!$H:$H,"Yes",'Hospital Catalog'!$D:$D,"ISSSTE public")</x:f>
        <x:v>0</x:v>
      </x:c>
      <x:c r="G246" s="22" t="n">
        <x:f>IFERROR(F246/C246*100000,"")</x:f>
        <x:v>0</x:v>
      </x:c>
      <x:c r="H246" s="18" t="n">
        <x:f>COUNTIFS('Hospital Catalog'!$E:$E,B246,'Hospital Catalog'!$F:$F,"&lt;="&amp;A246,'Hospital Catalog'!$H:$H,"Yes",'Hospital Catalog'!$K:$K,"High") + COUNTIFS('Hospital Catalog'!$E:$E,B246,'Hospital Catalog'!$F:$F,"&lt;="&amp;A246,'Hospital Catalog'!$H:$H,"Yes",'Hospital Catalog'!$K:$K,"Medium")</x:f>
        <x:v>1</x:v>
      </x:c>
      <x:c r="I246" s="22" t="n">
        <x:f>IFERROR(H246/C246*100000,"")</x:f>
        <x:v>0.5365065909834702</x:v>
      </x:c>
      <x:c r="J246" s="16" t="str"/>
    </x:row>
    <x:row r="247">
      <x:c r="A247" s="16" t="n">
        <x:v>2010</x:v>
      </x:c>
      <x:c r="B247" s="16" t="str">
        <x:v>Cuauhtémoc</x:v>
      </x:c>
      <x:c r="C247" s="20" t="n">
        <x:f>INDEX(Population!$B$2:$R$17,MATCH(B247,Population!$A$2:$A$17,0),MATCH(A247,Population!$B$1:$R$1,0))</x:f>
        <x:v>531831</x:v>
      </x:c>
      <x:c r="D247" s="18" t="n">
        <x:f>COUNTIFS('Hospital Catalog'!$E:$E,B247,'Hospital Catalog'!$F:$F,"&lt;="&amp;A247,'Hospital Catalog'!$H:$H,"Yes")</x:f>
        <x:v>4</x:v>
      </x:c>
      <x:c r="E247" s="22" t="n">
        <x:f>IFERROR(D247/C247*100000,"")</x:f>
        <x:v>0.7521186241494009</x:v>
      </x:c>
      <x:c r="F247" s="18" t="n">
        <x:f>COUNTIFS('Hospital Catalog'!$E:$E,B247,'Hospital Catalog'!$F:$F,"&lt;="&amp;A247,'Hospital Catalog'!$H:$H,"Yes",'Hospital Catalog'!$D:$D,"*public*") + COUNTIFS('Hospital Catalog'!$E:$E,B247,'Hospital Catalog'!$F:$F,"&lt;="&amp;A247,'Hospital Catalog'!$H:$H,"Yes",'Hospital Catalog'!$D:$D,"IMSS public") + COUNTIFS('Hospital Catalog'!$E:$E,B247,'Hospital Catalog'!$F:$F,"&lt;="&amp;A247,'Hospital Catalog'!$H:$H,"Yes",'Hospital Catalog'!$D:$D,"ISSSTE public")</x:f>
        <x:v>1</x:v>
      </x:c>
      <x:c r="G247" s="22" t="n">
        <x:f>IFERROR(F247/C247*100000,"")</x:f>
        <x:v>0.18802965603735022</x:v>
      </x:c>
      <x:c r="H247" s="18" t="n">
        <x:f>COUNTIFS('Hospital Catalog'!$E:$E,B247,'Hospital Catalog'!$F:$F,"&lt;="&amp;A247,'Hospital Catalog'!$H:$H,"Yes",'Hospital Catalog'!$K:$K,"High") + COUNTIFS('Hospital Catalog'!$E:$E,B247,'Hospital Catalog'!$F:$F,"&lt;="&amp;A247,'Hospital Catalog'!$H:$H,"Yes",'Hospital Catalog'!$K:$K,"Medium")</x:f>
        <x:v>4</x:v>
      </x:c>
      <x:c r="I247" s="22" t="n">
        <x:f>IFERROR(H247/C247*100000,"")</x:f>
        <x:v>0.7521186241494009</x:v>
      </x:c>
      <x:c r="J247" s="16" t="str"/>
    </x:row>
    <x:row r="248">
      <x:c r="A248" s="16" t="n">
        <x:v>2010</x:v>
      </x:c>
      <x:c r="B248" s="16" t="str">
        <x:v>Gustavo A. Madero</x:v>
      </x:c>
      <x:c r="C248" s="20" t="n">
        <x:f>INDEX(Population!$B$2:$R$17,MATCH(B248,Population!$A$2:$A$17,0),MATCH(A248,Population!$B$1:$R$1,0))</x:f>
        <x:v>1185772</x:v>
      </x:c>
      <x:c r="D248" s="18" t="n">
        <x:f>COUNTIFS('Hospital Catalog'!$E:$E,B248,'Hospital Catalog'!$F:$F,"&lt;="&amp;A248,'Hospital Catalog'!$H:$H,"Yes")</x:f>
        <x:v>4</x:v>
      </x:c>
      <x:c r="E248" s="22" t="n">
        <x:f>IFERROR(D248/C248*100000,"")</x:f>
        <x:v>0.33733297800926315</x:v>
      </x:c>
      <x:c r="F248" s="18" t="n">
        <x:f>COUNTIFS('Hospital Catalog'!$E:$E,B248,'Hospital Catalog'!$F:$F,"&lt;="&amp;A248,'Hospital Catalog'!$H:$H,"Yes",'Hospital Catalog'!$D:$D,"*public*") + COUNTIFS('Hospital Catalog'!$E:$E,B248,'Hospital Catalog'!$F:$F,"&lt;="&amp;A248,'Hospital Catalog'!$H:$H,"Yes",'Hospital Catalog'!$D:$D,"IMSS public") + COUNTIFS('Hospital Catalog'!$E:$E,B248,'Hospital Catalog'!$F:$F,"&lt;="&amp;A248,'Hospital Catalog'!$H:$H,"Yes",'Hospital Catalog'!$D:$D,"ISSSTE public")</x:f>
        <x:v>0</x:v>
      </x:c>
      <x:c r="G248" s="22" t="n">
        <x:f>IFERROR(F248/C248*100000,"")</x:f>
        <x:v>0</x:v>
      </x:c>
      <x:c r="H248" s="18" t="n">
        <x:f>COUNTIFS('Hospital Catalog'!$E:$E,B248,'Hospital Catalog'!$F:$F,"&lt;="&amp;A248,'Hospital Catalog'!$H:$H,"Yes",'Hospital Catalog'!$K:$K,"High") + COUNTIFS('Hospital Catalog'!$E:$E,B248,'Hospital Catalog'!$F:$F,"&lt;="&amp;A248,'Hospital Catalog'!$H:$H,"Yes",'Hospital Catalog'!$K:$K,"Medium")</x:f>
        <x:v>1</x:v>
      </x:c>
      <x:c r="I248" s="22" t="n">
        <x:f>IFERROR(H248/C248*100000,"")</x:f>
        <x:v>0.08433324450231579</x:v>
      </x:c>
      <x:c r="J248" s="16" t="str"/>
    </x:row>
    <x:row r="249">
      <x:c r="A249" s="16" t="n">
        <x:v>2010</x:v>
      </x:c>
      <x:c r="B249" s="16" t="str">
        <x:v>Iztacalco</x:v>
      </x:c>
      <x:c r="C249" s="20" t="n">
        <x:f>INDEX(Population!$B$2:$R$17,MATCH(B249,Population!$A$2:$A$17,0),MATCH(A249,Population!$B$1:$R$1,0))</x:f>
        <x:v>384326</x:v>
      </x:c>
      <x:c r="D249" s="18" t="n">
        <x:f>COUNTIFS('Hospital Catalog'!$E:$E,B249,'Hospital Catalog'!$F:$F,"&lt;="&amp;A249,'Hospital Catalog'!$H:$H,"Yes")</x:f>
        <x:v>1</x:v>
      </x:c>
      <x:c r="E249" s="22" t="n">
        <x:f>IFERROR(D249/C249*100000,"")</x:f>
        <x:v>0.2601957712983249</x:v>
      </x:c>
      <x:c r="F249" s="18" t="n">
        <x:f>COUNTIFS('Hospital Catalog'!$E:$E,B249,'Hospital Catalog'!$F:$F,"&lt;="&amp;A249,'Hospital Catalog'!$H:$H,"Yes",'Hospital Catalog'!$D:$D,"*public*") + COUNTIFS('Hospital Catalog'!$E:$E,B249,'Hospital Catalog'!$F:$F,"&lt;="&amp;A249,'Hospital Catalog'!$H:$H,"Yes",'Hospital Catalog'!$D:$D,"IMSS public") + COUNTIFS('Hospital Catalog'!$E:$E,B249,'Hospital Catalog'!$F:$F,"&lt;="&amp;A249,'Hospital Catalog'!$H:$H,"Yes",'Hospital Catalog'!$D:$D,"ISSSTE public")</x:f>
        <x:v>0</x:v>
      </x:c>
      <x:c r="G249" s="22" t="n">
        <x:f>IFERROR(F249/C249*100000,"")</x:f>
        <x:v>0</x:v>
      </x:c>
      <x:c r="H249" s="18" t="n">
        <x:f>COUNTIFS('Hospital Catalog'!$E:$E,B249,'Hospital Catalog'!$F:$F,"&lt;="&amp;A249,'Hospital Catalog'!$H:$H,"Yes",'Hospital Catalog'!$K:$K,"High") + COUNTIFS('Hospital Catalog'!$E:$E,B249,'Hospital Catalog'!$F:$F,"&lt;="&amp;A249,'Hospital Catalog'!$H:$H,"Yes",'Hospital Catalog'!$K:$K,"Medium")</x:f>
        <x:v>0</x:v>
      </x:c>
      <x:c r="I249" s="22" t="n">
        <x:f>IFERROR(H249/C249*100000,"")</x:f>
        <x:v>0</x:v>
      </x:c>
      <x:c r="J249" s="16" t="str"/>
    </x:row>
    <x:row r="250">
      <x:c r="A250" s="16" t="n">
        <x:v>2010</x:v>
      </x:c>
      <x:c r="B250" s="16" t="str">
        <x:v>Iztapalapa</x:v>
      </x:c>
      <x:c r="C250" s="20" t="n">
        <x:f>INDEX(Population!$B$2:$R$17,MATCH(B250,Population!$A$2:$A$17,0),MATCH(A250,Population!$B$1:$R$1,0))</x:f>
        <x:v>1815786</x:v>
      </x:c>
      <x:c r="D250" s="18" t="n">
        <x:f>COUNTIFS('Hospital Catalog'!$E:$E,B250,'Hospital Catalog'!$F:$F,"&lt;="&amp;A250,'Hospital Catalog'!$H:$H,"Yes")</x:f>
        <x:v>3</x:v>
      </x:c>
      <x:c r="E250" s="22" t="n">
        <x:f>IFERROR(D250/C250*100000,"")</x:f>
        <x:v>0.1652177073730054</x:v>
      </x:c>
      <x:c r="F250" s="18" t="n">
        <x:f>COUNTIFS('Hospital Catalog'!$E:$E,B250,'Hospital Catalog'!$F:$F,"&lt;="&amp;A250,'Hospital Catalog'!$H:$H,"Yes",'Hospital Catalog'!$D:$D,"*public*") + COUNTIFS('Hospital Catalog'!$E:$E,B250,'Hospital Catalog'!$F:$F,"&lt;="&amp;A250,'Hospital Catalog'!$H:$H,"Yes",'Hospital Catalog'!$D:$D,"IMSS public") + COUNTIFS('Hospital Catalog'!$E:$E,B250,'Hospital Catalog'!$F:$F,"&lt;="&amp;A250,'Hospital Catalog'!$H:$H,"Yes",'Hospital Catalog'!$D:$D,"ISSSTE public")</x:f>
        <x:v>1</x:v>
      </x:c>
      <x:c r="G250" s="22" t="n">
        <x:f>IFERROR(F250/C250*100000,"")</x:f>
        <x:v>0.05507256912433514</x:v>
      </x:c>
      <x:c r="H250" s="18" t="n">
        <x:f>COUNTIFS('Hospital Catalog'!$E:$E,B250,'Hospital Catalog'!$F:$F,"&lt;="&amp;A250,'Hospital Catalog'!$H:$H,"Yes",'Hospital Catalog'!$K:$K,"High") + COUNTIFS('Hospital Catalog'!$E:$E,B250,'Hospital Catalog'!$F:$F,"&lt;="&amp;A250,'Hospital Catalog'!$H:$H,"Yes",'Hospital Catalog'!$K:$K,"Medium")</x:f>
        <x:v>1</x:v>
      </x:c>
      <x:c r="I250" s="22" t="n">
        <x:f>IFERROR(H250/C250*100000,"")</x:f>
        <x:v>0.05507256912433514</x:v>
      </x:c>
      <x:c r="J250" s="16" t="str"/>
    </x:row>
    <x:row r="251">
      <x:c r="A251" s="16" t="n">
        <x:v>2010</x:v>
      </x:c>
      <x:c r="B251" s="16" t="str">
        <x:v>La Magdalena Contreras</x:v>
      </x:c>
      <x:c r="C251" s="20" t="n">
        <x:f>INDEX(Population!$B$2:$R$17,MATCH(B251,Population!$A$2:$A$17,0),MATCH(A251,Population!$B$1:$R$1,0))</x:f>
        <x:v>239086</x:v>
      </x:c>
      <x:c r="D251" s="18" t="n">
        <x:f>COUNTIFS('Hospital Catalog'!$E:$E,B251,'Hospital Catalog'!$F:$F,"&lt;="&amp;A251,'Hospital Catalog'!$H:$H,"Yes")</x:f>
        <x:v>2</x:v>
      </x:c>
      <x:c r="E251" s="22" t="n">
        <x:f>IFERROR(D251/C251*100000,"")</x:f>
        <x:v>0.8365190768175468</x:v>
      </x:c>
      <x:c r="F251" s="18" t="n">
        <x:f>COUNTIFS('Hospital Catalog'!$E:$E,B251,'Hospital Catalog'!$F:$F,"&lt;="&amp;A251,'Hospital Catalog'!$H:$H,"Yes",'Hospital Catalog'!$D:$D,"*public*") + COUNTIFS('Hospital Catalog'!$E:$E,B251,'Hospital Catalog'!$F:$F,"&lt;="&amp;A251,'Hospital Catalog'!$H:$H,"Yes",'Hospital Catalog'!$D:$D,"IMSS public") + COUNTIFS('Hospital Catalog'!$E:$E,B251,'Hospital Catalog'!$F:$F,"&lt;="&amp;A251,'Hospital Catalog'!$H:$H,"Yes",'Hospital Catalog'!$D:$D,"ISSSTE public")</x:f>
        <x:v>0</x:v>
      </x:c>
      <x:c r="G251" s="22" t="n">
        <x:f>IFERROR(F251/C251*100000,"")</x:f>
        <x:v>0</x:v>
      </x:c>
      <x:c r="H251" s="18" t="n">
        <x:f>COUNTIFS('Hospital Catalog'!$E:$E,B251,'Hospital Catalog'!$F:$F,"&lt;="&amp;A251,'Hospital Catalog'!$H:$H,"Yes",'Hospital Catalog'!$K:$K,"High") + COUNTIFS('Hospital Catalog'!$E:$E,B251,'Hospital Catalog'!$F:$F,"&lt;="&amp;A251,'Hospital Catalog'!$H:$H,"Yes",'Hospital Catalog'!$K:$K,"Medium")</x:f>
        <x:v>0</x:v>
      </x:c>
      <x:c r="I251" s="22" t="n">
        <x:f>IFERROR(H251/C251*100000,"")</x:f>
        <x:v>0</x:v>
      </x:c>
      <x:c r="J251" s="16" t="str"/>
    </x:row>
    <x:row r="252">
      <x:c r="A252" s="16" t="n">
        <x:v>2010</x:v>
      </x:c>
      <x:c r="B252" s="16" t="str">
        <x:v>Miguel Hidalgo</x:v>
      </x:c>
      <x:c r="C252" s="20" t="n">
        <x:f>INDEX(Population!$B$2:$R$17,MATCH(B252,Population!$A$2:$A$17,0),MATCH(A252,Population!$B$1:$R$1,0))</x:f>
        <x:v>372889</x:v>
      </x:c>
      <x:c r="D252" s="18" t="n">
        <x:f>COUNTIFS('Hospital Catalog'!$E:$E,B252,'Hospital Catalog'!$F:$F,"&lt;="&amp;A252,'Hospital Catalog'!$H:$H,"Yes")</x:f>
        <x:v>4</x:v>
      </x:c>
      <x:c r="E252" s="22" t="n">
        <x:f>IFERROR(D252/C252*100000,"")</x:f>
        <x:v>1.0727052822689862</x:v>
      </x:c>
      <x:c r="F252" s="18" t="n">
        <x:f>COUNTIFS('Hospital Catalog'!$E:$E,B252,'Hospital Catalog'!$F:$F,"&lt;="&amp;A252,'Hospital Catalog'!$H:$H,"Yes",'Hospital Catalog'!$D:$D,"*public*") + COUNTIFS('Hospital Catalog'!$E:$E,B252,'Hospital Catalog'!$F:$F,"&lt;="&amp;A252,'Hospital Catalog'!$H:$H,"Yes",'Hospital Catalog'!$D:$D,"IMSS public") + COUNTIFS('Hospital Catalog'!$E:$E,B252,'Hospital Catalog'!$F:$F,"&lt;="&amp;A252,'Hospital Catalog'!$H:$H,"Yes",'Hospital Catalog'!$D:$D,"ISSSTE public")</x:f>
        <x:v>0</x:v>
      </x:c>
      <x:c r="G252" s="22" t="n">
        <x:f>IFERROR(F252/C252*100000,"")</x:f>
        <x:v>0</x:v>
      </x:c>
      <x:c r="H252" s="18" t="n">
        <x:f>COUNTIFS('Hospital Catalog'!$E:$E,B252,'Hospital Catalog'!$F:$F,"&lt;="&amp;A252,'Hospital Catalog'!$H:$H,"Yes",'Hospital Catalog'!$K:$K,"High") + COUNTIFS('Hospital Catalog'!$E:$E,B252,'Hospital Catalog'!$F:$F,"&lt;="&amp;A252,'Hospital Catalog'!$H:$H,"Yes",'Hospital Catalog'!$K:$K,"Medium")</x:f>
        <x:v>4</x:v>
      </x:c>
      <x:c r="I252" s="22" t="n">
        <x:f>IFERROR(H252/C252*100000,"")</x:f>
        <x:v>1.0727052822689862</x:v>
      </x:c>
      <x:c r="J252" s="16" t="str"/>
    </x:row>
    <x:row r="253">
      <x:c r="A253" s="16" t="n">
        <x:v>2010</x:v>
      </x:c>
      <x:c r="B253" s="16" t="str">
        <x:v>Milpa Alta</x:v>
      </x:c>
      <x:c r="C253" s="20" t="n">
        <x:f>INDEX(Population!$B$2:$R$17,MATCH(B253,Population!$A$2:$A$17,0),MATCH(A253,Population!$B$1:$R$1,0))</x:f>
        <x:v>130582</x:v>
      </x:c>
      <x:c r="D253" s="18" t="n">
        <x:f>COUNTIFS('Hospital Catalog'!$E:$E,B253,'Hospital Catalog'!$F:$F,"&lt;="&amp;A253,'Hospital Catalog'!$H:$H,"Yes")</x:f>
        <x:v>2</x:v>
      </x:c>
      <x:c r="E253" s="22" t="n">
        <x:f>IFERROR(D253/C253*100000,"")</x:f>
        <x:v>1.5316046622045918</x:v>
      </x:c>
      <x:c r="F253" s="18" t="n">
        <x:f>COUNTIFS('Hospital Catalog'!$E:$E,B253,'Hospital Catalog'!$F:$F,"&lt;="&amp;A253,'Hospital Catalog'!$H:$H,"Yes",'Hospital Catalog'!$D:$D,"*public*") + COUNTIFS('Hospital Catalog'!$E:$E,B253,'Hospital Catalog'!$F:$F,"&lt;="&amp;A253,'Hospital Catalog'!$H:$H,"Yes",'Hospital Catalog'!$D:$D,"IMSS public") + COUNTIFS('Hospital Catalog'!$E:$E,B253,'Hospital Catalog'!$F:$F,"&lt;="&amp;A253,'Hospital Catalog'!$H:$H,"Yes",'Hospital Catalog'!$D:$D,"ISSSTE public")</x:f>
        <x:v>0</x:v>
      </x:c>
      <x:c r="G253" s="22" t="n">
        <x:f>IFERROR(F253/C253*100000,"")</x:f>
        <x:v>0</x:v>
      </x:c>
      <x:c r="H253" s="18" t="n">
        <x:f>COUNTIFS('Hospital Catalog'!$E:$E,B253,'Hospital Catalog'!$F:$F,"&lt;="&amp;A253,'Hospital Catalog'!$H:$H,"Yes",'Hospital Catalog'!$K:$K,"High") + COUNTIFS('Hospital Catalog'!$E:$E,B253,'Hospital Catalog'!$F:$F,"&lt;="&amp;A253,'Hospital Catalog'!$H:$H,"Yes",'Hospital Catalog'!$K:$K,"Medium")</x:f>
        <x:v>0</x:v>
      </x:c>
      <x:c r="I253" s="22" t="n">
        <x:f>IFERROR(H253/C253*100000,"")</x:f>
        <x:v>0</x:v>
      </x:c>
      <x:c r="J253" s="16" t="str"/>
    </x:row>
    <x:row r="254">
      <x:c r="A254" s="16" t="n">
        <x:v>2010</x:v>
      </x:c>
      <x:c r="B254" s="16" t="str">
        <x:v>Tláhuac</x:v>
      </x:c>
      <x:c r="C254" s="20" t="n">
        <x:f>INDEX(Population!$B$2:$R$17,MATCH(B254,Population!$A$2:$A$17,0),MATCH(A254,Population!$B$1:$R$1,0))</x:f>
        <x:v>360265</x:v>
      </x:c>
      <x:c r="D254" s="18" t="n">
        <x:f>COUNTIFS('Hospital Catalog'!$E:$E,B254,'Hospital Catalog'!$F:$F,"&lt;="&amp;A254,'Hospital Catalog'!$H:$H,"Yes")</x:f>
        <x:v>2</x:v>
      </x:c>
      <x:c r="E254" s="22" t="n">
        <x:f>IFERROR(D254/C254*100000,"")</x:f>
        <x:v>0.5551469057499341</x:v>
      </x:c>
      <x:c r="F254" s="18" t="n">
        <x:f>COUNTIFS('Hospital Catalog'!$E:$E,B254,'Hospital Catalog'!$F:$F,"&lt;="&amp;A254,'Hospital Catalog'!$H:$H,"Yes",'Hospital Catalog'!$D:$D,"*public*") + COUNTIFS('Hospital Catalog'!$E:$E,B254,'Hospital Catalog'!$F:$F,"&lt;="&amp;A254,'Hospital Catalog'!$H:$H,"Yes",'Hospital Catalog'!$D:$D,"IMSS public") + COUNTIFS('Hospital Catalog'!$E:$E,B254,'Hospital Catalog'!$F:$F,"&lt;="&amp;A254,'Hospital Catalog'!$H:$H,"Yes",'Hospital Catalog'!$D:$D,"ISSSTE public")</x:f>
        <x:v>0</x:v>
      </x:c>
      <x:c r="G254" s="22" t="n">
        <x:f>IFERROR(F254/C254*100000,"")</x:f>
        <x:v>0</x:v>
      </x:c>
      <x:c r="H254" s="18" t="n">
        <x:f>COUNTIFS('Hospital Catalog'!$E:$E,B254,'Hospital Catalog'!$F:$F,"&lt;="&amp;A254,'Hospital Catalog'!$H:$H,"Yes",'Hospital Catalog'!$K:$K,"High") + COUNTIFS('Hospital Catalog'!$E:$E,B254,'Hospital Catalog'!$F:$F,"&lt;="&amp;A254,'Hospital Catalog'!$H:$H,"Yes",'Hospital Catalog'!$K:$K,"Medium")</x:f>
        <x:v>0</x:v>
      </x:c>
      <x:c r="I254" s="22" t="n">
        <x:f>IFERROR(H254/C254*100000,"")</x:f>
        <x:v>0</x:v>
      </x:c>
      <x:c r="J254" s="16" t="str"/>
    </x:row>
    <x:row r="255">
      <x:c r="A255" s="16" t="n">
        <x:v>2010</x:v>
      </x:c>
      <x:c r="B255" s="16" t="str">
        <x:v>Tlalpan</x:v>
      </x:c>
      <x:c r="C255" s="20" t="n">
        <x:f>INDEX(Population!$B$2:$R$17,MATCH(B255,Population!$A$2:$A$17,0),MATCH(A255,Population!$B$1:$R$1,0))</x:f>
        <x:v>650567</x:v>
      </x:c>
      <x:c r="D255" s="18" t="n">
        <x:f>COUNTIFS('Hospital Catalog'!$E:$E,B255,'Hospital Catalog'!$F:$F,"&lt;="&amp;A255,'Hospital Catalog'!$H:$H,"Yes")</x:f>
        <x:v>8</x:v>
      </x:c>
      <x:c r="E255" s="22" t="n">
        <x:f>IFERROR(D255/C255*100000,"")</x:f>
        <x:v>1.2296965570033525</x:v>
      </x:c>
      <x:c r="F255" s="18" t="n">
        <x:f>COUNTIFS('Hospital Catalog'!$E:$E,B255,'Hospital Catalog'!$F:$F,"&lt;="&amp;A255,'Hospital Catalog'!$H:$H,"Yes",'Hospital Catalog'!$D:$D,"*public*") + COUNTIFS('Hospital Catalog'!$E:$E,B255,'Hospital Catalog'!$F:$F,"&lt;="&amp;A255,'Hospital Catalog'!$H:$H,"Yes",'Hospital Catalog'!$D:$D,"IMSS public") + COUNTIFS('Hospital Catalog'!$E:$E,B255,'Hospital Catalog'!$F:$F,"&lt;="&amp;A255,'Hospital Catalog'!$H:$H,"Yes",'Hospital Catalog'!$D:$D,"ISSSTE public")</x:f>
        <x:v>1</x:v>
      </x:c>
      <x:c r="G255" s="22" t="n">
        <x:f>IFERROR(F255/C255*100000,"")</x:f>
        <x:v>0.15371206962541906</x:v>
      </x:c>
      <x:c r="H255" s="18" t="n">
        <x:f>COUNTIFS('Hospital Catalog'!$E:$E,B255,'Hospital Catalog'!$F:$F,"&lt;="&amp;A255,'Hospital Catalog'!$H:$H,"Yes",'Hospital Catalog'!$K:$K,"High") + COUNTIFS('Hospital Catalog'!$E:$E,B255,'Hospital Catalog'!$F:$F,"&lt;="&amp;A255,'Hospital Catalog'!$H:$H,"Yes",'Hospital Catalog'!$K:$K,"Medium")</x:f>
        <x:v>6</x:v>
      </x:c>
      <x:c r="I255" s="22" t="n">
        <x:f>IFERROR(H255/C255*100000,"")</x:f>
        <x:v>0.9222724177525145</x:v>
      </x:c>
      <x:c r="J255" s="16" t="str"/>
    </x:row>
    <x:row r="256">
      <x:c r="A256" s="16" t="n">
        <x:v>2010</x:v>
      </x:c>
      <x:c r="B256" s="16" t="str">
        <x:v>Venustiano Carranza</x:v>
      </x:c>
      <x:c r="C256" s="20" t="n">
        <x:f>INDEX(Population!$B$2:$R$17,MATCH(B256,Population!$A$2:$A$17,0),MATCH(A256,Population!$B$1:$R$1,0))</x:f>
        <x:v>430978</x:v>
      </x:c>
      <x:c r="D256" s="18" t="n">
        <x:f>COUNTIFS('Hospital Catalog'!$E:$E,B256,'Hospital Catalog'!$F:$F,"&lt;="&amp;A256,'Hospital Catalog'!$H:$H,"Yes")</x:f>
        <x:v>2</x:v>
      </x:c>
      <x:c r="E256" s="22" t="n">
        <x:f>IFERROR(D256/C256*100000,"")</x:f>
        <x:v>0.4640608105286117</x:v>
      </x:c>
      <x:c r="F256" s="18" t="n">
        <x:f>COUNTIFS('Hospital Catalog'!$E:$E,B256,'Hospital Catalog'!$F:$F,"&lt;="&amp;A256,'Hospital Catalog'!$H:$H,"Yes",'Hospital Catalog'!$D:$D,"*public*") + COUNTIFS('Hospital Catalog'!$E:$E,B256,'Hospital Catalog'!$F:$F,"&lt;="&amp;A256,'Hospital Catalog'!$H:$H,"Yes",'Hospital Catalog'!$D:$D,"IMSS public") + COUNTIFS('Hospital Catalog'!$E:$E,B256,'Hospital Catalog'!$F:$F,"&lt;="&amp;A256,'Hospital Catalog'!$H:$H,"Yes",'Hospital Catalog'!$D:$D,"ISSSTE public")</x:f>
        <x:v>0</x:v>
      </x:c>
      <x:c r="G256" s="22" t="n">
        <x:f>IFERROR(F256/C256*100000,"")</x:f>
        <x:v>0</x:v>
      </x:c>
      <x:c r="H256" s="18" t="n">
        <x:f>COUNTIFS('Hospital Catalog'!$E:$E,B256,'Hospital Catalog'!$F:$F,"&lt;="&amp;A256,'Hospital Catalog'!$H:$H,"Yes",'Hospital Catalog'!$K:$K,"High") + COUNTIFS('Hospital Catalog'!$E:$E,B256,'Hospital Catalog'!$F:$F,"&lt;="&amp;A256,'Hospital Catalog'!$H:$H,"Yes",'Hospital Catalog'!$K:$K,"Medium")</x:f>
        <x:v>2</x:v>
      </x:c>
      <x:c r="I256" s="22" t="n">
        <x:f>IFERROR(H256/C256*100000,"")</x:f>
        <x:v>0.4640608105286117</x:v>
      </x:c>
      <x:c r="J256" s="16" t="str"/>
    </x:row>
    <x:row r="257">
      <x:c r="A257" s="16" t="n">
        <x:v>2010</x:v>
      </x:c>
      <x:c r="B257" s="16" t="str">
        <x:v>Xochimilco</x:v>
      </x:c>
      <x:c r="C257" s="20" t="n">
        <x:f>INDEX(Population!$B$2:$R$17,MATCH(B257,Population!$A$2:$A$17,0),MATCH(A257,Population!$B$1:$R$1,0))</x:f>
        <x:v>415007</x:v>
      </x:c>
      <x:c r="D257" s="18" t="n">
        <x:f>COUNTIFS('Hospital Catalog'!$E:$E,B257,'Hospital Catalog'!$F:$F,"&lt;="&amp;A257,'Hospital Catalog'!$H:$H,"Yes")</x:f>
        <x:v>1</x:v>
      </x:c>
      <x:c r="E257" s="22" t="n">
        <x:f>IFERROR(D257/C257*100000,"")</x:f>
        <x:v>0.24095979103966922</x:v>
      </x:c>
      <x:c r="F257" s="18" t="n">
        <x:f>COUNTIFS('Hospital Catalog'!$E:$E,B257,'Hospital Catalog'!$F:$F,"&lt;="&amp;A257,'Hospital Catalog'!$H:$H,"Yes",'Hospital Catalog'!$D:$D,"*public*") + COUNTIFS('Hospital Catalog'!$E:$E,B257,'Hospital Catalog'!$F:$F,"&lt;="&amp;A257,'Hospital Catalog'!$H:$H,"Yes",'Hospital Catalog'!$D:$D,"IMSS public") + COUNTIFS('Hospital Catalog'!$E:$E,B257,'Hospital Catalog'!$F:$F,"&lt;="&amp;A257,'Hospital Catalog'!$H:$H,"Yes",'Hospital Catalog'!$D:$D,"ISSSTE public")</x:f>
        <x:v>0</x:v>
      </x:c>
      <x:c r="G257" s="22" t="n">
        <x:f>IFERROR(F257/C257*100000,"")</x:f>
        <x:v>0</x:v>
      </x:c>
      <x:c r="H257" s="18" t="n">
        <x:f>COUNTIFS('Hospital Catalog'!$E:$E,B257,'Hospital Catalog'!$F:$F,"&lt;="&amp;A257,'Hospital Catalog'!$H:$H,"Yes",'Hospital Catalog'!$K:$K,"High") + COUNTIFS('Hospital Catalog'!$E:$E,B257,'Hospital Catalog'!$F:$F,"&lt;="&amp;A257,'Hospital Catalog'!$H:$H,"Yes",'Hospital Catalog'!$K:$K,"Medium")</x:f>
        <x:v>0</x:v>
      </x:c>
      <x:c r="I257" s="22" t="n">
        <x:f>IFERROR(H257/C257*100000,"")</x:f>
        <x:v>0</x:v>
      </x:c>
      <x:c r="J257" s="16" t="str"/>
    </x:row>
    <x:row r="258">
      <x:c r="A258" s="16" t="n">
        <x:v>2020</x:v>
      </x:c>
      <x:c r="B258" s="16" t="str">
        <x:v>Álvaro Obregón</x:v>
      </x:c>
      <x:c r="C258" s="20" t="n">
        <x:f>INDEX(Population!$B$2:$R$17,MATCH(B258,Population!$A$2:$A$17,0),MATCH(A258,Population!$B$1:$R$1,0))</x:f>
        <x:v>759137</x:v>
      </x:c>
      <x:c r="D258" s="18" t="n">
        <x:f>COUNTIFS('Hospital Catalog'!$E:$E,B258,'Hospital Catalog'!$F:$F,"&lt;="&amp;A258,'Hospital Catalog'!$H:$H,"Yes")</x:f>
        <x:v>3</x:v>
      </x:c>
      <x:c r="E258" s="22" t="n">
        <x:f>IFERROR(D258/C258*100000,"")</x:f>
        <x:v>0.3951855857374887</x:v>
      </x:c>
      <x:c r="F258" s="18" t="n">
        <x:f>COUNTIFS('Hospital Catalog'!$E:$E,B258,'Hospital Catalog'!$F:$F,"&lt;="&amp;A258,'Hospital Catalog'!$H:$H,"Yes",'Hospital Catalog'!$D:$D,"*public*") + COUNTIFS('Hospital Catalog'!$E:$E,B258,'Hospital Catalog'!$F:$F,"&lt;="&amp;A258,'Hospital Catalog'!$H:$H,"Yes",'Hospital Catalog'!$D:$D,"IMSS public") + COUNTIFS('Hospital Catalog'!$E:$E,B258,'Hospital Catalog'!$F:$F,"&lt;="&amp;A258,'Hospital Catalog'!$H:$H,"Yes",'Hospital Catalog'!$D:$D,"ISSSTE public")</x:f>
        <x:v>1</x:v>
      </x:c>
      <x:c r="G258" s="22" t="n">
        <x:f>IFERROR(F258/C258*100000,"")</x:f>
        <x:v>0.13172852857916292</x:v>
      </x:c>
      <x:c r="H258" s="18" t="n">
        <x:f>COUNTIFS('Hospital Catalog'!$E:$E,B258,'Hospital Catalog'!$F:$F,"&lt;="&amp;A258,'Hospital Catalog'!$H:$H,"Yes",'Hospital Catalog'!$K:$K,"High") + COUNTIFS('Hospital Catalog'!$E:$E,B258,'Hospital Catalog'!$F:$F,"&lt;="&amp;A258,'Hospital Catalog'!$H:$H,"Yes",'Hospital Catalog'!$K:$K,"Medium")</x:f>
        <x:v>3</x:v>
      </x:c>
      <x:c r="I258" s="22" t="n">
        <x:f>IFERROR(H258/C258*100000,"")</x:f>
        <x:v>0.3951855857374887</x:v>
      </x:c>
      <x:c r="J258" s="16" t="str"/>
    </x:row>
    <x:row r="259">
      <x:c r="A259" s="16" t="n">
        <x:v>2020</x:v>
      </x:c>
      <x:c r="B259" s="16" t="str">
        <x:v>Azcapotzalco</x:v>
      </x:c>
      <x:c r="C259" s="20" t="n">
        <x:f>INDEX(Population!$B$2:$R$17,MATCH(B259,Population!$A$2:$A$17,0),MATCH(A259,Population!$B$1:$R$1,0))</x:f>
        <x:v>432205</x:v>
      </x:c>
      <x:c r="D259" s="18" t="n">
        <x:f>COUNTIFS('Hospital Catalog'!$E:$E,B259,'Hospital Catalog'!$F:$F,"&lt;="&amp;A259,'Hospital Catalog'!$H:$H,"Yes")</x:f>
        <x:v>2</x:v>
      </x:c>
      <x:c r="E259" s="22" t="n">
        <x:f>IFERROR(D259/C259*100000,"")</x:f>
        <x:v>0.4627433740933122</x:v>
      </x:c>
      <x:c r="F259" s="18" t="n">
        <x:f>COUNTIFS('Hospital Catalog'!$E:$E,B259,'Hospital Catalog'!$F:$F,"&lt;="&amp;A259,'Hospital Catalog'!$H:$H,"Yes",'Hospital Catalog'!$D:$D,"*public*") + COUNTIFS('Hospital Catalog'!$E:$E,B259,'Hospital Catalog'!$F:$F,"&lt;="&amp;A259,'Hospital Catalog'!$H:$H,"Yes",'Hospital Catalog'!$D:$D,"IMSS public") + COUNTIFS('Hospital Catalog'!$E:$E,B259,'Hospital Catalog'!$F:$F,"&lt;="&amp;A259,'Hospital Catalog'!$H:$H,"Yes",'Hospital Catalog'!$D:$D,"ISSSTE public")</x:f>
        <x:v>1</x:v>
      </x:c>
      <x:c r="G259" s="22" t="n">
        <x:f>IFERROR(F259/C259*100000,"")</x:f>
        <x:v>0.2313716870466561</x:v>
      </x:c>
      <x:c r="H259" s="18" t="n">
        <x:f>COUNTIFS('Hospital Catalog'!$E:$E,B259,'Hospital Catalog'!$F:$F,"&lt;="&amp;A259,'Hospital Catalog'!$H:$H,"Yes",'Hospital Catalog'!$K:$K,"High") + COUNTIFS('Hospital Catalog'!$E:$E,B259,'Hospital Catalog'!$F:$F,"&lt;="&amp;A259,'Hospital Catalog'!$H:$H,"Yes",'Hospital Catalog'!$K:$K,"Medium")</x:f>
        <x:v>2</x:v>
      </x:c>
      <x:c r="I259" s="22" t="n">
        <x:f>IFERROR(H259/C259*100000,"")</x:f>
        <x:v>0.4627433740933122</x:v>
      </x:c>
      <x:c r="J259" s="16" t="str"/>
    </x:row>
    <x:row r="260">
      <x:c r="A260" s="16" t="n">
        <x:v>2020</x:v>
      </x:c>
      <x:c r="B260" s="16" t="str">
        <x:v>Benito Juárez</x:v>
      </x:c>
      <x:c r="C260" s="20" t="n">
        <x:f>INDEX(Population!$B$2:$R$17,MATCH(B260,Population!$A$2:$A$17,0),MATCH(A260,Population!$B$1:$R$1,0))</x:f>
        <x:v>434153</x:v>
      </x:c>
      <x:c r="D260" s="18" t="n">
        <x:f>COUNTIFS('Hospital Catalog'!$E:$E,B260,'Hospital Catalog'!$F:$F,"&lt;="&amp;A260,'Hospital Catalog'!$H:$H,"Yes")</x:f>
        <x:v>3</x:v>
      </x:c>
      <x:c r="E260" s="22" t="n">
        <x:f>IFERROR(D260/C260*100000,"")</x:f>
        <x:v>0.6910006380239224</x:v>
      </x:c>
      <x:c r="F260" s="18" t="n">
        <x:f>COUNTIFS('Hospital Catalog'!$E:$E,B260,'Hospital Catalog'!$F:$F,"&lt;="&amp;A260,'Hospital Catalog'!$H:$H,"Yes",'Hospital Catalog'!$D:$D,"*public*") + COUNTIFS('Hospital Catalog'!$E:$E,B260,'Hospital Catalog'!$F:$F,"&lt;="&amp;A260,'Hospital Catalog'!$H:$H,"Yes",'Hospital Catalog'!$D:$D,"IMSS public") + COUNTIFS('Hospital Catalog'!$E:$E,B260,'Hospital Catalog'!$F:$F,"&lt;="&amp;A260,'Hospital Catalog'!$H:$H,"Yes",'Hospital Catalog'!$D:$D,"ISSSTE public")</x:f>
        <x:v>1</x:v>
      </x:c>
      <x:c r="G260" s="22" t="n">
        <x:f>IFERROR(F260/C260*100000,"")</x:f>
        <x:v>0.23033354600797412</x:v>
      </x:c>
      <x:c r="H260" s="18" t="n">
        <x:f>COUNTIFS('Hospital Catalog'!$E:$E,B260,'Hospital Catalog'!$F:$F,"&lt;="&amp;A260,'Hospital Catalog'!$H:$H,"Yes",'Hospital Catalog'!$K:$K,"High") + COUNTIFS('Hospital Catalog'!$E:$E,B260,'Hospital Catalog'!$F:$F,"&lt;="&amp;A260,'Hospital Catalog'!$H:$H,"Yes",'Hospital Catalog'!$K:$K,"Medium")</x:f>
        <x:v>1</x:v>
      </x:c>
      <x:c r="I260" s="22" t="n">
        <x:f>IFERROR(H260/C260*100000,"")</x:f>
        <x:v>0.23033354600797412</x:v>
      </x:c>
      <x:c r="J260" s="16" t="str"/>
    </x:row>
    <x:row r="261">
      <x:c r="A261" s="16" t="n">
        <x:v>2020</x:v>
      </x:c>
      <x:c r="B261" s="16" t="str">
        <x:v>Coyoacán</x:v>
      </x:c>
      <x:c r="C261" s="20" t="n">
        <x:f>INDEX(Population!$B$2:$R$17,MATCH(B261,Population!$A$2:$A$17,0),MATCH(A261,Population!$B$1:$R$1,0))</x:f>
        <x:v>614447</x:v>
      </x:c>
      <x:c r="D261" s="18" t="n">
        <x:f>COUNTIFS('Hospital Catalog'!$E:$E,B261,'Hospital Catalog'!$F:$F,"&lt;="&amp;A261,'Hospital Catalog'!$H:$H,"Yes")</x:f>
        <x:v>4</x:v>
      </x:c>
      <x:c r="E261" s="22" t="n">
        <x:f>IFERROR(D261/C261*100000,"")</x:f>
        <x:v>0.6509918674840954</x:v>
      </x:c>
      <x:c r="F261" s="18" t="n">
        <x:f>COUNTIFS('Hospital Catalog'!$E:$E,B261,'Hospital Catalog'!$F:$F,"&lt;="&amp;A261,'Hospital Catalog'!$H:$H,"Yes",'Hospital Catalog'!$D:$D,"*public*") + COUNTIFS('Hospital Catalog'!$E:$E,B261,'Hospital Catalog'!$F:$F,"&lt;="&amp;A261,'Hospital Catalog'!$H:$H,"Yes",'Hospital Catalog'!$D:$D,"IMSS public") + COUNTIFS('Hospital Catalog'!$E:$E,B261,'Hospital Catalog'!$F:$F,"&lt;="&amp;A261,'Hospital Catalog'!$H:$H,"Yes",'Hospital Catalog'!$D:$D,"ISSSTE public")</x:f>
        <x:v>0</x:v>
      </x:c>
      <x:c r="G261" s="22" t="n">
        <x:f>IFERROR(F261/C261*100000,"")</x:f>
        <x:v>0</x:v>
      </x:c>
      <x:c r="H261" s="18" t="n">
        <x:f>COUNTIFS('Hospital Catalog'!$E:$E,B261,'Hospital Catalog'!$F:$F,"&lt;="&amp;A261,'Hospital Catalog'!$H:$H,"Yes",'Hospital Catalog'!$K:$K,"High") + COUNTIFS('Hospital Catalog'!$E:$E,B261,'Hospital Catalog'!$F:$F,"&lt;="&amp;A261,'Hospital Catalog'!$H:$H,"Yes",'Hospital Catalog'!$K:$K,"Medium")</x:f>
        <x:v>4</x:v>
      </x:c>
      <x:c r="I261" s="22" t="n">
        <x:f>IFERROR(H261/C261*100000,"")</x:f>
        <x:v>0.6509918674840954</x:v>
      </x:c>
      <x:c r="J261" s="16" t="str"/>
    </x:row>
    <x:row r="262">
      <x:c r="A262" s="16" t="n">
        <x:v>2020</x:v>
      </x:c>
      <x:c r="B262" s="16" t="str">
        <x:v>Cuajimalpa de Morelos</x:v>
      </x:c>
      <x:c r="C262" s="20" t="n">
        <x:f>INDEX(Population!$B$2:$R$17,MATCH(B262,Population!$A$2:$A$17,0),MATCH(A262,Population!$B$1:$R$1,0))</x:f>
        <x:v>217686</x:v>
      </x:c>
      <x:c r="D262" s="18" t="n">
        <x:f>COUNTIFS('Hospital Catalog'!$E:$E,B262,'Hospital Catalog'!$F:$F,"&lt;="&amp;A262,'Hospital Catalog'!$H:$H,"Yes")</x:f>
        <x:v>2</x:v>
      </x:c>
      <x:c r="E262" s="22" t="n">
        <x:f>IFERROR(D262/C262*100000,"")</x:f>
        <x:v>0.9187545363505233</x:v>
      </x:c>
      <x:c r="F262" s="18" t="n">
        <x:f>COUNTIFS('Hospital Catalog'!$E:$E,B262,'Hospital Catalog'!$F:$F,"&lt;="&amp;A262,'Hospital Catalog'!$H:$H,"Yes",'Hospital Catalog'!$D:$D,"*public*") + COUNTIFS('Hospital Catalog'!$E:$E,B262,'Hospital Catalog'!$F:$F,"&lt;="&amp;A262,'Hospital Catalog'!$H:$H,"Yes",'Hospital Catalog'!$D:$D,"IMSS public") + COUNTIFS('Hospital Catalog'!$E:$E,B262,'Hospital Catalog'!$F:$F,"&lt;="&amp;A262,'Hospital Catalog'!$H:$H,"Yes",'Hospital Catalog'!$D:$D,"ISSSTE public")</x:f>
        <x:v>0</x:v>
      </x:c>
      <x:c r="G262" s="22" t="n">
        <x:f>IFERROR(F262/C262*100000,"")</x:f>
        <x:v>0</x:v>
      </x:c>
      <x:c r="H262" s="18" t="n">
        <x:f>COUNTIFS('Hospital Catalog'!$E:$E,B262,'Hospital Catalog'!$F:$F,"&lt;="&amp;A262,'Hospital Catalog'!$H:$H,"Yes",'Hospital Catalog'!$K:$K,"High") + COUNTIFS('Hospital Catalog'!$E:$E,B262,'Hospital Catalog'!$F:$F,"&lt;="&amp;A262,'Hospital Catalog'!$H:$H,"Yes",'Hospital Catalog'!$K:$K,"Medium")</x:f>
        <x:v>1</x:v>
      </x:c>
      <x:c r="I262" s="22" t="n">
        <x:f>IFERROR(H262/C262*100000,"")</x:f>
        <x:v>0.45937726817526164</x:v>
      </x:c>
      <x:c r="J262" s="16" t="str"/>
    </x:row>
    <x:row r="263">
      <x:c r="A263" s="16" t="n">
        <x:v>2020</x:v>
      </x:c>
      <x:c r="B263" s="16" t="str">
        <x:v>Cuauhtémoc</x:v>
      </x:c>
      <x:c r="C263" s="20" t="n">
        <x:f>INDEX(Population!$B$2:$R$17,MATCH(B263,Population!$A$2:$A$17,0),MATCH(A263,Population!$B$1:$R$1,0))</x:f>
        <x:v>545884</x:v>
      </x:c>
      <x:c r="D263" s="18" t="n">
        <x:f>COUNTIFS('Hospital Catalog'!$E:$E,B263,'Hospital Catalog'!$F:$F,"&lt;="&amp;A263,'Hospital Catalog'!$H:$H,"Yes")</x:f>
        <x:v>4</x:v>
      </x:c>
      <x:c r="E263" s="22" t="n">
        <x:f>IFERROR(D263/C263*100000,"")</x:f>
        <x:v>0.7327564097866947</x:v>
      </x:c>
      <x:c r="F263" s="18" t="n">
        <x:f>COUNTIFS('Hospital Catalog'!$E:$E,B263,'Hospital Catalog'!$F:$F,"&lt;="&amp;A263,'Hospital Catalog'!$H:$H,"Yes",'Hospital Catalog'!$D:$D,"*public*") + COUNTIFS('Hospital Catalog'!$E:$E,B263,'Hospital Catalog'!$F:$F,"&lt;="&amp;A263,'Hospital Catalog'!$H:$H,"Yes",'Hospital Catalog'!$D:$D,"IMSS public") + COUNTIFS('Hospital Catalog'!$E:$E,B263,'Hospital Catalog'!$F:$F,"&lt;="&amp;A263,'Hospital Catalog'!$H:$H,"Yes",'Hospital Catalog'!$D:$D,"ISSSTE public")</x:f>
        <x:v>1</x:v>
      </x:c>
      <x:c r="G263" s="22" t="n">
        <x:f>IFERROR(F263/C263*100000,"")</x:f>
        <x:v>0.18318910244667366</x:v>
      </x:c>
      <x:c r="H263" s="18" t="n">
        <x:f>COUNTIFS('Hospital Catalog'!$E:$E,B263,'Hospital Catalog'!$F:$F,"&lt;="&amp;A263,'Hospital Catalog'!$H:$H,"Yes",'Hospital Catalog'!$K:$K,"High") + COUNTIFS('Hospital Catalog'!$E:$E,B263,'Hospital Catalog'!$F:$F,"&lt;="&amp;A263,'Hospital Catalog'!$H:$H,"Yes",'Hospital Catalog'!$K:$K,"Medium")</x:f>
        <x:v>4</x:v>
      </x:c>
      <x:c r="I263" s="22" t="n">
        <x:f>IFERROR(H263/C263*100000,"")</x:f>
        <x:v>0.7327564097866947</x:v>
      </x:c>
      <x:c r="J263" s="16" t="str"/>
    </x:row>
    <x:row r="264">
      <x:c r="A264" s="16" t="n">
        <x:v>2020</x:v>
      </x:c>
      <x:c r="B264" s="16" t="str">
        <x:v>Gustavo A. Madero</x:v>
      </x:c>
      <x:c r="C264" s="20" t="n">
        <x:f>INDEX(Population!$B$2:$R$17,MATCH(B264,Population!$A$2:$A$17,0),MATCH(A264,Population!$B$1:$R$1,0))</x:f>
        <x:v>1173351</x:v>
      </x:c>
      <x:c r="D264" s="18" t="n">
        <x:f>COUNTIFS('Hospital Catalog'!$E:$E,B264,'Hospital Catalog'!$F:$F,"&lt;="&amp;A264,'Hospital Catalog'!$H:$H,"Yes")</x:f>
        <x:v>4</x:v>
      </x:c>
      <x:c r="E264" s="22" t="n">
        <x:f>IFERROR(D264/C264*100000,"")</x:f>
        <x:v>0.34090395798017814</x:v>
      </x:c>
      <x:c r="F264" s="18" t="n">
        <x:f>COUNTIFS('Hospital Catalog'!$E:$E,B264,'Hospital Catalog'!$F:$F,"&lt;="&amp;A264,'Hospital Catalog'!$H:$H,"Yes",'Hospital Catalog'!$D:$D,"*public*") + COUNTIFS('Hospital Catalog'!$E:$E,B264,'Hospital Catalog'!$F:$F,"&lt;="&amp;A264,'Hospital Catalog'!$H:$H,"Yes",'Hospital Catalog'!$D:$D,"IMSS public") + COUNTIFS('Hospital Catalog'!$E:$E,B264,'Hospital Catalog'!$F:$F,"&lt;="&amp;A264,'Hospital Catalog'!$H:$H,"Yes",'Hospital Catalog'!$D:$D,"ISSSTE public")</x:f>
        <x:v>0</x:v>
      </x:c>
      <x:c r="G264" s="22" t="n">
        <x:f>IFERROR(F264/C264*100000,"")</x:f>
        <x:v>0</x:v>
      </x:c>
      <x:c r="H264" s="18" t="n">
        <x:f>COUNTIFS('Hospital Catalog'!$E:$E,B264,'Hospital Catalog'!$F:$F,"&lt;="&amp;A264,'Hospital Catalog'!$H:$H,"Yes",'Hospital Catalog'!$K:$K,"High") + COUNTIFS('Hospital Catalog'!$E:$E,B264,'Hospital Catalog'!$F:$F,"&lt;="&amp;A264,'Hospital Catalog'!$H:$H,"Yes",'Hospital Catalog'!$K:$K,"Medium")</x:f>
        <x:v>1</x:v>
      </x:c>
      <x:c r="I264" s="22" t="n">
        <x:f>IFERROR(H264/C264*100000,"")</x:f>
        <x:v>0.08522598949504454</x:v>
      </x:c>
      <x:c r="J264" s="16" t="str"/>
    </x:row>
    <x:row r="265">
      <x:c r="A265" s="16" t="n">
        <x:v>2020</x:v>
      </x:c>
      <x:c r="B265" s="16" t="str">
        <x:v>Iztacalco</x:v>
      </x:c>
      <x:c r="C265" s="20" t="n">
        <x:f>INDEX(Population!$B$2:$R$17,MATCH(B265,Population!$A$2:$A$17,0),MATCH(A265,Population!$B$1:$R$1,0))</x:f>
        <x:v>404695</x:v>
      </x:c>
      <x:c r="D265" s="18" t="n">
        <x:f>COUNTIFS('Hospital Catalog'!$E:$E,B265,'Hospital Catalog'!$F:$F,"&lt;="&amp;A265,'Hospital Catalog'!$H:$H,"Yes")</x:f>
        <x:v>1</x:v>
      </x:c>
      <x:c r="E265" s="22" t="n">
        <x:f>IFERROR(D265/C265*100000,"")</x:f>
        <x:v>0.24709966765094699</x:v>
      </x:c>
      <x:c r="F265" s="18" t="n">
        <x:f>COUNTIFS('Hospital Catalog'!$E:$E,B265,'Hospital Catalog'!$F:$F,"&lt;="&amp;A265,'Hospital Catalog'!$H:$H,"Yes",'Hospital Catalog'!$D:$D,"*public*") + COUNTIFS('Hospital Catalog'!$E:$E,B265,'Hospital Catalog'!$F:$F,"&lt;="&amp;A265,'Hospital Catalog'!$H:$H,"Yes",'Hospital Catalog'!$D:$D,"IMSS public") + COUNTIFS('Hospital Catalog'!$E:$E,B265,'Hospital Catalog'!$F:$F,"&lt;="&amp;A265,'Hospital Catalog'!$H:$H,"Yes",'Hospital Catalog'!$D:$D,"ISSSTE public")</x:f>
        <x:v>0</x:v>
      </x:c>
      <x:c r="G265" s="22" t="n">
        <x:f>IFERROR(F265/C265*100000,"")</x:f>
        <x:v>0</x:v>
      </x:c>
      <x:c r="H265" s="18" t="n">
        <x:f>COUNTIFS('Hospital Catalog'!$E:$E,B265,'Hospital Catalog'!$F:$F,"&lt;="&amp;A265,'Hospital Catalog'!$H:$H,"Yes",'Hospital Catalog'!$K:$K,"High") + COUNTIFS('Hospital Catalog'!$E:$E,B265,'Hospital Catalog'!$F:$F,"&lt;="&amp;A265,'Hospital Catalog'!$H:$H,"Yes",'Hospital Catalog'!$K:$K,"Medium")</x:f>
        <x:v>0</x:v>
      </x:c>
      <x:c r="I265" s="22" t="n">
        <x:f>IFERROR(H265/C265*100000,"")</x:f>
        <x:v>0</x:v>
      </x:c>
      <x:c r="J265" s="16" t="str"/>
    </x:row>
    <x:row r="266">
      <x:c r="A266" s="16" t="n">
        <x:v>2020</x:v>
      </x:c>
      <x:c r="B266" s="16" t="str">
        <x:v>Iztapalapa</x:v>
      </x:c>
      <x:c r="C266" s="20" t="n">
        <x:f>INDEX(Population!$B$2:$R$17,MATCH(B266,Population!$A$2:$A$17,0),MATCH(A266,Population!$B$1:$R$1,0))</x:f>
        <x:v>1835486</x:v>
      </x:c>
      <x:c r="D266" s="18" t="n">
        <x:f>COUNTIFS('Hospital Catalog'!$E:$E,B266,'Hospital Catalog'!$F:$F,"&lt;="&amp;A266,'Hospital Catalog'!$H:$H,"Yes")</x:f>
        <x:v>3</x:v>
      </x:c>
      <x:c r="E266" s="22" t="n">
        <x:f>IFERROR(D266/C266*100000,"")</x:f>
        <x:v>0.16344445013473272</x:v>
      </x:c>
      <x:c r="F266" s="18" t="n">
        <x:f>COUNTIFS('Hospital Catalog'!$E:$E,B266,'Hospital Catalog'!$F:$F,"&lt;="&amp;A266,'Hospital Catalog'!$H:$H,"Yes",'Hospital Catalog'!$D:$D,"*public*") + COUNTIFS('Hospital Catalog'!$E:$E,B266,'Hospital Catalog'!$F:$F,"&lt;="&amp;A266,'Hospital Catalog'!$H:$H,"Yes",'Hospital Catalog'!$D:$D,"IMSS public") + COUNTIFS('Hospital Catalog'!$E:$E,B266,'Hospital Catalog'!$F:$F,"&lt;="&amp;A266,'Hospital Catalog'!$H:$H,"Yes",'Hospital Catalog'!$D:$D,"ISSSTE public")</x:f>
        <x:v>1</x:v>
      </x:c>
      <x:c r="G266" s="22" t="n">
        <x:f>IFERROR(F266/C266*100000,"")</x:f>
        <x:v>0.05448148337824423</x:v>
      </x:c>
      <x:c r="H266" s="18" t="n">
        <x:f>COUNTIFS('Hospital Catalog'!$E:$E,B266,'Hospital Catalog'!$F:$F,"&lt;="&amp;A266,'Hospital Catalog'!$H:$H,"Yes",'Hospital Catalog'!$K:$K,"High") + COUNTIFS('Hospital Catalog'!$E:$E,B266,'Hospital Catalog'!$F:$F,"&lt;="&amp;A266,'Hospital Catalog'!$H:$H,"Yes",'Hospital Catalog'!$K:$K,"Medium")</x:f>
        <x:v>1</x:v>
      </x:c>
      <x:c r="I266" s="22" t="n">
        <x:f>IFERROR(H266/C266*100000,"")</x:f>
        <x:v>0.05448148337824423</x:v>
      </x:c>
      <x:c r="J266" s="16" t="str"/>
    </x:row>
    <x:row r="267">
      <x:c r="A267" s="16" t="n">
        <x:v>2020</x:v>
      </x:c>
      <x:c r="B267" s="16" t="str">
        <x:v>La Magdalena Contreras</x:v>
      </x:c>
      <x:c r="C267" s="20" t="n">
        <x:f>INDEX(Population!$B$2:$R$17,MATCH(B267,Population!$A$2:$A$17,0),MATCH(A267,Population!$B$1:$R$1,0))</x:f>
        <x:v>247622</x:v>
      </x:c>
      <x:c r="D267" s="18" t="n">
        <x:f>COUNTIFS('Hospital Catalog'!$E:$E,B267,'Hospital Catalog'!$F:$F,"&lt;="&amp;A267,'Hospital Catalog'!$H:$H,"Yes")</x:f>
        <x:v>2</x:v>
      </x:c>
      <x:c r="E267" s="22" t="n">
        <x:f>IFERROR(D267/C267*100000,"")</x:f>
        <x:v>0.807682677629613</x:v>
      </x:c>
      <x:c r="F267" s="18" t="n">
        <x:f>COUNTIFS('Hospital Catalog'!$E:$E,B267,'Hospital Catalog'!$F:$F,"&lt;="&amp;A267,'Hospital Catalog'!$H:$H,"Yes",'Hospital Catalog'!$D:$D,"*public*") + COUNTIFS('Hospital Catalog'!$E:$E,B267,'Hospital Catalog'!$F:$F,"&lt;="&amp;A267,'Hospital Catalog'!$H:$H,"Yes",'Hospital Catalog'!$D:$D,"IMSS public") + COUNTIFS('Hospital Catalog'!$E:$E,B267,'Hospital Catalog'!$F:$F,"&lt;="&amp;A267,'Hospital Catalog'!$H:$H,"Yes",'Hospital Catalog'!$D:$D,"ISSSTE public")</x:f>
        <x:v>0</x:v>
      </x:c>
      <x:c r="G267" s="22" t="n">
        <x:f>IFERROR(F267/C267*100000,"")</x:f>
        <x:v>0</x:v>
      </x:c>
      <x:c r="H267" s="18" t="n">
        <x:f>COUNTIFS('Hospital Catalog'!$E:$E,B267,'Hospital Catalog'!$F:$F,"&lt;="&amp;A267,'Hospital Catalog'!$H:$H,"Yes",'Hospital Catalog'!$K:$K,"High") + COUNTIFS('Hospital Catalog'!$E:$E,B267,'Hospital Catalog'!$F:$F,"&lt;="&amp;A267,'Hospital Catalog'!$H:$H,"Yes",'Hospital Catalog'!$K:$K,"Medium")</x:f>
        <x:v>0</x:v>
      </x:c>
      <x:c r="I267" s="22" t="n">
        <x:f>IFERROR(H267/C267*100000,"")</x:f>
        <x:v>0</x:v>
      </x:c>
      <x:c r="J267" s="16" t="str"/>
    </x:row>
    <x:row r="268">
      <x:c r="A268" s="16" t="n">
        <x:v>2020</x:v>
      </x:c>
      <x:c r="B268" s="16" t="str">
        <x:v>Miguel Hidalgo</x:v>
      </x:c>
      <x:c r="C268" s="20" t="n">
        <x:f>INDEX(Population!$B$2:$R$17,MATCH(B268,Population!$A$2:$A$17,0),MATCH(A268,Population!$B$1:$R$1,0))</x:f>
        <x:v>414470</x:v>
      </x:c>
      <x:c r="D268" s="18" t="n">
        <x:f>COUNTIFS('Hospital Catalog'!$E:$E,B268,'Hospital Catalog'!$F:$F,"&lt;="&amp;A268,'Hospital Catalog'!$H:$H,"Yes")</x:f>
        <x:v>4</x:v>
      </x:c>
      <x:c r="E268" s="22" t="n">
        <x:f>IFERROR(D268/C268*100000,"")</x:f>
        <x:v>0.9650879436388641</x:v>
      </x:c>
      <x:c r="F268" s="18" t="n">
        <x:f>COUNTIFS('Hospital Catalog'!$E:$E,B268,'Hospital Catalog'!$F:$F,"&lt;="&amp;A268,'Hospital Catalog'!$H:$H,"Yes",'Hospital Catalog'!$D:$D,"*public*") + COUNTIFS('Hospital Catalog'!$E:$E,B268,'Hospital Catalog'!$F:$F,"&lt;="&amp;A268,'Hospital Catalog'!$H:$H,"Yes",'Hospital Catalog'!$D:$D,"IMSS public") + COUNTIFS('Hospital Catalog'!$E:$E,B268,'Hospital Catalog'!$F:$F,"&lt;="&amp;A268,'Hospital Catalog'!$H:$H,"Yes",'Hospital Catalog'!$D:$D,"ISSSTE public")</x:f>
        <x:v>0</x:v>
      </x:c>
      <x:c r="G268" s="22" t="n">
        <x:f>IFERROR(F268/C268*100000,"")</x:f>
        <x:v>0</x:v>
      </x:c>
      <x:c r="H268" s="18" t="n">
        <x:f>COUNTIFS('Hospital Catalog'!$E:$E,B268,'Hospital Catalog'!$F:$F,"&lt;="&amp;A268,'Hospital Catalog'!$H:$H,"Yes",'Hospital Catalog'!$K:$K,"High") + COUNTIFS('Hospital Catalog'!$E:$E,B268,'Hospital Catalog'!$F:$F,"&lt;="&amp;A268,'Hospital Catalog'!$H:$H,"Yes",'Hospital Catalog'!$K:$K,"Medium")</x:f>
        <x:v>4</x:v>
      </x:c>
      <x:c r="I268" s="22" t="n">
        <x:f>IFERROR(H268/C268*100000,"")</x:f>
        <x:v>0.9650879436388641</x:v>
      </x:c>
      <x:c r="J268" s="16" t="str"/>
    </x:row>
    <x:row r="269">
      <x:c r="A269" s="16" t="n">
        <x:v>2020</x:v>
      </x:c>
      <x:c r="B269" s="16" t="str">
        <x:v>Milpa Alta</x:v>
      </x:c>
      <x:c r="C269" s="20" t="n">
        <x:f>INDEX(Population!$B$2:$R$17,MATCH(B269,Population!$A$2:$A$17,0),MATCH(A269,Population!$B$1:$R$1,0))</x:f>
        <x:v>152685</x:v>
      </x:c>
      <x:c r="D269" s="18" t="n">
        <x:f>COUNTIFS('Hospital Catalog'!$E:$E,B269,'Hospital Catalog'!$F:$F,"&lt;="&amp;A269,'Hospital Catalog'!$H:$H,"Yes")</x:f>
        <x:v>2</x:v>
      </x:c>
      <x:c r="E269" s="22" t="n">
        <x:f>IFERROR(D269/C269*100000,"")</x:f>
        <x:v>1.3098863673576318</x:v>
      </x:c>
      <x:c r="F269" s="18" t="n">
        <x:f>COUNTIFS('Hospital Catalog'!$E:$E,B269,'Hospital Catalog'!$F:$F,"&lt;="&amp;A269,'Hospital Catalog'!$H:$H,"Yes",'Hospital Catalog'!$D:$D,"*public*") + COUNTIFS('Hospital Catalog'!$E:$E,B269,'Hospital Catalog'!$F:$F,"&lt;="&amp;A269,'Hospital Catalog'!$H:$H,"Yes",'Hospital Catalog'!$D:$D,"IMSS public") + COUNTIFS('Hospital Catalog'!$E:$E,B269,'Hospital Catalog'!$F:$F,"&lt;="&amp;A269,'Hospital Catalog'!$H:$H,"Yes",'Hospital Catalog'!$D:$D,"ISSSTE public")</x:f>
        <x:v>0</x:v>
      </x:c>
      <x:c r="G269" s="22" t="n">
        <x:f>IFERROR(F269/C269*100000,"")</x:f>
        <x:v>0</x:v>
      </x:c>
      <x:c r="H269" s="18" t="n">
        <x:f>COUNTIFS('Hospital Catalog'!$E:$E,B269,'Hospital Catalog'!$F:$F,"&lt;="&amp;A269,'Hospital Catalog'!$H:$H,"Yes",'Hospital Catalog'!$K:$K,"High") + COUNTIFS('Hospital Catalog'!$E:$E,B269,'Hospital Catalog'!$F:$F,"&lt;="&amp;A269,'Hospital Catalog'!$H:$H,"Yes",'Hospital Catalog'!$K:$K,"Medium")</x:f>
        <x:v>0</x:v>
      </x:c>
      <x:c r="I269" s="22" t="n">
        <x:f>IFERROR(H269/C269*100000,"")</x:f>
        <x:v>0</x:v>
      </x:c>
      <x:c r="J269" s="16" t="str"/>
    </x:row>
    <x:row r="270">
      <x:c r="A270" s="16" t="n">
        <x:v>2020</x:v>
      </x:c>
      <x:c r="B270" s="16" t="str">
        <x:v>Tláhuac</x:v>
      </x:c>
      <x:c r="C270" s="20" t="n">
        <x:f>INDEX(Population!$B$2:$R$17,MATCH(B270,Population!$A$2:$A$17,0),MATCH(A270,Population!$B$1:$R$1,0))</x:f>
        <x:v>392313</x:v>
      </x:c>
      <x:c r="D270" s="18" t="n">
        <x:f>COUNTIFS('Hospital Catalog'!$E:$E,B270,'Hospital Catalog'!$F:$F,"&lt;="&amp;A270,'Hospital Catalog'!$H:$H,"Yes")</x:f>
        <x:v>2</x:v>
      </x:c>
      <x:c r="E270" s="22" t="n">
        <x:f>IFERROR(D270/C270*100000,"")</x:f>
        <x:v>0.5097970243147691</x:v>
      </x:c>
      <x:c r="F270" s="18" t="n">
        <x:f>COUNTIFS('Hospital Catalog'!$E:$E,B270,'Hospital Catalog'!$F:$F,"&lt;="&amp;A270,'Hospital Catalog'!$H:$H,"Yes",'Hospital Catalog'!$D:$D,"*public*") + COUNTIFS('Hospital Catalog'!$E:$E,B270,'Hospital Catalog'!$F:$F,"&lt;="&amp;A270,'Hospital Catalog'!$H:$H,"Yes",'Hospital Catalog'!$D:$D,"IMSS public") + COUNTIFS('Hospital Catalog'!$E:$E,B270,'Hospital Catalog'!$F:$F,"&lt;="&amp;A270,'Hospital Catalog'!$H:$H,"Yes",'Hospital Catalog'!$D:$D,"ISSSTE public")</x:f>
        <x:v>0</x:v>
      </x:c>
      <x:c r="G270" s="22" t="n">
        <x:f>IFERROR(F270/C270*100000,"")</x:f>
        <x:v>0</x:v>
      </x:c>
      <x:c r="H270" s="18" t="n">
        <x:f>COUNTIFS('Hospital Catalog'!$E:$E,B270,'Hospital Catalog'!$F:$F,"&lt;="&amp;A270,'Hospital Catalog'!$H:$H,"Yes",'Hospital Catalog'!$K:$K,"High") + COUNTIFS('Hospital Catalog'!$E:$E,B270,'Hospital Catalog'!$F:$F,"&lt;="&amp;A270,'Hospital Catalog'!$H:$H,"Yes",'Hospital Catalog'!$K:$K,"Medium")</x:f>
        <x:v>0</x:v>
      </x:c>
      <x:c r="I270" s="22" t="n">
        <x:f>IFERROR(H270/C270*100000,"")</x:f>
        <x:v>0</x:v>
      </x:c>
      <x:c r="J270" s="16" t="str"/>
    </x:row>
    <x:row r="271">
      <x:c r="A271" s="16" t="n">
        <x:v>2020</x:v>
      </x:c>
      <x:c r="B271" s="16" t="str">
        <x:v>Tlalpan</x:v>
      </x:c>
      <x:c r="C271" s="20" t="n">
        <x:f>INDEX(Population!$B$2:$R$17,MATCH(B271,Population!$A$2:$A$17,0),MATCH(A271,Population!$B$1:$R$1,0))</x:f>
        <x:v>699928</x:v>
      </x:c>
      <x:c r="D271" s="18" t="n">
        <x:f>COUNTIFS('Hospital Catalog'!$E:$E,B271,'Hospital Catalog'!$F:$F,"&lt;="&amp;A271,'Hospital Catalog'!$H:$H,"Yes")</x:f>
        <x:v>8</x:v>
      </x:c>
      <x:c r="E271" s="22" t="n">
        <x:f>IFERROR(D271/C271*100000,"")</x:f>
        <x:v>1.142974705969757</x:v>
      </x:c>
      <x:c r="F271" s="18" t="n">
        <x:f>COUNTIFS('Hospital Catalog'!$E:$E,B271,'Hospital Catalog'!$F:$F,"&lt;="&amp;A271,'Hospital Catalog'!$H:$H,"Yes",'Hospital Catalog'!$D:$D,"*public*") + COUNTIFS('Hospital Catalog'!$E:$E,B271,'Hospital Catalog'!$F:$F,"&lt;="&amp;A271,'Hospital Catalog'!$H:$H,"Yes",'Hospital Catalog'!$D:$D,"IMSS public") + COUNTIFS('Hospital Catalog'!$E:$E,B271,'Hospital Catalog'!$F:$F,"&lt;="&amp;A271,'Hospital Catalog'!$H:$H,"Yes",'Hospital Catalog'!$D:$D,"ISSSTE public")</x:f>
        <x:v>1</x:v>
      </x:c>
      <x:c r="G271" s="22" t="n">
        <x:f>IFERROR(F271/C271*100000,"")</x:f>
        <x:v>0.14287183824621963</x:v>
      </x:c>
      <x:c r="H271" s="18" t="n">
        <x:f>COUNTIFS('Hospital Catalog'!$E:$E,B271,'Hospital Catalog'!$F:$F,"&lt;="&amp;A271,'Hospital Catalog'!$H:$H,"Yes",'Hospital Catalog'!$K:$K,"High") + COUNTIFS('Hospital Catalog'!$E:$E,B271,'Hospital Catalog'!$F:$F,"&lt;="&amp;A271,'Hospital Catalog'!$H:$H,"Yes",'Hospital Catalog'!$K:$K,"Medium")</x:f>
        <x:v>6</x:v>
      </x:c>
      <x:c r="I271" s="22" t="n">
        <x:f>IFERROR(H271/C271*100000,"")</x:f>
        <x:v>0.8572310294773177</x:v>
      </x:c>
      <x:c r="J271" s="16" t="str"/>
    </x:row>
    <x:row r="272">
      <x:c r="A272" s="16" t="n">
        <x:v>2020</x:v>
      </x:c>
      <x:c r="B272" s="16" t="str">
        <x:v>Venustiano Carranza</x:v>
      </x:c>
      <x:c r="C272" s="20" t="n">
        <x:f>INDEX(Population!$B$2:$R$17,MATCH(B272,Population!$A$2:$A$17,0),MATCH(A272,Population!$B$1:$R$1,0))</x:f>
        <x:v>443704</x:v>
      </x:c>
      <x:c r="D272" s="18" t="n">
        <x:f>COUNTIFS('Hospital Catalog'!$E:$E,B272,'Hospital Catalog'!$F:$F,"&lt;="&amp;A272,'Hospital Catalog'!$H:$H,"Yes")</x:f>
        <x:v>2</x:v>
      </x:c>
      <x:c r="E272" s="22" t="n">
        <x:f>IFERROR(D272/C272*100000,"")</x:f>
        <x:v>0.4507509510845068</x:v>
      </x:c>
      <x:c r="F272" s="18" t="n">
        <x:f>COUNTIFS('Hospital Catalog'!$E:$E,B272,'Hospital Catalog'!$F:$F,"&lt;="&amp;A272,'Hospital Catalog'!$H:$H,"Yes",'Hospital Catalog'!$D:$D,"*public*") + COUNTIFS('Hospital Catalog'!$E:$E,B272,'Hospital Catalog'!$F:$F,"&lt;="&amp;A272,'Hospital Catalog'!$H:$H,"Yes",'Hospital Catalog'!$D:$D,"IMSS public") + COUNTIFS('Hospital Catalog'!$E:$E,B272,'Hospital Catalog'!$F:$F,"&lt;="&amp;A272,'Hospital Catalog'!$H:$H,"Yes",'Hospital Catalog'!$D:$D,"ISSSTE public")</x:f>
        <x:v>0</x:v>
      </x:c>
      <x:c r="G272" s="22" t="n">
        <x:f>IFERROR(F272/C272*100000,"")</x:f>
        <x:v>0</x:v>
      </x:c>
      <x:c r="H272" s="18" t="n">
        <x:f>COUNTIFS('Hospital Catalog'!$E:$E,B272,'Hospital Catalog'!$F:$F,"&lt;="&amp;A272,'Hospital Catalog'!$H:$H,"Yes",'Hospital Catalog'!$K:$K,"High") + COUNTIFS('Hospital Catalog'!$E:$E,B272,'Hospital Catalog'!$F:$F,"&lt;="&amp;A272,'Hospital Catalog'!$H:$H,"Yes",'Hospital Catalog'!$K:$K,"Medium")</x:f>
        <x:v>2</x:v>
      </x:c>
      <x:c r="I272" s="22" t="n">
        <x:f>IFERROR(H272/C272*100000,"")</x:f>
        <x:v>0.4507509510845068</x:v>
      </x:c>
      <x:c r="J272" s="16" t="str"/>
    </x:row>
    <x:row r="273">
      <x:c r="A273" s="16" t="n">
        <x:v>2020</x:v>
      </x:c>
      <x:c r="B273" s="16" t="str">
        <x:v>Xochimilco</x:v>
      </x:c>
      <x:c r="C273" s="20" t="n">
        <x:f>INDEX(Population!$B$2:$R$17,MATCH(B273,Population!$A$2:$A$17,0),MATCH(A273,Population!$B$1:$R$1,0))</x:f>
        <x:v>442178</x:v>
      </x:c>
      <x:c r="D273" s="18" t="n">
        <x:f>COUNTIFS('Hospital Catalog'!$E:$E,B273,'Hospital Catalog'!$F:$F,"&lt;="&amp;A273,'Hospital Catalog'!$H:$H,"Yes")</x:f>
        <x:v>1</x:v>
      </x:c>
      <x:c r="E273" s="22" t="n">
        <x:f>IFERROR(D273/C273*100000,"")</x:f>
        <x:v>0.22615326859319096</x:v>
      </x:c>
      <x:c r="F273" s="18" t="n">
        <x:f>COUNTIFS('Hospital Catalog'!$E:$E,B273,'Hospital Catalog'!$F:$F,"&lt;="&amp;A273,'Hospital Catalog'!$H:$H,"Yes",'Hospital Catalog'!$D:$D,"*public*") + COUNTIFS('Hospital Catalog'!$E:$E,B273,'Hospital Catalog'!$F:$F,"&lt;="&amp;A273,'Hospital Catalog'!$H:$H,"Yes",'Hospital Catalog'!$D:$D,"IMSS public") + COUNTIFS('Hospital Catalog'!$E:$E,B273,'Hospital Catalog'!$F:$F,"&lt;="&amp;A273,'Hospital Catalog'!$H:$H,"Yes",'Hospital Catalog'!$D:$D,"ISSSTE public")</x:f>
        <x:v>0</x:v>
      </x:c>
      <x:c r="G273" s="22" t="n">
        <x:f>IFERROR(F273/C273*100000,"")</x:f>
        <x:v>0</x:v>
      </x:c>
      <x:c r="H273" s="18" t="n">
        <x:f>COUNTIFS('Hospital Catalog'!$E:$E,B273,'Hospital Catalog'!$F:$F,"&lt;="&amp;A273,'Hospital Catalog'!$H:$H,"Yes",'Hospital Catalog'!$K:$K,"High") + COUNTIFS('Hospital Catalog'!$E:$E,B273,'Hospital Catalog'!$F:$F,"&lt;="&amp;A273,'Hospital Catalog'!$H:$H,"Yes",'Hospital Catalog'!$K:$K,"Medium")</x:f>
        <x:v>0</x:v>
      </x:c>
      <x:c r="I273" s="22" t="n">
        <x:f>IFERROR(H273/C273*100000,"")</x:f>
        <x:v>0</x:v>
      </x:c>
      <x:c r="J273" s="16" t="str"/>
    </x:row>
  </x:sheetData>
  <x:conditionalFormatting sqref="E2:E27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552d3b127ac49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6" t="str">
        <x:v>Decade</x:v>
      </x:c>
      <x:c r="B1" s="6" t="str">
        <x:v>Álvaro Obregón</x:v>
      </x:c>
      <x:c r="C1" s="6" t="str">
        <x:v>Azcapotzalco</x:v>
      </x:c>
      <x:c r="D1" s="6" t="str">
        <x:v>Benito Juárez</x:v>
      </x:c>
      <x:c r="E1" s="6" t="str">
        <x:v>Coyoacán</x:v>
      </x:c>
      <x:c r="F1" s="6" t="str">
        <x:v>Cuajimalpa de Morelos</x:v>
      </x:c>
      <x:c r="G1" s="6" t="str">
        <x:v>Cuauhtémoc</x:v>
      </x:c>
      <x:c r="H1" s="6" t="str">
        <x:v>Gustavo A. Madero</x:v>
      </x:c>
      <x:c r="I1" s="6" t="str">
        <x:v>Iztacalco</x:v>
      </x:c>
      <x:c r="J1" s="6" t="str">
        <x:v>Iztapalapa</x:v>
      </x:c>
      <x:c r="K1" s="6" t="str">
        <x:v>La Magdalena Contreras</x:v>
      </x:c>
      <x:c r="L1" s="6" t="str">
        <x:v>Miguel Hidalgo</x:v>
      </x:c>
      <x:c r="M1" s="6" t="str">
        <x:v>Milpa Alta</x:v>
      </x:c>
      <x:c r="N1" s="6" t="str">
        <x:v>Tláhuac</x:v>
      </x:c>
      <x:c r="O1" s="6" t="str">
        <x:v>Tlalpan</x:v>
      </x:c>
      <x:c r="P1" s="6" t="str">
        <x:v>Venustiano Carranza</x:v>
      </x:c>
      <x:c r="Q1" s="6" t="str">
        <x:v>Xochimilco</x:v>
      </x:c>
      <x:c r="R1" s="6"/>
    </x:row>
    <x:row r="2">
      <x:c r="A2" s="16" t="n">
        <x:v>1860</x:v>
      </x:c>
      <x:c r="B2" s="22" t="n">
        <x:f>SUMIFS('Decade Metric'!$E:$E,'Decade Metric'!$A:$A,$A2,'Decade Metric'!$B:$B,B$1)</x:f>
        <x:v>0</x:v>
      </x:c>
      <x:c r="C2" s="22" t="n">
        <x:f>SUMIFS('Decade Metric'!$E:$E,'Decade Metric'!$A:$A,$A2,'Decade Metric'!$B:$B,C$1)</x:f>
        <x:v>0</x:v>
      </x:c>
      <x:c r="D2" s="22" t="n">
        <x:f>SUMIFS('Decade Metric'!$E:$E,'Decade Metric'!$A:$A,$A2,'Decade Metric'!$B:$B,D$1)</x:f>
        <x:v>0</x:v>
      </x:c>
      <x:c r="E2" s="22" t="n">
        <x:f>SUMIFS('Decade Metric'!$E:$E,'Decade Metric'!$A:$A,$A2,'Decade Metric'!$B:$B,E$1)</x:f>
        <x:v>0</x:v>
      </x:c>
      <x:c r="F2" s="22" t="n">
        <x:f>SUMIFS('Decade Metric'!$E:$E,'Decade Metric'!$A:$A,$A2,'Decade Metric'!$B:$B,F$1)</x:f>
        <x:v>0</x:v>
      </x:c>
      <x:c r="G2" s="22" t="n">
        <x:f>SUMIFS('Decade Metric'!$E:$E,'Decade Metric'!$A:$A,$A2,'Decade Metric'!$B:$B,G$1)</x:f>
        <x:v>1.3985427184873362</x:v>
      </x:c>
      <x:c r="H2" s="22" t="n">
        <x:f>SUMIFS('Decade Metric'!$E:$E,'Decade Metric'!$A:$A,$A2,'Decade Metric'!$B:$B,H$1)</x:f>
        <x:v>0</x:v>
      </x:c>
      <x:c r="I2" s="22" t="n">
        <x:f>SUMIFS('Decade Metric'!$E:$E,'Decade Metric'!$A:$A,$A2,'Decade Metric'!$B:$B,I$1)</x:f>
        <x:v>0</x:v>
      </x:c>
      <x:c r="J2" s="22" t="n">
        <x:f>SUMIFS('Decade Metric'!$E:$E,'Decade Metric'!$A:$A,$A2,'Decade Metric'!$B:$B,J$1)</x:f>
        <x:v>0</x:v>
      </x:c>
      <x:c r="K2" s="22" t="n">
        <x:f>SUMIFS('Decade Metric'!$E:$E,'Decade Metric'!$A:$A,$A2,'Decade Metric'!$B:$B,K$1)</x:f>
        <x:v>0</x:v>
      </x:c>
      <x:c r="L2" s="22" t="n">
        <x:f>SUMIFS('Decade Metric'!$E:$E,'Decade Metric'!$A:$A,$A2,'Decade Metric'!$B:$B,L$1)</x:f>
        <x:v>0</x:v>
      </x:c>
      <x:c r="M2" s="22" t="n">
        <x:f>SUMIFS('Decade Metric'!$E:$E,'Decade Metric'!$A:$A,$A2,'Decade Metric'!$B:$B,M$1)</x:f>
        <x:v>0</x:v>
      </x:c>
      <x:c r="N2" s="22" t="n">
        <x:f>SUMIFS('Decade Metric'!$E:$E,'Decade Metric'!$A:$A,$A2,'Decade Metric'!$B:$B,N$1)</x:f>
        <x:v>0</x:v>
      </x:c>
      <x:c r="O2" s="22" t="n">
        <x:f>SUMIFS('Decade Metric'!$E:$E,'Decade Metric'!$A:$A,$A2,'Decade Metric'!$B:$B,O$1)</x:f>
        <x:v>0</x:v>
      </x:c>
      <x:c r="P2" s="22" t="n">
        <x:f>SUMIFS('Decade Metric'!$E:$E,'Decade Metric'!$A:$A,$A2,'Decade Metric'!$B:$B,P$1)</x:f>
        <x:v>0</x:v>
      </x:c>
      <x:c r="Q2" s="22" t="n">
        <x:f>SUMIFS('Decade Metric'!$E:$E,'Decade Metric'!$A:$A,$A2,'Decade Metric'!$B:$B,Q$1)</x:f>
        <x:v>0</x:v>
      </x:c>
      <x:c r="R2" s="22"/>
    </x:row>
    <x:row r="3">
      <x:c r="A3" s="16" t="n">
        <x:v>1870</x:v>
      </x:c>
      <x:c r="B3" s="22" t="n">
        <x:f>SUMIFS('Decade Metric'!$E:$E,'Decade Metric'!$A:$A,$A3,'Decade Metric'!$B:$B,B$1)</x:f>
        <x:v>0</x:v>
      </x:c>
      <x:c r="C3" s="22" t="n">
        <x:f>SUMIFS('Decade Metric'!$E:$E,'Decade Metric'!$A:$A,$A3,'Decade Metric'!$B:$B,C$1)</x:f>
        <x:v>0</x:v>
      </x:c>
      <x:c r="D3" s="22" t="n">
        <x:f>SUMIFS('Decade Metric'!$E:$E,'Decade Metric'!$A:$A,$A3,'Decade Metric'!$B:$B,D$1)</x:f>
        <x:v>0</x:v>
      </x:c>
      <x:c r="E3" s="22" t="n">
        <x:f>SUMIFS('Decade Metric'!$E:$E,'Decade Metric'!$A:$A,$A3,'Decade Metric'!$B:$B,E$1)</x:f>
        <x:v>0</x:v>
      </x:c>
      <x:c r="F3" s="22" t="n">
        <x:f>SUMIFS('Decade Metric'!$E:$E,'Decade Metric'!$A:$A,$A3,'Decade Metric'!$B:$B,F$1)</x:f>
        <x:v>0</x:v>
      </x:c>
      <x:c r="G3" s="22" t="n">
        <x:f>SUMIFS('Decade Metric'!$E:$E,'Decade Metric'!$A:$A,$A3,'Decade Metric'!$B:$B,G$1)</x:f>
        <x:v>1.2820019742830404</x:v>
      </x:c>
      <x:c r="H3" s="22" t="n">
        <x:f>SUMIFS('Decade Metric'!$E:$E,'Decade Metric'!$A:$A,$A3,'Decade Metric'!$B:$B,H$1)</x:f>
        <x:v>0</x:v>
      </x:c>
      <x:c r="I3" s="22" t="n">
        <x:f>SUMIFS('Decade Metric'!$E:$E,'Decade Metric'!$A:$A,$A3,'Decade Metric'!$B:$B,I$1)</x:f>
        <x:v>0</x:v>
      </x:c>
      <x:c r="J3" s="22" t="n">
        <x:f>SUMIFS('Decade Metric'!$E:$E,'Decade Metric'!$A:$A,$A3,'Decade Metric'!$B:$B,J$1)</x:f>
        <x:v>0</x:v>
      </x:c>
      <x:c r="K3" s="22" t="n">
        <x:f>SUMIFS('Decade Metric'!$E:$E,'Decade Metric'!$A:$A,$A3,'Decade Metric'!$B:$B,K$1)</x:f>
        <x:v>0</x:v>
      </x:c>
      <x:c r="L3" s="22" t="n">
        <x:f>SUMIFS('Decade Metric'!$E:$E,'Decade Metric'!$A:$A,$A3,'Decade Metric'!$B:$B,L$1)</x:f>
        <x:v>0</x:v>
      </x:c>
      <x:c r="M3" s="22" t="n">
        <x:f>SUMIFS('Decade Metric'!$E:$E,'Decade Metric'!$A:$A,$A3,'Decade Metric'!$B:$B,M$1)</x:f>
        <x:v>0</x:v>
      </x:c>
      <x:c r="N3" s="22" t="n">
        <x:f>SUMIFS('Decade Metric'!$E:$E,'Decade Metric'!$A:$A,$A3,'Decade Metric'!$B:$B,N$1)</x:f>
        <x:v>0</x:v>
      </x:c>
      <x:c r="O3" s="22" t="n">
        <x:f>SUMIFS('Decade Metric'!$E:$E,'Decade Metric'!$A:$A,$A3,'Decade Metric'!$B:$B,O$1)</x:f>
        <x:v>0</x:v>
      </x:c>
      <x:c r="P3" s="22" t="n">
        <x:f>SUMIFS('Decade Metric'!$E:$E,'Decade Metric'!$A:$A,$A3,'Decade Metric'!$B:$B,P$1)</x:f>
        <x:v>0</x:v>
      </x:c>
      <x:c r="Q3" s="22" t="n">
        <x:f>SUMIFS('Decade Metric'!$E:$E,'Decade Metric'!$A:$A,$A3,'Decade Metric'!$B:$B,Q$1)</x:f>
        <x:v>0</x:v>
      </x:c>
      <x:c r="R3" s="22"/>
    </x:row>
    <x:row r="4">
      <x:c r="A4" s="16" t="n">
        <x:v>1880</x:v>
      </x:c>
      <x:c r="B4" s="22" t="n">
        <x:f>SUMIFS('Decade Metric'!$E:$E,'Decade Metric'!$A:$A,$A4,'Decade Metric'!$B:$B,B$1)</x:f>
        <x:v>0</x:v>
      </x:c>
      <x:c r="C4" s="22" t="n">
        <x:f>SUMIFS('Decade Metric'!$E:$E,'Decade Metric'!$A:$A,$A4,'Decade Metric'!$B:$B,C$1)</x:f>
        <x:v>0</x:v>
      </x:c>
      <x:c r="D4" s="22" t="n">
        <x:f>SUMIFS('Decade Metric'!$E:$E,'Decade Metric'!$A:$A,$A4,'Decade Metric'!$B:$B,D$1)</x:f>
        <x:v>0</x:v>
      </x:c>
      <x:c r="E4" s="22" t="n">
        <x:f>SUMIFS('Decade Metric'!$E:$E,'Decade Metric'!$A:$A,$A4,'Decade Metric'!$B:$B,E$1)</x:f>
        <x:v>0</x:v>
      </x:c>
      <x:c r="F4" s="22" t="n">
        <x:f>SUMIFS('Decade Metric'!$E:$E,'Decade Metric'!$A:$A,$A4,'Decade Metric'!$B:$B,F$1)</x:f>
        <x:v>0</x:v>
      </x:c>
      <x:c r="G4" s="22" t="n">
        <x:f>SUMIFS('Decade Metric'!$E:$E,'Decade Metric'!$A:$A,$A4,'Decade Metric'!$B:$B,G$1)</x:f>
        <x:v>1.0609629299552275</x:v>
      </x:c>
      <x:c r="H4" s="22" t="n">
        <x:f>SUMIFS('Decade Metric'!$E:$E,'Decade Metric'!$A:$A,$A4,'Decade Metric'!$B:$B,H$1)</x:f>
        <x:v>0</x:v>
      </x:c>
      <x:c r="I4" s="22" t="n">
        <x:f>SUMIFS('Decade Metric'!$E:$E,'Decade Metric'!$A:$A,$A4,'Decade Metric'!$B:$B,I$1)</x:f>
        <x:v>0</x:v>
      </x:c>
      <x:c r="J4" s="22" t="n">
        <x:f>SUMIFS('Decade Metric'!$E:$E,'Decade Metric'!$A:$A,$A4,'Decade Metric'!$B:$B,J$1)</x:f>
        <x:v>0</x:v>
      </x:c>
      <x:c r="K4" s="22" t="n">
        <x:f>SUMIFS('Decade Metric'!$E:$E,'Decade Metric'!$A:$A,$A4,'Decade Metric'!$B:$B,K$1)</x:f>
        <x:v>0</x:v>
      </x:c>
      <x:c r="L4" s="22" t="n">
        <x:f>SUMIFS('Decade Metric'!$E:$E,'Decade Metric'!$A:$A,$A4,'Decade Metric'!$B:$B,L$1)</x:f>
        <x:v>0</x:v>
      </x:c>
      <x:c r="M4" s="22" t="n">
        <x:f>SUMIFS('Decade Metric'!$E:$E,'Decade Metric'!$A:$A,$A4,'Decade Metric'!$B:$B,M$1)</x:f>
        <x:v>0</x:v>
      </x:c>
      <x:c r="N4" s="22" t="n">
        <x:f>SUMIFS('Decade Metric'!$E:$E,'Decade Metric'!$A:$A,$A4,'Decade Metric'!$B:$B,N$1)</x:f>
        <x:v>0</x:v>
      </x:c>
      <x:c r="O4" s="22" t="n">
        <x:f>SUMIFS('Decade Metric'!$E:$E,'Decade Metric'!$A:$A,$A4,'Decade Metric'!$B:$B,O$1)</x:f>
        <x:v>0</x:v>
      </x:c>
      <x:c r="P4" s="22" t="n">
        <x:f>SUMIFS('Decade Metric'!$E:$E,'Decade Metric'!$A:$A,$A4,'Decade Metric'!$B:$B,P$1)</x:f>
        <x:v>0</x:v>
      </x:c>
      <x:c r="Q4" s="22" t="n">
        <x:f>SUMIFS('Decade Metric'!$E:$E,'Decade Metric'!$A:$A,$A4,'Decade Metric'!$B:$B,Q$1)</x:f>
        <x:v>0</x:v>
      </x:c>
      <x:c r="R4" s="22"/>
    </x:row>
    <x:row r="5">
      <x:c r="A5" s="16" t="n">
        <x:v>1890</x:v>
      </x:c>
      <x:c r="B5" s="22" t="n">
        <x:f>SUMIFS('Decade Metric'!$E:$E,'Decade Metric'!$A:$A,$A5,'Decade Metric'!$B:$B,B$1)</x:f>
        <x:v>10.256410256410255</x:v>
      </x:c>
      <x:c r="C5" s="22" t="n">
        <x:f>SUMIFS('Decade Metric'!$E:$E,'Decade Metric'!$A:$A,$A5,'Decade Metric'!$B:$B,C$1)</x:f>
        <x:v>0</x:v>
      </x:c>
      <x:c r="D5" s="22" t="n">
        <x:f>SUMIFS('Decade Metric'!$E:$E,'Decade Metric'!$A:$A,$A5,'Decade Metric'!$B:$B,D$1)</x:f>
        <x:v>0</x:v>
      </x:c>
      <x:c r="E5" s="22" t="n">
        <x:f>SUMIFS('Decade Metric'!$E:$E,'Decade Metric'!$A:$A,$A5,'Decade Metric'!$B:$B,E$1)</x:f>
        <x:v>0</x:v>
      </x:c>
      <x:c r="F5" s="22" t="n">
        <x:f>SUMIFS('Decade Metric'!$E:$E,'Decade Metric'!$A:$A,$A5,'Decade Metric'!$B:$B,F$1)</x:f>
        <x:v>0</x:v>
      </x:c>
      <x:c r="G5" s="22" t="n">
        <x:f>SUMIFS('Decade Metric'!$E:$E,'Decade Metric'!$A:$A,$A5,'Decade Metric'!$B:$B,G$1)</x:f>
        <x:v>0.7692011845698242</x:v>
      </x:c>
      <x:c r="H5" s="22" t="n">
        <x:f>SUMIFS('Decade Metric'!$E:$E,'Decade Metric'!$A:$A,$A5,'Decade Metric'!$B:$B,H$1)</x:f>
        <x:v>0</x:v>
      </x:c>
      <x:c r="I5" s="22" t="n">
        <x:f>SUMIFS('Decade Metric'!$E:$E,'Decade Metric'!$A:$A,$A5,'Decade Metric'!$B:$B,I$1)</x:f>
        <x:v>0</x:v>
      </x:c>
      <x:c r="J5" s="22" t="n">
        <x:f>SUMIFS('Decade Metric'!$E:$E,'Decade Metric'!$A:$A,$A5,'Decade Metric'!$B:$B,J$1)</x:f>
        <x:v>0</x:v>
      </x:c>
      <x:c r="K5" s="22" t="n">
        <x:f>SUMIFS('Decade Metric'!$E:$E,'Decade Metric'!$A:$A,$A5,'Decade Metric'!$B:$B,K$1)</x:f>
        <x:v>0</x:v>
      </x:c>
      <x:c r="L5" s="22" t="n">
        <x:f>SUMIFS('Decade Metric'!$E:$E,'Decade Metric'!$A:$A,$A5,'Decade Metric'!$B:$B,L$1)</x:f>
        <x:v>1.6409583196586806</x:v>
      </x:c>
      <x:c r="M5" s="22" t="n">
        <x:f>SUMIFS('Decade Metric'!$E:$E,'Decade Metric'!$A:$A,$A5,'Decade Metric'!$B:$B,M$1)</x:f>
        <x:v>0</x:v>
      </x:c>
      <x:c r="N5" s="22" t="n">
        <x:f>SUMIFS('Decade Metric'!$E:$E,'Decade Metric'!$A:$A,$A5,'Decade Metric'!$B:$B,N$1)</x:f>
        <x:v>0</x:v>
      </x:c>
      <x:c r="O5" s="22" t="n">
        <x:f>SUMIFS('Decade Metric'!$E:$E,'Decade Metric'!$A:$A,$A5,'Decade Metric'!$B:$B,O$1)</x:f>
        <x:v>0</x:v>
      </x:c>
      <x:c r="P5" s="22" t="n">
        <x:f>SUMIFS('Decade Metric'!$E:$E,'Decade Metric'!$A:$A,$A5,'Decade Metric'!$B:$B,P$1)</x:f>
        <x:v>0</x:v>
      </x:c>
      <x:c r="Q5" s="22" t="n">
        <x:f>SUMIFS('Decade Metric'!$E:$E,'Decade Metric'!$A:$A,$A5,'Decade Metric'!$B:$B,Q$1)</x:f>
        <x:v>0</x:v>
      </x:c>
      <x:c r="R5" s="22"/>
    </x:row>
    <x:row r="6">
      <x:c r="A6" s="16" t="n">
        <x:v>1900</x:v>
      </x:c>
      <x:c r="B6" s="22" t="n">
        <x:f>SUMIFS('Decade Metric'!$E:$E,'Decade Metric'!$A:$A,$A6,'Decade Metric'!$B:$B,B$1)</x:f>
        <x:v>7.579202667879339</x:v>
      </x:c>
      <x:c r="C6" s="22" t="n">
        <x:f>SUMIFS('Decade Metric'!$E:$E,'Decade Metric'!$A:$A,$A6,'Decade Metric'!$B:$B,C$1)</x:f>
        <x:v>0</x:v>
      </x:c>
      <x:c r="D6" s="22" t="n">
        <x:f>SUMIFS('Decade Metric'!$E:$E,'Decade Metric'!$A:$A,$A6,'Decade Metric'!$B:$B,D$1)</x:f>
        <x:v>0</x:v>
      </x:c>
      <x:c r="E6" s="22" t="n">
        <x:f>SUMIFS('Decade Metric'!$E:$E,'Decade Metric'!$A:$A,$A6,'Decade Metric'!$B:$B,E$1)</x:f>
        <x:v>0</x:v>
      </x:c>
      <x:c r="F6" s="22" t="n">
        <x:f>SUMIFS('Decade Metric'!$E:$E,'Decade Metric'!$A:$A,$A6,'Decade Metric'!$B:$B,F$1)</x:f>
        <x:v>0</x:v>
      </x:c>
      <x:c r="G6" s="22" t="n">
        <x:f>SUMIFS('Decade Metric'!$E:$E,'Decade Metric'!$A:$A,$A6,'Decade Metric'!$B:$B,G$1)</x:f>
        <x:v>0.5684272754143834</x:v>
      </x:c>
      <x:c r="H6" s="22" t="n">
        <x:f>SUMIFS('Decade Metric'!$E:$E,'Decade Metric'!$A:$A,$A6,'Decade Metric'!$B:$B,H$1)</x:f>
        <x:v>0</x:v>
      </x:c>
      <x:c r="I6" s="22" t="n">
        <x:f>SUMIFS('Decade Metric'!$E:$E,'Decade Metric'!$A:$A,$A6,'Decade Metric'!$B:$B,I$1)</x:f>
        <x:v>0</x:v>
      </x:c>
      <x:c r="J6" s="22" t="n">
        <x:f>SUMIFS('Decade Metric'!$E:$E,'Decade Metric'!$A:$A,$A6,'Decade Metric'!$B:$B,J$1)</x:f>
        <x:v>0</x:v>
      </x:c>
      <x:c r="K6" s="22" t="n">
        <x:f>SUMIFS('Decade Metric'!$E:$E,'Decade Metric'!$A:$A,$A6,'Decade Metric'!$B:$B,K$1)</x:f>
        <x:v>0</x:v>
      </x:c>
      <x:c r="L6" s="22" t="n">
        <x:f>SUMIFS('Decade Metric'!$E:$E,'Decade Metric'!$A:$A,$A6,'Decade Metric'!$B:$B,L$1)</x:f>
        <x:v>1.212650368645712</x:v>
      </x:c>
      <x:c r="M6" s="22" t="n">
        <x:f>SUMIFS('Decade Metric'!$E:$E,'Decade Metric'!$A:$A,$A6,'Decade Metric'!$B:$B,M$1)</x:f>
        <x:v>0</x:v>
      </x:c>
      <x:c r="N6" s="22" t="n">
        <x:f>SUMIFS('Decade Metric'!$E:$E,'Decade Metric'!$A:$A,$A6,'Decade Metric'!$B:$B,N$1)</x:f>
        <x:v>0</x:v>
      </x:c>
      <x:c r="O6" s="22" t="n">
        <x:f>SUMIFS('Decade Metric'!$E:$E,'Decade Metric'!$A:$A,$A6,'Decade Metric'!$B:$B,O$1)</x:f>
        <x:v>0</x:v>
      </x:c>
      <x:c r="P6" s="22" t="n">
        <x:f>SUMIFS('Decade Metric'!$E:$E,'Decade Metric'!$A:$A,$A6,'Decade Metric'!$B:$B,P$1)</x:f>
        <x:v>0</x:v>
      </x:c>
      <x:c r="Q6" s="22" t="n">
        <x:f>SUMIFS('Decade Metric'!$E:$E,'Decade Metric'!$A:$A,$A6,'Decade Metric'!$B:$B,Q$1)</x:f>
        <x:v>0</x:v>
      </x:c>
      <x:c r="R6" s="22"/>
    </x:row>
    <x:row r="7">
      <x:c r="A7" s="16" t="n">
        <x:v>1910</x:v>
      </x:c>
      <x:c r="B7" s="22" t="n">
        <x:f>SUMIFS('Decade Metric'!$E:$E,'Decade Metric'!$A:$A,$A7,'Decade Metric'!$B:$B,B$1)</x:f>
        <x:v>4.958841614598829</x:v>
      </x:c>
      <x:c r="C7" s="22" t="n">
        <x:f>SUMIFS('Decade Metric'!$E:$E,'Decade Metric'!$A:$A,$A7,'Decade Metric'!$B:$B,C$1)</x:f>
        <x:v>0</x:v>
      </x:c>
      <x:c r="D7" s="22" t="n">
        <x:f>SUMIFS('Decade Metric'!$E:$E,'Decade Metric'!$A:$A,$A7,'Decade Metric'!$B:$B,D$1)</x:f>
        <x:v>0</x:v>
      </x:c>
      <x:c r="E7" s="22" t="n">
        <x:f>SUMIFS('Decade Metric'!$E:$E,'Decade Metric'!$A:$A,$A7,'Decade Metric'!$B:$B,E$1)</x:f>
        <x:v>0</x:v>
      </x:c>
      <x:c r="F7" s="22" t="n">
        <x:f>SUMIFS('Decade Metric'!$E:$E,'Decade Metric'!$A:$A,$A7,'Decade Metric'!$B:$B,F$1)</x:f>
        <x:v>0</x:v>
      </x:c>
      <x:c r="G7" s="22" t="n">
        <x:f>SUMIFS('Decade Metric'!$E:$E,'Decade Metric'!$A:$A,$A7,'Decade Metric'!$B:$B,G$1)</x:f>
        <x:v>1.0299774949917344</x:v>
      </x:c>
      <x:c r="H7" s="22" t="n">
        <x:f>SUMIFS('Decade Metric'!$E:$E,'Decade Metric'!$A:$A,$A7,'Decade Metric'!$B:$B,H$1)</x:f>
        <x:v>0</x:v>
      </x:c>
      <x:c r="I7" s="22" t="n">
        <x:f>SUMIFS('Decade Metric'!$E:$E,'Decade Metric'!$A:$A,$A7,'Decade Metric'!$B:$B,I$1)</x:f>
        <x:v>0</x:v>
      </x:c>
      <x:c r="J7" s="22" t="n">
        <x:f>SUMIFS('Decade Metric'!$E:$E,'Decade Metric'!$A:$A,$A7,'Decade Metric'!$B:$B,J$1)</x:f>
        <x:v>0</x:v>
      </x:c>
      <x:c r="K7" s="22" t="n">
        <x:f>SUMIFS('Decade Metric'!$E:$E,'Decade Metric'!$A:$A,$A7,'Decade Metric'!$B:$B,K$1)</x:f>
        <x:v>0</x:v>
      </x:c>
      <x:c r="L7" s="22" t="n">
        <x:f>SUMIFS('Decade Metric'!$E:$E,'Decade Metric'!$A:$A,$A7,'Decade Metric'!$B:$B,L$1)</x:f>
        <x:v>0.9076551636502261</x:v>
      </x:c>
      <x:c r="M7" s="22" t="n">
        <x:f>SUMIFS('Decade Metric'!$E:$E,'Decade Metric'!$A:$A,$A7,'Decade Metric'!$B:$B,M$1)</x:f>
        <x:v>0</x:v>
      </x:c>
      <x:c r="N7" s="22" t="n">
        <x:f>SUMIFS('Decade Metric'!$E:$E,'Decade Metric'!$A:$A,$A7,'Decade Metric'!$B:$B,N$1)</x:f>
        <x:v>0</x:v>
      </x:c>
      <x:c r="O7" s="22" t="n">
        <x:f>SUMIFS('Decade Metric'!$E:$E,'Decade Metric'!$A:$A,$A7,'Decade Metric'!$B:$B,O$1)</x:f>
        <x:v>0</x:v>
      </x:c>
      <x:c r="P7" s="22" t="n">
        <x:f>SUMIFS('Decade Metric'!$E:$E,'Decade Metric'!$A:$A,$A7,'Decade Metric'!$B:$B,P$1)</x:f>
        <x:v>0</x:v>
      </x:c>
      <x:c r="Q7" s="22" t="n">
        <x:f>SUMIFS('Decade Metric'!$E:$E,'Decade Metric'!$A:$A,$A7,'Decade Metric'!$B:$B,Q$1)</x:f>
        <x:v>0</x:v>
      </x:c>
      <x:c r="R7" s="22"/>
    </x:row>
    <x:row r="8">
      <x:c r="A8" s="16" t="n">
        <x:v>1920</x:v>
      </x:c>
      <x:c r="B8" s="22" t="n">
        <x:f>SUMIFS('Decade Metric'!$E:$E,'Decade Metric'!$A:$A,$A8,'Decade Metric'!$B:$B,B$1)</x:f>
        <x:v>3.773869726017058</x:v>
      </x:c>
      <x:c r="C8" s="22" t="n">
        <x:f>SUMIFS('Decade Metric'!$E:$E,'Decade Metric'!$A:$A,$A8,'Decade Metric'!$B:$B,C$1)</x:f>
        <x:v>0</x:v>
      </x:c>
      <x:c r="D8" s="22" t="n">
        <x:f>SUMIFS('Decade Metric'!$E:$E,'Decade Metric'!$A:$A,$A8,'Decade Metric'!$B:$B,D$1)</x:f>
        <x:v>0</x:v>
      </x:c>
      <x:c r="E8" s="22" t="n">
        <x:f>SUMIFS('Decade Metric'!$E:$E,'Decade Metric'!$A:$A,$A8,'Decade Metric'!$B:$B,E$1)</x:f>
        <x:v>0</x:v>
      </x:c>
      <x:c r="F8" s="22" t="n">
        <x:f>SUMIFS('Decade Metric'!$E:$E,'Decade Metric'!$A:$A,$A8,'Decade Metric'!$B:$B,F$1)</x:f>
        <x:v>0</x:v>
      </x:c>
      <x:c r="G8" s="22" t="n">
        <x:f>SUMIFS('Decade Metric'!$E:$E,'Decade Metric'!$A:$A,$A8,'Decade Metric'!$B:$B,G$1)</x:f>
        <x:v>0.8830606883458065</x:v>
      </x:c>
      <x:c r="H8" s="22" t="n">
        <x:f>SUMIFS('Decade Metric'!$E:$E,'Decade Metric'!$A:$A,$A8,'Decade Metric'!$B:$B,H$1)</x:f>
        <x:v>0</x:v>
      </x:c>
      <x:c r="I8" s="22" t="n">
        <x:f>SUMIFS('Decade Metric'!$E:$E,'Decade Metric'!$A:$A,$A8,'Decade Metric'!$B:$B,I$1)</x:f>
        <x:v>0</x:v>
      </x:c>
      <x:c r="J8" s="22" t="n">
        <x:f>SUMIFS('Decade Metric'!$E:$E,'Decade Metric'!$A:$A,$A8,'Decade Metric'!$B:$B,J$1)</x:f>
        <x:v>0</x:v>
      </x:c>
      <x:c r="K8" s="22" t="n">
        <x:f>SUMIFS('Decade Metric'!$E:$E,'Decade Metric'!$A:$A,$A8,'Decade Metric'!$B:$B,K$1)</x:f>
        <x:v>0</x:v>
      </x:c>
      <x:c r="L8" s="22" t="n">
        <x:f>SUMIFS('Decade Metric'!$E:$E,'Decade Metric'!$A:$A,$A8,'Decade Metric'!$B:$B,L$1)</x:f>
        <x:v>0.721074111997231</x:v>
      </x:c>
      <x:c r="M8" s="22" t="n">
        <x:f>SUMIFS('Decade Metric'!$E:$E,'Decade Metric'!$A:$A,$A8,'Decade Metric'!$B:$B,M$1)</x:f>
        <x:v>0</x:v>
      </x:c>
      <x:c r="N8" s="22" t="n">
        <x:f>SUMIFS('Decade Metric'!$E:$E,'Decade Metric'!$A:$A,$A8,'Decade Metric'!$B:$B,N$1)</x:f>
        <x:v>0</x:v>
      </x:c>
      <x:c r="O8" s="22" t="n">
        <x:f>SUMIFS('Decade Metric'!$E:$E,'Decade Metric'!$A:$A,$A8,'Decade Metric'!$B:$B,O$1)</x:f>
        <x:v>0</x:v>
      </x:c>
      <x:c r="P8" s="22" t="n">
        <x:f>SUMIFS('Decade Metric'!$E:$E,'Decade Metric'!$A:$A,$A8,'Decade Metric'!$B:$B,P$1)</x:f>
        <x:v>0</x:v>
      </x:c>
      <x:c r="Q8" s="22" t="n">
        <x:f>SUMIFS('Decade Metric'!$E:$E,'Decade Metric'!$A:$A,$A8,'Decade Metric'!$B:$B,Q$1)</x:f>
        <x:v>0</x:v>
      </x:c>
      <x:c r="R8" s="22"/>
    </x:row>
    <x:row r="9">
      <x:c r="A9" s="16" t="n">
        <x:v>1930</x:v>
      </x:c>
      <x:c r="B9" s="22" t="n">
        <x:f>SUMIFS('Decade Metric'!$E:$E,'Decade Metric'!$A:$A,$A9,'Decade Metric'!$B:$B,B$1)</x:f>
        <x:v>2.72086632383751</x:v>
      </x:c>
      <x:c r="C9" s="22" t="n">
        <x:f>SUMIFS('Decade Metric'!$E:$E,'Decade Metric'!$A:$A,$A9,'Decade Metric'!$B:$B,C$1)</x:f>
        <x:v>0</x:v>
      </x:c>
      <x:c r="D9" s="22" t="n">
        <x:f>SUMIFS('Decade Metric'!$E:$E,'Decade Metric'!$A:$A,$A9,'Decade Metric'!$B:$B,D$1)</x:f>
        <x:v>0</x:v>
      </x:c>
      <x:c r="E9" s="22" t="n">
        <x:f>SUMIFS('Decade Metric'!$E:$E,'Decade Metric'!$A:$A,$A9,'Decade Metric'!$B:$B,E$1)</x:f>
        <x:v>0</x:v>
      </x:c>
      <x:c r="F9" s="22" t="n">
        <x:f>SUMIFS('Decade Metric'!$E:$E,'Decade Metric'!$A:$A,$A9,'Decade Metric'!$B:$B,F$1)</x:f>
        <x:v>0</x:v>
      </x:c>
      <x:c r="G9" s="22" t="n">
        <x:f>SUMIFS('Decade Metric'!$E:$E,'Decade Metric'!$A:$A,$A9,'Decade Metric'!$B:$B,G$1)</x:f>
        <x:v>0.6775894079223754</x:v>
      </x:c>
      <x:c r="H9" s="22" t="n">
        <x:f>SUMIFS('Decade Metric'!$E:$E,'Decade Metric'!$A:$A,$A9,'Decade Metric'!$B:$B,H$1)</x:f>
        <x:v>0</x:v>
      </x:c>
      <x:c r="I9" s="22" t="n">
        <x:f>SUMIFS('Decade Metric'!$E:$E,'Decade Metric'!$A:$A,$A9,'Decade Metric'!$B:$B,I$1)</x:f>
        <x:v>0</x:v>
      </x:c>
      <x:c r="J9" s="22" t="n">
        <x:f>SUMIFS('Decade Metric'!$E:$E,'Decade Metric'!$A:$A,$A9,'Decade Metric'!$B:$B,J$1)</x:f>
        <x:v>0</x:v>
      </x:c>
      <x:c r="K9" s="22" t="n">
        <x:f>SUMIFS('Decade Metric'!$E:$E,'Decade Metric'!$A:$A,$A9,'Decade Metric'!$B:$B,K$1)</x:f>
        <x:v>0</x:v>
      </x:c>
      <x:c r="L9" s="22" t="n">
        <x:f>SUMIFS('Decade Metric'!$E:$E,'Decade Metric'!$A:$A,$A9,'Decade Metric'!$B:$B,L$1)</x:f>
        <x:v>0.5309941272049532</x:v>
      </x:c>
      <x:c r="M9" s="22" t="n">
        <x:f>SUMIFS('Decade Metric'!$E:$E,'Decade Metric'!$A:$A,$A9,'Decade Metric'!$B:$B,M$1)</x:f>
        <x:v>0</x:v>
      </x:c>
      <x:c r="N9" s="22" t="n">
        <x:f>SUMIFS('Decade Metric'!$E:$E,'Decade Metric'!$A:$A,$A9,'Decade Metric'!$B:$B,N$1)</x:f>
        <x:v>0</x:v>
      </x:c>
      <x:c r="O9" s="22" t="n">
        <x:f>SUMIFS('Decade Metric'!$E:$E,'Decade Metric'!$A:$A,$A9,'Decade Metric'!$B:$B,O$1)</x:f>
        <x:v>0</x:v>
      </x:c>
      <x:c r="P9" s="22" t="n">
        <x:f>SUMIFS('Decade Metric'!$E:$E,'Decade Metric'!$A:$A,$A9,'Decade Metric'!$B:$B,P$1)</x:f>
        <x:v>0</x:v>
      </x:c>
      <x:c r="Q9" s="22" t="n">
        <x:f>SUMIFS('Decade Metric'!$E:$E,'Decade Metric'!$A:$A,$A9,'Decade Metric'!$B:$B,Q$1)</x:f>
        <x:v>0</x:v>
      </x:c>
      <x:c r="R9" s="22"/>
    </x:row>
    <x:row r="10">
      <x:c r="A10" s="16" t="n">
        <x:v>1940</x:v>
      </x:c>
      <x:c r="B10" s="22" t="n">
        <x:f>SUMIFS('Decade Metric'!$E:$E,'Decade Metric'!$A:$A,$A10,'Decade Metric'!$B:$B,B$1)</x:f>
        <x:v>1.8789222501972869</x:v>
      </x:c>
      <x:c r="C10" s="22" t="n">
        <x:f>SUMIFS('Decade Metric'!$E:$E,'Decade Metric'!$A:$A,$A10,'Decade Metric'!$B:$B,C$1)</x:f>
        <x:v>0</x:v>
      </x:c>
      <x:c r="D10" s="22" t="n">
        <x:f>SUMIFS('Decade Metric'!$E:$E,'Decade Metric'!$A:$A,$A10,'Decade Metric'!$B:$B,D$1)</x:f>
        <x:v>0</x:v>
      </x:c>
      <x:c r="E10" s="22" t="n">
        <x:f>SUMIFS('Decade Metric'!$E:$E,'Decade Metric'!$A:$A,$A10,'Decade Metric'!$B:$B,E$1)</x:f>
        <x:v>0</x:v>
      </x:c>
      <x:c r="F10" s="22" t="n">
        <x:f>SUMIFS('Decade Metric'!$E:$E,'Decade Metric'!$A:$A,$A10,'Decade Metric'!$B:$B,F$1)</x:f>
        <x:v>0</x:v>
      </x:c>
      <x:c r="G10" s="22" t="n">
        <x:f>SUMIFS('Decade Metric'!$E:$E,'Decade Metric'!$A:$A,$A10,'Decade Metric'!$B:$B,G$1)</x:f>
        <x:v>0.4862169645961117</x:v>
      </x:c>
      <x:c r="H10" s="22" t="n">
        <x:f>SUMIFS('Decade Metric'!$E:$E,'Decade Metric'!$A:$A,$A10,'Decade Metric'!$B:$B,H$1)</x:f>
        <x:v>0</x:v>
      </x:c>
      <x:c r="I10" s="22" t="n">
        <x:f>SUMIFS('Decade Metric'!$E:$E,'Decade Metric'!$A:$A,$A10,'Decade Metric'!$B:$B,I$1)</x:f>
        <x:v>0</x:v>
      </x:c>
      <x:c r="J10" s="22" t="n">
        <x:f>SUMIFS('Decade Metric'!$E:$E,'Decade Metric'!$A:$A,$A10,'Decade Metric'!$B:$B,J$1)</x:f>
        <x:v>0</x:v>
      </x:c>
      <x:c r="K10" s="22" t="n">
        <x:f>SUMIFS('Decade Metric'!$E:$E,'Decade Metric'!$A:$A,$A10,'Decade Metric'!$B:$B,K$1)</x:f>
        <x:v>0</x:v>
      </x:c>
      <x:c r="L10" s="22" t="n">
        <x:f>SUMIFS('Decade Metric'!$E:$E,'Decade Metric'!$A:$A,$A10,'Decade Metric'!$B:$B,L$1)</x:f>
        <x:v>0.3713358435636358</x:v>
      </x:c>
      <x:c r="M10" s="22" t="n">
        <x:f>SUMIFS('Decade Metric'!$E:$E,'Decade Metric'!$A:$A,$A10,'Decade Metric'!$B:$B,M$1)</x:f>
        <x:v>0</x:v>
      </x:c>
      <x:c r="N10" s="22" t="n">
        <x:f>SUMIFS('Decade Metric'!$E:$E,'Decade Metric'!$A:$A,$A10,'Decade Metric'!$B:$B,N$1)</x:f>
        <x:v>0</x:v>
      </x:c>
      <x:c r="O10" s="22" t="n">
        <x:f>SUMIFS('Decade Metric'!$E:$E,'Decade Metric'!$A:$A,$A10,'Decade Metric'!$B:$B,O$1)</x:f>
        <x:v>5.266761468373097</x:v>
      </x:c>
      <x:c r="P10" s="22" t="n">
        <x:f>SUMIFS('Decade Metric'!$E:$E,'Decade Metric'!$A:$A,$A10,'Decade Metric'!$B:$B,P$1)</x:f>
        <x:v>0</x:v>
      </x:c>
      <x:c r="Q10" s="22" t="n">
        <x:f>SUMIFS('Decade Metric'!$E:$E,'Decade Metric'!$A:$A,$A10,'Decade Metric'!$B:$B,Q$1)</x:f>
        <x:v>0</x:v>
      </x:c>
      <x:c r="R10" s="22"/>
    </x:row>
    <x:row r="11">
      <x:c r="A11" s="16" t="n">
        <x:v>1950</x:v>
      </x:c>
      <x:c r="B11" s="22" t="n">
        <x:f>SUMIFS('Decade Metric'!$E:$E,'Decade Metric'!$A:$A,$A11,'Decade Metric'!$B:$B,B$1)</x:f>
        <x:v>1.0732377436249678</x:v>
      </x:c>
      <x:c r="C11" s="22" t="n">
        <x:f>SUMIFS('Decade Metric'!$E:$E,'Decade Metric'!$A:$A,$A11,'Decade Metric'!$B:$B,C$1)</x:f>
        <x:v>0</x:v>
      </x:c>
      <x:c r="D11" s="22" t="n">
        <x:f>SUMIFS('Decade Metric'!$E:$E,'Decade Metric'!$A:$A,$A11,'Decade Metric'!$B:$B,D$1)</x:f>
        <x:v>0</x:v>
      </x:c>
      <x:c r="E11" s="22" t="n">
        <x:f>SUMIFS('Decade Metric'!$E:$E,'Decade Metric'!$A:$A,$A11,'Decade Metric'!$B:$B,E$1)</x:f>
        <x:v>1.4284693950432112</x:v>
      </x:c>
      <x:c r="F11" s="22" t="n">
        <x:f>SUMIFS('Decade Metric'!$E:$E,'Decade Metric'!$A:$A,$A11,'Decade Metric'!$B:$B,F$1)</x:f>
        <x:v>0</x:v>
      </x:c>
      <x:c r="G11" s="22" t="n">
        <x:f>SUMIFS('Decade Metric'!$E:$E,'Decade Metric'!$A:$A,$A11,'Decade Metric'!$B:$B,G$1)</x:f>
        <x:v>0.4275727408125307</x:v>
      </x:c>
      <x:c r="H11" s="22" t="n">
        <x:f>SUMIFS('Decade Metric'!$E:$E,'Decade Metric'!$A:$A,$A11,'Decade Metric'!$B:$B,H$1)</x:f>
        <x:v>0.48820258454448257</x:v>
      </x:c>
      <x:c r="I11" s="22" t="n">
        <x:f>SUMIFS('Decade Metric'!$E:$E,'Decade Metric'!$A:$A,$A11,'Decade Metric'!$B:$B,I$1)</x:f>
        <x:v>0</x:v>
      </x:c>
      <x:c r="J11" s="22" t="n">
        <x:f>SUMIFS('Decade Metric'!$E:$E,'Decade Metric'!$A:$A,$A11,'Decade Metric'!$B:$B,J$1)</x:f>
        <x:v>0</x:v>
      </x:c>
      <x:c r="K11" s="22" t="n">
        <x:f>SUMIFS('Decade Metric'!$E:$E,'Decade Metric'!$A:$A,$A11,'Decade Metric'!$B:$B,K$1)</x:f>
        <x:v>0</x:v>
      </x:c>
      <x:c r="L11" s="22" t="n">
        <x:f>SUMIFS('Decade Metric'!$E:$E,'Decade Metric'!$A:$A,$A11,'Decade Metric'!$B:$B,L$1)</x:f>
        <x:v>0.4277772905869746</x:v>
      </x:c>
      <x:c r="M11" s="22" t="n">
        <x:f>SUMIFS('Decade Metric'!$E:$E,'Decade Metric'!$A:$A,$A11,'Decade Metric'!$B:$B,M$1)</x:f>
        <x:v>0</x:v>
      </x:c>
      <x:c r="N11" s="22" t="n">
        <x:f>SUMIFS('Decade Metric'!$E:$E,'Decade Metric'!$A:$A,$A11,'Decade Metric'!$B:$B,N$1)</x:f>
        <x:v>0</x:v>
      </x:c>
      <x:c r="O11" s="22" t="n">
        <x:f>SUMIFS('Decade Metric'!$E:$E,'Decade Metric'!$A:$A,$A11,'Decade Metric'!$B:$B,O$1)</x:f>
        <x:v>12.207403790398876</x:v>
      </x:c>
      <x:c r="P11" s="22" t="n">
        <x:f>SUMIFS('Decade Metric'!$E:$E,'Decade Metric'!$A:$A,$A11,'Decade Metric'!$B:$B,P$1)</x:f>
        <x:v>0</x:v>
      </x:c>
      <x:c r="Q11" s="22" t="n">
        <x:f>SUMIFS('Decade Metric'!$E:$E,'Decade Metric'!$A:$A,$A11,'Decade Metric'!$B:$B,Q$1)</x:f>
        <x:v>0</x:v>
      </x:c>
      <x:c r="R11" s="22"/>
    </x:row>
    <x:row r="12">
      <x:c r="A12" s="16" t="n">
        <x:v>1960</x:v>
      </x:c>
      <x:c r="B12" s="22" t="n">
        <x:f>SUMIFS('Decade Metric'!$E:$E,'Decade Metric'!$A:$A,$A12,'Decade Metric'!$B:$B,B$1)</x:f>
        <x:v>0.45452272840903407</x:v>
      </x:c>
      <x:c r="C12" s="22" t="n">
        <x:f>SUMIFS('Decade Metric'!$E:$E,'Decade Metric'!$A:$A,$A12,'Decade Metric'!$B:$B,C$1)</x:f>
        <x:v>0.5394848998176541</x:v>
      </x:c>
      <x:c r="D12" s="22" t="n">
        <x:f>SUMIFS('Decade Metric'!$E:$E,'Decade Metric'!$A:$A,$A12,'Decade Metric'!$B:$B,D$1)</x:f>
        <x:v>0</x:v>
      </x:c>
      <x:c r="E12" s="22" t="n">
        <x:f>SUMIFS('Decade Metric'!$E:$E,'Decade Metric'!$A:$A,$A12,'Decade Metric'!$B:$B,E$1)</x:f>
        <x:v>0.588890001236669</x:v>
      </x:c>
      <x:c r="F12" s="22" t="n">
        <x:f>SUMIFS('Decade Metric'!$E:$E,'Decade Metric'!$A:$A,$A12,'Decade Metric'!$B:$B,F$1)</x:f>
        <x:v>0</x:v>
      </x:c>
      <x:c r="G12" s="22" t="n">
        <x:f>SUMIFS('Decade Metric'!$E:$E,'Decade Metric'!$A:$A,$A12,'Decade Metric'!$B:$B,G$1)</x:f>
        <x:v>0.3373914021424354</x:v>
      </x:c>
      <x:c r="H12" s="22" t="n">
        <x:f>SUMIFS('Decade Metric'!$E:$E,'Decade Metric'!$A:$A,$A12,'Decade Metric'!$B:$B,H$1)</x:f>
        <x:v>0.34531579129113577</x:v>
      </x:c>
      <x:c r="I12" s="22" t="n">
        <x:f>SUMIFS('Decade Metric'!$E:$E,'Decade Metric'!$A:$A,$A12,'Decade Metric'!$B:$B,I$1)</x:f>
        <x:v>0</x:v>
      </x:c>
      <x:c r="J12" s="22" t="n">
        <x:f>SUMIFS('Decade Metric'!$E:$E,'Decade Metric'!$A:$A,$A12,'Decade Metric'!$B:$B,J$1)</x:f>
        <x:v>0</x:v>
      </x:c>
      <x:c r="K12" s="22" t="n">
        <x:f>SUMIFS('Decade Metric'!$E:$E,'Decade Metric'!$A:$A,$A12,'Decade Metric'!$B:$B,K$1)</x:f>
        <x:v>0</x:v>
      </x:c>
      <x:c r="L12" s="22" t="n">
        <x:f>SUMIFS('Decade Metric'!$E:$E,'Decade Metric'!$A:$A,$A12,'Decade Metric'!$B:$B,L$1)</x:f>
        <x:v>0.3375533123262655</x:v>
      </x:c>
      <x:c r="M12" s="22" t="n">
        <x:f>SUMIFS('Decade Metric'!$E:$E,'Decade Metric'!$A:$A,$A12,'Decade Metric'!$B:$B,M$1)</x:f>
        <x:v>0</x:v>
      </x:c>
      <x:c r="N12" s="22" t="n">
        <x:f>SUMIFS('Decade Metric'!$E:$E,'Decade Metric'!$A:$A,$A12,'Decade Metric'!$B:$B,N$1)</x:f>
        <x:v>0</x:v>
      </x:c>
      <x:c r="O12" s="22" t="n">
        <x:f>SUMIFS('Decade Metric'!$E:$E,'Decade Metric'!$A:$A,$A12,'Decade Metric'!$B:$B,O$1)</x:f>
        <x:v>6.5364817387041425</x:v>
      </x:c>
      <x:c r="P12" s="22" t="n">
        <x:f>SUMIFS('Decade Metric'!$E:$E,'Decade Metric'!$A:$A,$A12,'Decade Metric'!$B:$B,P$1)</x:f>
        <x:v>0</x:v>
      </x:c>
      <x:c r="Q12" s="22" t="n">
        <x:f>SUMIFS('Decade Metric'!$E:$E,'Decade Metric'!$A:$A,$A12,'Decade Metric'!$B:$B,Q$1)</x:f>
        <x:v>0</x:v>
      </x:c>
      <x:c r="R12" s="22"/>
    </x:row>
    <x:row r="13">
      <x:c r="A13" s="16" t="n">
        <x:v>1970</x:v>
      </x:c>
      <x:c r="B13" s="22" t="n">
        <x:f>SUMIFS('Decade Metric'!$E:$E,'Decade Metric'!$A:$A,$A13,'Decade Metric'!$B:$B,B$1)</x:f>
        <x:v>0.4379156092829351</x:v>
      </x:c>
      <x:c r="C13" s="22" t="n">
        <x:f>SUMIFS('Decade Metric'!$E:$E,'Decade Metric'!$A:$A,$A13,'Decade Metric'!$B:$B,C$1)</x:f>
        <x:v>0.37414367865547726</x:v>
      </x:c>
      <x:c r="D13" s="22" t="n">
        <x:f>SUMIFS('Decade Metric'!$E:$E,'Decade Metric'!$A:$A,$A13,'Decade Metric'!$B:$B,D$1)</x:f>
        <x:v>0.3282164390485662</x:v>
      </x:c>
      <x:c r="E13" s="22" t="n">
        <x:f>SUMIFS('Decade Metric'!$E:$E,'Decade Metric'!$A:$A,$A13,'Decade Metric'!$B:$B,E$1)</x:f>
        <x:v>0.8837930038945812</x:v>
      </x:c>
      <x:c r="F13" s="22" t="n">
        <x:f>SUMIFS('Decade Metric'!$E:$E,'Decade Metric'!$A:$A,$A13,'Decade Metric'!$B:$B,F$1)</x:f>
        <x:v>0</x:v>
      </x:c>
      <x:c r="G13" s="22" t="n">
        <x:f>SUMIFS('Decade Metric'!$E:$E,'Decade Metric'!$A:$A,$A13,'Decade Metric'!$B:$B,G$1)</x:f>
        <x:v>0.43887848990689193</x:v>
      </x:c>
      <x:c r="H13" s="22" t="n">
        <x:f>SUMIFS('Decade Metric'!$E:$E,'Decade Metric'!$A:$A,$A13,'Decade Metric'!$B:$B,H$1)</x:f>
        <x:v>0.25292827712845467</x:v>
      </x:c>
      <x:c r="I13" s="22" t="n">
        <x:f>SUMIFS('Decade Metric'!$E:$E,'Decade Metric'!$A:$A,$A13,'Decade Metric'!$B:$B,I$1)</x:f>
        <x:v>0.209498230787441</x:v>
      </x:c>
      <x:c r="J13" s="22" t="n">
        <x:f>SUMIFS('Decade Metric'!$E:$E,'Decade Metric'!$A:$A,$A13,'Decade Metric'!$B:$B,J$1)</x:f>
        <x:v>0</x:v>
      </x:c>
      <x:c r="K13" s="22" t="n">
        <x:f>SUMIFS('Decade Metric'!$E:$E,'Decade Metric'!$A:$A,$A13,'Decade Metric'!$B:$B,K$1)</x:f>
        <x:v>0</x:v>
      </x:c>
      <x:c r="L13" s="22" t="n">
        <x:f>SUMIFS('Decade Metric'!$E:$E,'Decade Metric'!$A:$A,$A13,'Decade Metric'!$B:$B,L$1)</x:f>
        <x:v>0.4939743363866436</x:v>
      </x:c>
      <x:c r="M13" s="22" t="n">
        <x:f>SUMIFS('Decade Metric'!$E:$E,'Decade Metric'!$A:$A,$A13,'Decade Metric'!$B:$B,M$1)</x:f>
        <x:v>0</x:v>
      </x:c>
      <x:c r="N13" s="22" t="n">
        <x:f>SUMIFS('Decade Metric'!$E:$E,'Decade Metric'!$A:$A,$A13,'Decade Metric'!$B:$B,N$1)</x:f>
        <x:v>0</x:v>
      </x:c>
      <x:c r="O13" s="22" t="n">
        <x:f>SUMIFS('Decade Metric'!$E:$E,'Decade Metric'!$A:$A,$A13,'Decade Metric'!$B:$B,O$1)</x:f>
        <x:v>3.8249986612504685</x:v>
      </x:c>
      <x:c r="P13" s="22" t="n">
        <x:f>SUMIFS('Decade Metric'!$E:$E,'Decade Metric'!$A:$A,$A13,'Decade Metric'!$B:$B,P$1)</x:f>
        <x:v>0.25810381451627473</x:v>
      </x:c>
      <x:c r="Q13" s="22" t="n">
        <x:f>SUMIFS('Decade Metric'!$E:$E,'Decade Metric'!$A:$A,$A13,'Decade Metric'!$B:$B,Q$1)</x:f>
        <x:v>0</x:v>
      </x:c>
      <x:c r="R13" s="22"/>
    </x:row>
    <x:row r="14">
      <x:c r="A14" s="16" t="n">
        <x:v>1980</x:v>
      </x:c>
      <x:c r="B14" s="22" t="n">
        <x:f>SUMIFS('Decade Metric'!$E:$E,'Decade Metric'!$A:$A,$A14,'Decade Metric'!$B:$B,B$1)</x:f>
        <x:v>0.31288475046658937</x:v>
      </x:c>
      <x:c r="C14" s="22" t="n">
        <x:f>SUMIFS('Decade Metric'!$E:$E,'Decade Metric'!$A:$A,$A14,'Decade Metric'!$B:$B,C$1)</x:f>
        <x:v>0.3324888117514846</x:v>
      </x:c>
      <x:c r="D14" s="22" t="n">
        <x:f>SUMIFS('Decade Metric'!$E:$E,'Decade Metric'!$A:$A,$A14,'Decade Metric'!$B:$B,D$1)</x:f>
        <x:v>0.3670519488623225</x:v>
      </x:c>
      <x:c r="E14" s="22" t="n">
        <x:f>SUMIFS('Decade Metric'!$E:$E,'Decade Metric'!$A:$A,$A14,'Decade Metric'!$B:$B,E$1)</x:f>
        <x:v>0.5024040031550971</x:v>
      </x:c>
      <x:c r="F14" s="22" t="n">
        <x:f>SUMIFS('Decade Metric'!$E:$E,'Decade Metric'!$A:$A,$A14,'Decade Metric'!$B:$B,F$1)</x:f>
        <x:v>0</x:v>
      </x:c>
      <x:c r="G14" s="22" t="n">
        <x:f>SUMIFS('Decade Metric'!$E:$E,'Decade Metric'!$A:$A,$A14,'Decade Metric'!$B:$B,G$1)</x:f>
        <x:v>0.490807783720642</x:v>
      </x:c>
      <x:c r="H14" s="22" t="n">
        <x:f>SUMIFS('Decade Metric'!$E:$E,'Decade Metric'!$A:$A,$A14,'Decade Metric'!$B:$B,H$1)</x:f>
        <x:v>0.19823439234550932</x:v>
      </x:c>
      <x:c r="I14" s="22" t="n">
        <x:f>SUMIFS('Decade Metric'!$E:$E,'Decade Metric'!$A:$A,$A14,'Decade Metric'!$B:$B,I$1)</x:f>
        <x:v>0.17532263748362925</x:v>
      </x:c>
      <x:c r="J14" s="22" t="n">
        <x:f>SUMIFS('Decade Metric'!$E:$E,'Decade Metric'!$A:$A,$A14,'Decade Metric'!$B:$B,J$1)</x:f>
        <x:v>0.07921708173776927</x:v>
      </x:c>
      <x:c r="K14" s="22" t="n">
        <x:f>SUMIFS('Decade Metric'!$E:$E,'Decade Metric'!$A:$A,$A14,'Decade Metric'!$B:$B,K$1)</x:f>
        <x:v>0</x:v>
      </x:c>
      <x:c r="L14" s="22" t="n">
        <x:f>SUMIFS('Decade Metric'!$E:$E,'Decade Metric'!$A:$A,$A14,'Decade Metric'!$B:$B,L$1)</x:f>
        <x:v>0.7365641492131653</x:v>
      </x:c>
      <x:c r="M14" s="22" t="n">
        <x:f>SUMIFS('Decade Metric'!$E:$E,'Decade Metric'!$A:$A,$A14,'Decade Metric'!$B:$B,M$1)</x:f>
        <x:v>0</x:v>
      </x:c>
      <x:c r="N14" s="22" t="n">
        <x:f>SUMIFS('Decade Metric'!$E:$E,'Decade Metric'!$A:$A,$A14,'Decade Metric'!$B:$B,N$1)</x:f>
        <x:v>0</x:v>
      </x:c>
      <x:c r="O14" s="22" t="n">
        <x:f>SUMIFS('Decade Metric'!$E:$E,'Decade Metric'!$A:$A,$A14,'Decade Metric'!$B:$B,O$1)</x:f>
        <x:v>1.8971526449018088</x:v>
      </x:c>
      <x:c r="P14" s="22" t="n">
        <x:f>SUMIFS('Decade Metric'!$E:$E,'Decade Metric'!$A:$A,$A14,'Decade Metric'!$B:$B,P$1)</x:f>
        <x:v>0.2886436059668406</x:v>
      </x:c>
      <x:c r="Q14" s="22" t="n">
        <x:f>SUMIFS('Decade Metric'!$E:$E,'Decade Metric'!$A:$A,$A14,'Decade Metric'!$B:$B,Q$1)</x:f>
        <x:v>0.4598102822775323</x:v>
      </x:c>
      <x:c r="R14" s="22"/>
    </x:row>
    <x:row r="15">
      <x:c r="A15" s="16" t="n">
        <x:v>1990</x:v>
      </x:c>
      <x:c r="B15" s="22" t="n">
        <x:f>SUMIFS('Decade Metric'!$E:$E,'Decade Metric'!$A:$A,$A15,'Decade Metric'!$B:$B,B$1)</x:f>
        <x:v>0.311161519277234</x:v>
      </x:c>
      <x:c r="C15" s="22" t="n">
        <x:f>SUMIFS('Decade Metric'!$E:$E,'Decade Metric'!$A:$A,$A15,'Decade Metric'!$B:$B,C$1)</x:f>
        <x:v>0.42132937845490087</x:v>
      </x:c>
      <x:c r="D15" s="22" t="n">
        <x:f>SUMIFS('Decade Metric'!$E:$E,'Decade Metric'!$A:$A,$A15,'Decade Metric'!$B:$B,D$1)</x:f>
        <x:v>0.7356348896915483</x:v>
      </x:c>
      <x:c r="E15" s="22" t="n">
        <x:f>SUMIFS('Decade Metric'!$E:$E,'Decade Metric'!$A:$A,$A15,'Decade Metric'!$B:$B,E$1)</x:f>
        <x:v>0.4687016651407823</x:v>
      </x:c>
      <x:c r="F15" s="22" t="n">
        <x:f>SUMIFS('Decade Metric'!$E:$E,'Decade Metric'!$A:$A,$A15,'Decade Metric'!$B:$B,F$1)</x:f>
        <x:v>0</x:v>
      </x:c>
      <x:c r="G15" s="22" t="n">
        <x:f>SUMIFS('Decade Metric'!$E:$E,'Decade Metric'!$A:$A,$A15,'Decade Metric'!$B:$B,G$1)</x:f>
        <x:v>0.6711859856366199</x:v>
      </x:c>
      <x:c r="H15" s="22" t="n">
        <x:f>SUMIFS('Decade Metric'!$E:$E,'Decade Metric'!$A:$A,$A15,'Decade Metric'!$B:$B,H$1)</x:f>
        <x:v>0.3154404968818707</x:v>
      </x:c>
      <x:c r="I15" s="22" t="n">
        <x:f>SUMIFS('Decade Metric'!$E:$E,'Decade Metric'!$A:$A,$A15,'Decade Metric'!$B:$B,I$1)</x:f>
        <x:v>0.22305396567645577</x:v>
      </x:c>
      <x:c r="J15" s="22" t="n">
        <x:f>SUMIFS('Decade Metric'!$E:$E,'Decade Metric'!$A:$A,$A15,'Decade Metric'!$B:$B,J$1)</x:f>
        <x:v>0.13418325003908088</x:v>
      </x:c>
      <x:c r="K15" s="22" t="n">
        <x:f>SUMIFS('Decade Metric'!$E:$E,'Decade Metric'!$A:$A,$A15,'Decade Metric'!$B:$B,K$1)</x:f>
        <x:v>0.5127127116862609</x:v>
      </x:c>
      <x:c r="L15" s="22" t="n">
        <x:f>SUMIFS('Decade Metric'!$E:$E,'Decade Metric'!$A:$A,$A15,'Decade Metric'!$B:$B,L$1)</x:f>
        <x:v>0.9831198324763806</x:v>
      </x:c>
      <x:c r="M15" s="22" t="n">
        <x:f>SUMIFS('Decade Metric'!$E:$E,'Decade Metric'!$A:$A,$A15,'Decade Metric'!$B:$B,M$1)</x:f>
        <x:v>1.5709931818895906</x:v>
      </x:c>
      <x:c r="N15" s="22" t="n">
        <x:f>SUMIFS('Decade Metric'!$E:$E,'Decade Metric'!$A:$A,$A15,'Decade Metric'!$B:$B,N$1)</x:f>
        <x:v>0</x:v>
      </x:c>
      <x:c r="O15" s="22" t="n">
        <x:f>SUMIFS('Decade Metric'!$E:$E,'Decade Metric'!$A:$A,$A15,'Decade Metric'!$B:$B,O$1)</x:f>
        <x:v>1.4436978464152983</x:v>
      </x:c>
      <x:c r="P15" s="22" t="n">
        <x:f>SUMIFS('Decade Metric'!$E:$E,'Decade Metric'!$A:$A,$A15,'Decade Metric'!$B:$B,P$1)</x:f>
        <x:v>0.38489072952188874</x:v>
      </x:c>
      <x:c r="Q15" s="22" t="n">
        <x:f>SUMIFS('Decade Metric'!$E:$E,'Decade Metric'!$A:$A,$A15,'Decade Metric'!$B:$B,Q$1)</x:f>
        <x:v>0.36879819731441155</x:v>
      </x:c>
      <x:c r="R15" s="22"/>
    </x:row>
    <x:row r="16">
      <x:c r="A16" s="16" t="n">
        <x:v>2000</x:v>
      </x:c>
      <x:c r="B16" s="22" t="n">
        <x:f>SUMIFS('Decade Metric'!$E:$E,'Decade Metric'!$A:$A,$A16,'Decade Metric'!$B:$B,B$1)</x:f>
        <x:v>0.29111234025210325</x:v>
      </x:c>
      <x:c r="C16" s="22" t="n">
        <x:f>SUMIFS('Decade Metric'!$E:$E,'Decade Metric'!$A:$A,$A16,'Decade Metric'!$B:$B,C$1)</x:f>
        <x:v>0.4535065123535174</x:v>
      </x:c>
      <x:c r="D16" s="22" t="n">
        <x:f>SUMIFS('Decade Metric'!$E:$E,'Decade Metric'!$A:$A,$A16,'Decade Metric'!$B:$B,D$1)</x:f>
        <x:v>0.8322283190652412</x:v>
      </x:c>
      <x:c r="E16" s="22" t="n">
        <x:f>SUMIFS('Decade Metric'!$E:$E,'Decade Metric'!$A:$A,$A16,'Decade Metric'!$B:$B,E$1)</x:f>
        <x:v>0.4684403901796157</x:v>
      </x:c>
      <x:c r="F16" s="22" t="n">
        <x:f>SUMIFS('Decade Metric'!$E:$E,'Decade Metric'!$A:$A,$A16,'Decade Metric'!$B:$B,F$1)</x:f>
        <x:v>0</x:v>
      </x:c>
      <x:c r="G16" s="22" t="n">
        <x:f>SUMIFS('Decade Metric'!$E:$E,'Decade Metric'!$A:$A,$A16,'Decade Metric'!$B:$B,G$1)</x:f>
        <x:v>0.7748108977152764</x:v>
      </x:c>
      <x:c r="H16" s="22" t="n">
        <x:f>SUMIFS('Decade Metric'!$E:$E,'Decade Metric'!$A:$A,$A16,'Decade Metric'!$B:$B,H$1)</x:f>
        <x:v>0.3237445590680042</x:v>
      </x:c>
      <x:c r="I16" s="22" t="n">
        <x:f>SUMIFS('Decade Metric'!$E:$E,'Decade Metric'!$A:$A,$A16,'Decade Metric'!$B:$B,I$1)</x:f>
        <x:v>0.24311912107575348</x:v>
      </x:c>
      <x:c r="J16" s="22" t="n">
        <x:f>SUMIFS('Decade Metric'!$E:$E,'Decade Metric'!$A:$A,$A16,'Decade Metric'!$B:$B,J$1)</x:f>
        <x:v>0.11278134010171749</x:v>
      </x:c>
      <x:c r="K16" s="22" t="n">
        <x:f>SUMIFS('Decade Metric'!$E:$E,'Decade Metric'!$A:$A,$A16,'Decade Metric'!$B:$B,K$1)</x:f>
        <x:v>0.9006980409817609</x:v>
      </x:c>
      <x:c r="L16" s="22" t="n">
        <x:f>SUMIFS('Decade Metric'!$E:$E,'Decade Metric'!$A:$A,$A16,'Decade Metric'!$B:$B,L$1)</x:f>
        <x:v>1.1343012704174227</x:v>
      </x:c>
      <x:c r="M16" s="22" t="n">
        <x:f>SUMIFS('Decade Metric'!$E:$E,'Decade Metric'!$A:$A,$A16,'Decade Metric'!$B:$B,M$1)</x:f>
        <x:v>2.0666921558699225</x:v>
      </x:c>
      <x:c r="N16" s="22" t="n">
        <x:f>SUMIFS('Decade Metric'!$E:$E,'Decade Metric'!$A:$A,$A16,'Decade Metric'!$B:$B,N$1)</x:f>
        <x:v>0.3302618976848641</x:v>
      </x:c>
      <x:c r="O16" s="22" t="n">
        <x:f>SUMIFS('Decade Metric'!$E:$E,'Decade Metric'!$A:$A,$A16,'Decade Metric'!$B:$B,O$1)</x:f>
        <x:v>1.2032018921209182</x:v>
      </x:c>
      <x:c r="P16" s="22" t="n">
        <x:f>SUMIFS('Decade Metric'!$E:$E,'Decade Metric'!$A:$A,$A16,'Decade Metric'!$B:$B,P$1)</x:f>
        <x:v>0.4321465149544301</x:v>
      </x:c>
      <x:c r="Q16" s="22" t="n">
        <x:f>SUMIFS('Decade Metric'!$E:$E,'Decade Metric'!$A:$A,$A16,'Decade Metric'!$B:$B,Q$1)</x:f>
        <x:v>0.2704259479105539</x:v>
      </x:c>
      <x:c r="R16" s="22"/>
    </x:row>
    <x:row r="17">
      <x:c r="A17" s="16" t="n">
        <x:v>2010</x:v>
      </x:c>
      <x:c r="B17" s="22" t="n">
        <x:f>SUMIFS('Decade Metric'!$E:$E,'Decade Metric'!$A:$A,$A17,'Decade Metric'!$B:$B,B$1)</x:f>
        <x:v>0.41263544758567</x:v>
      </x:c>
      <x:c r="C17" s="22" t="n">
        <x:f>SUMIFS('Decade Metric'!$E:$E,'Decade Metric'!$A:$A,$A17,'Decade Metric'!$B:$B,C$1)</x:f>
        <x:v>0.48226355220864653</x:v>
      </x:c>
      <x:c r="D17" s="22" t="n">
        <x:f>SUMIFS('Decade Metric'!$E:$E,'Decade Metric'!$A:$A,$A17,'Decade Metric'!$B:$B,D$1)</x:f>
        <x:v>0.7783332771203744</x:v>
      </x:c>
      <x:c r="E17" s="22" t="n">
        <x:f>SUMIFS('Decade Metric'!$E:$E,'Decade Metric'!$A:$A,$A17,'Decade Metric'!$B:$B,E$1)</x:f>
        <x:v>0.6447286981638127</x:v>
      </x:c>
      <x:c r="F17" s="22" t="n">
        <x:f>SUMIFS('Decade Metric'!$E:$E,'Decade Metric'!$A:$A,$A17,'Decade Metric'!$B:$B,F$1)</x:f>
        <x:v>1.0730131819669404</x:v>
      </x:c>
      <x:c r="G17" s="22" t="n">
        <x:f>SUMIFS('Decade Metric'!$E:$E,'Decade Metric'!$A:$A,$A17,'Decade Metric'!$B:$B,G$1)</x:f>
        <x:v>0.7521186241494009</x:v>
      </x:c>
      <x:c r="H17" s="22" t="n">
        <x:f>SUMIFS('Decade Metric'!$E:$E,'Decade Metric'!$A:$A,$A17,'Decade Metric'!$B:$B,H$1)</x:f>
        <x:v>0.33733297800926315</x:v>
      </x:c>
      <x:c r="I17" s="22" t="n">
        <x:f>SUMIFS('Decade Metric'!$E:$E,'Decade Metric'!$A:$A,$A17,'Decade Metric'!$B:$B,I$1)</x:f>
        <x:v>0.2601957712983249</x:v>
      </x:c>
      <x:c r="J17" s="22" t="n">
        <x:f>SUMIFS('Decade Metric'!$E:$E,'Decade Metric'!$A:$A,$A17,'Decade Metric'!$B:$B,J$1)</x:f>
        <x:v>0.1652177073730054</x:v>
      </x:c>
      <x:c r="K17" s="22" t="n">
        <x:f>SUMIFS('Decade Metric'!$E:$E,'Decade Metric'!$A:$A,$A17,'Decade Metric'!$B:$B,K$1)</x:f>
        <x:v>0.8365190768175468</x:v>
      </x:c>
      <x:c r="L17" s="22" t="n">
        <x:f>SUMIFS('Decade Metric'!$E:$E,'Decade Metric'!$A:$A,$A17,'Decade Metric'!$B:$B,L$1)</x:f>
        <x:v>1.0727052822689862</x:v>
      </x:c>
      <x:c r="M17" s="22" t="n">
        <x:f>SUMIFS('Decade Metric'!$E:$E,'Decade Metric'!$A:$A,$A17,'Decade Metric'!$B:$B,M$1)</x:f>
        <x:v>1.5316046622045918</x:v>
      </x:c>
      <x:c r="N17" s="22" t="n">
        <x:f>SUMIFS('Decade Metric'!$E:$E,'Decade Metric'!$A:$A,$A17,'Decade Metric'!$B:$B,N$1)</x:f>
        <x:v>0.5551469057499341</x:v>
      </x:c>
      <x:c r="O17" s="22" t="n">
        <x:f>SUMIFS('Decade Metric'!$E:$E,'Decade Metric'!$A:$A,$A17,'Decade Metric'!$B:$B,O$1)</x:f>
        <x:v>1.2296965570033525</x:v>
      </x:c>
      <x:c r="P17" s="22" t="n">
        <x:f>SUMIFS('Decade Metric'!$E:$E,'Decade Metric'!$A:$A,$A17,'Decade Metric'!$B:$B,P$1)</x:f>
        <x:v>0.4640608105286117</x:v>
      </x:c>
      <x:c r="Q17" s="22" t="n">
        <x:f>SUMIFS('Decade Metric'!$E:$E,'Decade Metric'!$A:$A,$A17,'Decade Metric'!$B:$B,Q$1)</x:f>
        <x:v>0.24095979103966922</x:v>
      </x:c>
      <x:c r="R17" s="22"/>
    </x:row>
    <x:row r="18">
      <x:c r="A18" s="16" t="n">
        <x:v>2020</x:v>
      </x:c>
      <x:c r="B18" s="22" t="n">
        <x:f>SUMIFS('Decade Metric'!$E:$E,'Decade Metric'!$A:$A,$A18,'Decade Metric'!$B:$B,B$1)</x:f>
        <x:v>0.3951855857374887</x:v>
      </x:c>
      <x:c r="C18" s="22" t="n">
        <x:f>SUMIFS('Decade Metric'!$E:$E,'Decade Metric'!$A:$A,$A18,'Decade Metric'!$B:$B,C$1)</x:f>
        <x:v>0.4627433740933122</x:v>
      </x:c>
      <x:c r="D18" s="22" t="n">
        <x:f>SUMIFS('Decade Metric'!$E:$E,'Decade Metric'!$A:$A,$A18,'Decade Metric'!$B:$B,D$1)</x:f>
        <x:v>0.6910006380239224</x:v>
      </x:c>
      <x:c r="E18" s="22" t="n">
        <x:f>SUMIFS('Decade Metric'!$E:$E,'Decade Metric'!$A:$A,$A18,'Decade Metric'!$B:$B,E$1)</x:f>
        <x:v>0.6509918674840954</x:v>
      </x:c>
      <x:c r="F18" s="22" t="n">
        <x:f>SUMIFS('Decade Metric'!$E:$E,'Decade Metric'!$A:$A,$A18,'Decade Metric'!$B:$B,F$1)</x:f>
        <x:v>0.9187545363505233</x:v>
      </x:c>
      <x:c r="G18" s="22" t="n">
        <x:f>SUMIFS('Decade Metric'!$E:$E,'Decade Metric'!$A:$A,$A18,'Decade Metric'!$B:$B,G$1)</x:f>
        <x:v>0.7327564097866947</x:v>
      </x:c>
      <x:c r="H18" s="22" t="n">
        <x:f>SUMIFS('Decade Metric'!$E:$E,'Decade Metric'!$A:$A,$A18,'Decade Metric'!$B:$B,H$1)</x:f>
        <x:v>0.34090395798017814</x:v>
      </x:c>
      <x:c r="I18" s="22" t="n">
        <x:f>SUMIFS('Decade Metric'!$E:$E,'Decade Metric'!$A:$A,$A18,'Decade Metric'!$B:$B,I$1)</x:f>
        <x:v>0.24709966765094699</x:v>
      </x:c>
      <x:c r="J18" s="22" t="n">
        <x:f>SUMIFS('Decade Metric'!$E:$E,'Decade Metric'!$A:$A,$A18,'Decade Metric'!$B:$B,J$1)</x:f>
        <x:v>0.16344445013473272</x:v>
      </x:c>
      <x:c r="K18" s="22" t="n">
        <x:f>SUMIFS('Decade Metric'!$E:$E,'Decade Metric'!$A:$A,$A18,'Decade Metric'!$B:$B,K$1)</x:f>
        <x:v>0.807682677629613</x:v>
      </x:c>
      <x:c r="L18" s="22" t="n">
        <x:f>SUMIFS('Decade Metric'!$E:$E,'Decade Metric'!$A:$A,$A18,'Decade Metric'!$B:$B,L$1)</x:f>
        <x:v>0.9650879436388641</x:v>
      </x:c>
      <x:c r="M18" s="22" t="n">
        <x:f>SUMIFS('Decade Metric'!$E:$E,'Decade Metric'!$A:$A,$A18,'Decade Metric'!$B:$B,M$1)</x:f>
        <x:v>1.3098863673576318</x:v>
      </x:c>
      <x:c r="N18" s="22" t="n">
        <x:f>SUMIFS('Decade Metric'!$E:$E,'Decade Metric'!$A:$A,$A18,'Decade Metric'!$B:$B,N$1)</x:f>
        <x:v>0.5097970243147691</x:v>
      </x:c>
      <x:c r="O18" s="22" t="n">
        <x:f>SUMIFS('Decade Metric'!$E:$E,'Decade Metric'!$A:$A,$A18,'Decade Metric'!$B:$B,O$1)</x:f>
        <x:v>1.142974705969757</x:v>
      </x:c>
      <x:c r="P18" s="22" t="n">
        <x:f>SUMIFS('Decade Metric'!$E:$E,'Decade Metric'!$A:$A,$A18,'Decade Metric'!$B:$B,P$1)</x:f>
        <x:v>0.4507509510845068</x:v>
      </x:c>
      <x:c r="Q18" s="22" t="n">
        <x:f>SUMIFS('Decade Metric'!$E:$E,'Decade Metric'!$A:$A,$A18,'Decade Metric'!$B:$B,Q$1)</x:f>
        <x:v>0.22615326859319096</x:v>
      </x:c>
      <x:c r="R18" s="22"/>
    </x:row>
  </x:sheetData>
  <x:conditionalFormatting sqref="B2:R18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drawing xmlns:r="http://schemas.openxmlformats.org/officeDocument/2006/relationships" r:id="Rdb891dd9dbd249ea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6" t="str">
        <x:v>Alcaldía</x:v>
      </x:c>
      <x:c r="B1" s="6" t="n">
        <x:v>1860</x:v>
      </x:c>
      <x:c r="C1" s="6" t="n">
        <x:v>1870</x:v>
      </x:c>
      <x:c r="D1" s="6" t="n">
        <x:v>1880</x:v>
      </x:c>
      <x:c r="E1" s="6" t="n">
        <x:v>1890</x:v>
      </x:c>
      <x:c r="F1" s="6" t="n">
        <x:v>1900</x:v>
      </x:c>
      <x:c r="G1" s="6" t="n">
        <x:v>1910</x:v>
      </x:c>
      <x:c r="H1" s="6" t="n">
        <x:v>1920</x:v>
      </x:c>
      <x:c r="I1" s="6" t="n">
        <x:v>1930</x:v>
      </x:c>
      <x:c r="J1" s="6" t="n">
        <x:v>1940</x:v>
      </x:c>
      <x:c r="K1" s="6" t="n">
        <x:v>1950</x:v>
      </x:c>
      <x:c r="L1" s="6" t="n">
        <x:v>1960</x:v>
      </x:c>
      <x:c r="M1" s="6" t="n">
        <x:v>1970</x:v>
      </x:c>
      <x:c r="N1" s="6" t="n">
        <x:v>1980</x:v>
      </x:c>
      <x:c r="O1" s="6" t="n">
        <x:v>1990</x:v>
      </x:c>
      <x:c r="P1" s="6" t="n">
        <x:v>2000</x:v>
      </x:c>
      <x:c r="Q1" s="6" t="n">
        <x:v>2010</x:v>
      </x:c>
      <x:c r="R1" s="6" t="n">
        <x:v>2020</x:v>
      </x:c>
    </x:row>
    <x:row r="2">
      <x:c r="A2" t="str">
        <x:v>Álvaro Obregón</x:v>
      </x:c>
      <x:c r="B2" s="24" t="n">
        <x:v>5363</x:v>
      </x:c>
      <x:c r="C2" s="24" t="n">
        <x:v>5850</x:v>
      </x:c>
      <x:c r="D2" s="24" t="n">
        <x:v>7069</x:v>
      </x:c>
      <x:c r="E2" s="24" t="n">
        <x:v>9750</x:v>
      </x:c>
      <x:c r="F2" s="24" t="n">
        <x:v>13194</x:v>
      </x:c>
      <x:c r="G2" s="24" t="n">
        <x:v>20166</x:v>
      </x:c>
      <x:c r="H2" s="24" t="n">
        <x:v>26498</x:v>
      </x:c>
      <x:c r="I2" s="24" t="n">
        <x:v>36753</x:v>
      </x:c>
      <x:c r="J2" s="24" t="n">
        <x:v>53222</x:v>
      </x:c>
      <x:c r="K2" s="24" t="n">
        <x:v>93176</x:v>
      </x:c>
      <x:c r="L2" s="24" t="n">
        <x:v>220011</x:v>
      </x:c>
      <x:c r="M2" s="24" t="n">
        <x:v>456709</x:v>
      </x:c>
      <x:c r="N2" s="24" t="n">
        <x:v>639213</x:v>
      </x:c>
      <x:c r="O2" s="24" t="n">
        <x:v>642753</x:v>
      </x:c>
      <x:c r="P2" s="24" t="n">
        <x:v>687020</x:v>
      </x:c>
      <x:c r="Q2" s="24" t="n">
        <x:v>727034</x:v>
      </x:c>
      <x:c r="R2" s="24" t="n">
        <x:v>759137</x:v>
      </x:c>
    </x:row>
    <x:row r="3">
      <x:c r="A3" t="str">
        <x:v>Azcapotzalco</x:v>
      </x:c>
      <x:c r="B3" s="24" t="n">
        <x:v>4916</x:v>
      </x:c>
      <x:c r="C3" s="24" t="n">
        <x:v>5363</x:v>
      </x:c>
      <x:c r="D3" s="24" t="n">
        <x:v>6480</x:v>
      </x:c>
      <x:c r="E3" s="24" t="n">
        <x:v>8938</x:v>
      </x:c>
      <x:c r="F3" s="24" t="n">
        <x:v>12095</x:v>
      </x:c>
      <x:c r="G3" s="24" t="n">
        <x:v>32638</x:v>
      </x:c>
      <x:c r="H3" s="24" t="n">
        <x:v>48320</x:v>
      </x:c>
      <x:c r="I3" s="24" t="n">
        <x:v>70615</x:v>
      </x:c>
      <x:c r="J3" s="24" t="n">
        <x:v>105306</x:v>
      </x:c>
      <x:c r="K3" s="24" t="n">
        <x:v>187864</x:v>
      </x:c>
      <x:c r="L3" s="24" t="n">
        <x:v>370724</x:v>
      </x:c>
      <x:c r="M3" s="24" t="n">
        <x:v>534554</x:v>
      </x:c>
      <x:c r="N3" s="24" t="n">
        <x:v>601524</x:v>
      </x:c>
      <x:c r="O3" s="24" t="n">
        <x:v>474688</x:v>
      </x:c>
      <x:c r="P3" s="24" t="n">
        <x:v>441008</x:v>
      </x:c>
      <x:c r="Q3" s="24" t="n">
        <x:v>414711</x:v>
      </x:c>
      <x:c r="R3" s="24" t="n">
        <x:v>432205</x:v>
      </x:c>
    </x:row>
    <x:row r="4">
      <x:c r="A4" t="str">
        <x:v>Benito Juárez</x:v>
      </x:c>
      <x:c r="B4" s="24" t="n">
        <x:v>31283</x:v>
      </x:c>
      <x:c r="C4" s="24" t="n">
        <x:v>34126</x:v>
      </x:c>
      <x:c r="D4" s="24" t="n">
        <x:v>41236</x:v>
      </x:c>
      <x:c r="E4" s="24" t="n">
        <x:v>56877</x:v>
      </x:c>
      <x:c r="F4" s="24" t="n">
        <x:v>76967</x:v>
      </x:c>
      <x:c r="G4" s="24" t="n">
        <x:v>107351</x:v>
      </x:c>
      <x:c r="H4" s="24" t="n">
        <x:v>137115</x:v>
      </x:c>
      <x:c r="I4" s="24" t="n">
        <x:v>187569</x:v>
      </x:c>
      <x:c r="J4" s="24" t="n">
        <x:v>269404</x:v>
      </x:c>
      <x:c r="K4" s="24" t="n">
        <x:v>469100</x:v>
      </x:c>
      <x:c r="L4" s="24" t="n">
        <x:v>594485</x:v>
      </x:c>
      <x:c r="M4" s="24" t="n">
        <x:v>609354</x:v>
      </x:c>
      <x:c r="N4" s="24" t="n">
        <x:v>544882</x:v>
      </x:c>
      <x:c r="O4" s="24" t="n">
        <x:v>407811</x:v>
      </x:c>
      <x:c r="P4" s="24" t="n">
        <x:v>360478</x:v>
      </x:c>
      <x:c r="Q4" s="24" t="n">
        <x:v>385439</x:v>
      </x:c>
      <x:c r="R4" s="24" t="n">
        <x:v>434153</x:v>
      </x:c>
    </x:row>
    <x:row r="5">
      <x:c r="A5" t="str">
        <x:v>Coyoacán</x:v>
      </x:c>
      <x:c r="B5" s="24" t="n">
        <x:v>4022</x:v>
      </x:c>
      <x:c r="C5" s="24" t="n">
        <x:v>4388</x:v>
      </x:c>
      <x:c r="D5" s="24" t="n">
        <x:v>5302</x:v>
      </x:c>
      <x:c r="E5" s="24" t="n">
        <x:v>7313</x:v>
      </x:c>
      <x:c r="F5" s="24" t="n">
        <x:v>9896</x:v>
      </x:c>
      <x:c r="G5" s="24" t="n">
        <x:v>15141</x:v>
      </x:c>
      <x:c r="H5" s="24" t="n">
        <x:v>19902</x:v>
      </x:c>
      <x:c r="I5" s="24" t="n">
        <x:v>27609</x:v>
      </x:c>
      <x:c r="J5" s="24" t="n">
        <x:v>39984</x:v>
      </x:c>
      <x:c r="K5" s="24" t="n">
        <x:v>70005</x:v>
      </x:c>
      <x:c r="L5" s="24" t="n">
        <x:v>169811</x:v>
      </x:c>
      <x:c r="M5" s="24" t="n">
        <x:v>339446</x:v>
      </x:c>
      <x:c r="N5" s="24" t="n">
        <x:v>597129</x:v>
      </x:c>
      <x:c r="O5" s="24" t="n">
        <x:v>640066</x:v>
      </x:c>
      <x:c r="P5" s="24" t="n">
        <x:v>640423</x:v>
      </x:c>
      <x:c r="Q5" s="24" t="n">
        <x:v>620416</x:v>
      </x:c>
      <x:c r="R5" s="24" t="n">
        <x:v>614447</x:v>
      </x:c>
    </x:row>
    <x:row r="6">
      <x:c r="A6" t="str">
        <x:v>Cuajimalpa de Morelos</x:v>
      </x:c>
      <x:c r="B6" s="24" t="n">
        <x:v>2234</x:v>
      </x:c>
      <x:c r="C6" s="24" t="n">
        <x:v>2438</x:v>
      </x:c>
      <x:c r="D6" s="24" t="n">
        <x:v>2945</x:v>
      </x:c>
      <x:c r="E6" s="24" t="n">
        <x:v>4063</x:v>
      </x:c>
      <x:c r="F6" s="24" t="n">
        <x:v>5498</x:v>
      </x:c>
      <x:c r="G6" s="24" t="n">
        <x:v>4376</x:v>
      </x:c>
      <x:c r="H6" s="24" t="n">
        <x:v>4204</x:v>
      </x:c>
      <x:c r="I6" s="24" t="n">
        <x:v>4809</x:v>
      </x:c>
      <x:c r="J6" s="24" t="n">
        <x:v>6096</x:v>
      </x:c>
      <x:c r="K6" s="24" t="n">
        <x:v>9676</x:v>
      </x:c>
      <x:c r="L6" s="24" t="n">
        <x:v>19199</x:v>
      </x:c>
      <x:c r="M6" s="24" t="n">
        <x:v>36200</x:v>
      </x:c>
      <x:c r="N6" s="24" t="n">
        <x:v>91200</x:v>
      </x:c>
      <x:c r="O6" s="24" t="n">
        <x:v>119669</x:v>
      </x:c>
      <x:c r="P6" s="24" t="n">
        <x:v>151222</x:v>
      </x:c>
      <x:c r="Q6" s="24" t="n">
        <x:v>186391</x:v>
      </x:c>
      <x:c r="R6" s="24" t="n">
        <x:v>217686</x:v>
      </x:c>
    </x:row>
    <x:row r="7">
      <x:c r="A7" t="str">
        <x:v>Cuauhtémoc</x:v>
      </x:c>
      <x:c r="B7" s="24" t="n">
        <x:v>71503</x:v>
      </x:c>
      <x:c r="C7" s="24" t="n">
        <x:v>78003</x:v>
      </x:c>
      <x:c r="D7" s="24" t="n">
        <x:v>94254</x:v>
      </x:c>
      <x:c r="E7" s="24" t="n">
        <x:v>130005</x:v>
      </x:c>
      <x:c r="F7" s="24" t="n">
        <x:v>175924</x:v>
      </x:c>
      <x:c r="G7" s="24" t="n">
        <x:v>194179</x:v>
      </x:c>
      <x:c r="H7" s="24" t="n">
        <x:v>226485</x:v>
      </x:c>
      <x:c r="I7" s="24" t="n">
        <x:v>295164</x:v>
      </x:c>
      <x:c r="J7" s="24" t="n">
        <x:v>411339</x:v>
      </x:c>
      <x:c r="K7" s="24" t="n">
        <x:v>701635</x:v>
      </x:c>
      <x:c r="L7" s="24" t="n">
        <x:v>889175</x:v>
      </x:c>
      <x:c r="M7" s="24" t="n">
        <x:v>911414</x:v>
      </x:c>
      <x:c r="N7" s="24" t="n">
        <x:v>814983</x:v>
      </x:c>
      <x:c r="O7" s="24" t="n">
        <x:v>595960</x:v>
      </x:c>
      <x:c r="P7" s="24" t="n">
        <x:v>516255</x:v>
      </x:c>
      <x:c r="Q7" s="24" t="n">
        <x:v>531831</x:v>
      </x:c>
      <x:c r="R7" s="24" t="n">
        <x:v>545884</x:v>
      </x:c>
    </x:row>
    <x:row r="8">
      <x:c r="A8" t="str">
        <x:v>Gustavo A. Madero</x:v>
      </x:c>
      <x:c r="B8" s="24" t="n">
        <x:v>4469</x:v>
      </x:c>
      <x:c r="C8" s="24" t="n">
        <x:v>4875</x:v>
      </x:c>
      <x:c r="D8" s="24" t="n">
        <x:v>5891</x:v>
      </x:c>
      <x:c r="E8" s="24" t="n">
        <x:v>8125</x:v>
      </x:c>
      <x:c r="F8" s="24" t="n">
        <x:v>10995</x:v>
      </x:c>
      <x:c r="G8" s="24" t="n">
        <x:v>34375</x:v>
      </x:c>
      <x:c r="H8" s="24" t="n">
        <x:v>51913</x:v>
      </x:c>
      <x:c r="I8" s="24" t="n">
        <x:v>76467</x:v>
      </x:c>
      <x:c r="J8" s="24" t="n">
        <x:v>114516</x:v>
      </x:c>
      <x:c r="K8" s="24" t="n">
        <x:v>204833</x:v>
      </x:c>
      <x:c r="L8" s="24" t="n">
        <x:v>579180</x:v>
      </x:c>
      <x:c r="M8" s="24" t="n">
        <x:v>1186107</x:v>
      </x:c>
      <x:c r="N8" s="24" t="n">
        <x:v>1513360</x:v>
      </x:c>
      <x:c r="O8" s="24" t="n">
        <x:v>1268068</x:v>
      </x:c>
      <x:c r="P8" s="24" t="n">
        <x:v>1235542</x:v>
      </x:c>
      <x:c r="Q8" s="24" t="n">
        <x:v>1185772</x:v>
      </x:c>
      <x:c r="R8" s="24" t="n">
        <x:v>1173351</x:v>
      </x:c>
    </x:row>
    <x:row r="9">
      <x:c r="A9" t="str">
        <x:v>Iztacalco</x:v>
      </x:c>
      <x:c r="B9" s="24" t="n">
        <x:v>2011</x:v>
      </x:c>
      <x:c r="C9" s="24" t="n">
        <x:v>2194</x:v>
      </x:c>
      <x:c r="D9" s="24" t="n">
        <x:v>2651</x:v>
      </x:c>
      <x:c r="E9" s="24" t="n">
        <x:v>3656</x:v>
      </x:c>
      <x:c r="F9" s="24" t="n">
        <x:v>4948</x:v>
      </x:c>
      <x:c r="G9" s="24" t="n">
        <x:v>7424</x:v>
      </x:c>
      <x:c r="H9" s="24" t="n">
        <x:v>9703</x:v>
      </x:c>
      <x:c r="I9" s="24" t="n">
        <x:v>13423</x:v>
      </x:c>
      <x:c r="J9" s="24" t="n">
        <x:v>19409</x:v>
      </x:c>
      <x:c r="K9" s="24" t="n">
        <x:v>33945</x:v>
      </x:c>
      <x:c r="L9" s="24" t="n">
        <x:v>198904</x:v>
      </x:c>
      <x:c r="M9" s="24" t="n">
        <x:v>477331</x:v>
      </x:c>
      <x:c r="N9" s="24" t="n">
        <x:v>570377</x:v>
      </x:c>
      <x:c r="O9" s="24" t="n">
        <x:v>448322</x:v>
      </x:c>
      <x:c r="P9" s="24" t="n">
        <x:v>411321</x:v>
      </x:c>
      <x:c r="Q9" s="24" t="n">
        <x:v>384326</x:v>
      </x:c>
      <x:c r="R9" s="24" t="n">
        <x:v>404695</x:v>
      </x:c>
    </x:row>
    <x:row r="10">
      <x:c r="A10" t="str">
        <x:v>Iztapalapa</x:v>
      </x:c>
      <x:c r="B10" s="24" t="n">
        <x:v>5363</x:v>
      </x:c>
      <x:c r="C10" s="24" t="n">
        <x:v>5850</x:v>
      </x:c>
      <x:c r="D10" s="24" t="n">
        <x:v>7069</x:v>
      </x:c>
      <x:c r="E10" s="24" t="n">
        <x:v>9750</x:v>
      </x:c>
      <x:c r="F10" s="24" t="n">
        <x:v>13194</x:v>
      </x:c>
      <x:c r="G10" s="24" t="n">
        <x:v>17879</x:v>
      </x:c>
      <x:c r="H10" s="24" t="n">
        <x:v>22615</x:v>
      </x:c>
      <x:c r="I10" s="24" t="n">
        <x:v>30787</x:v>
      </x:c>
      <x:c r="J10" s="24" t="n">
        <x:v>44089</x:v>
      </x:c>
      <x:c r="K10" s="24" t="n">
        <x:v>76621</x:v>
      </x:c>
      <x:c r="L10" s="24" t="n">
        <x:v>254355</x:v>
      </x:c>
      <x:c r="M10" s="24" t="n">
        <x:v>522095</x:v>
      </x:c>
      <x:c r="N10" s="24" t="n">
        <x:v>1262354</x:v>
      </x:c>
      <x:c r="O10" s="24" t="n">
        <x:v>1490499</x:v>
      </x:c>
      <x:c r="P10" s="24" t="n">
        <x:v>1773343</x:v>
      </x:c>
      <x:c r="Q10" s="24" t="n">
        <x:v>1815786</x:v>
      </x:c>
      <x:c r="R10" s="24" t="n">
        <x:v>1835486</x:v>
      </x:c>
    </x:row>
    <x:row r="11">
      <x:c r="A11" t="str">
        <x:v>La Magdalena Contreras</x:v>
      </x:c>
      <x:c r="B11" s="24" t="n">
        <x:v>1564</x:v>
      </x:c>
      <x:c r="C11" s="24" t="n">
        <x:v>1706</x:v>
      </x:c>
      <x:c r="D11" s="24" t="n">
        <x:v>2062</x:v>
      </x:c>
      <x:c r="E11" s="24" t="n">
        <x:v>2844</x:v>
      </x:c>
      <x:c r="F11" s="24" t="n">
        <x:v>3848</x:v>
      </x:c>
      <x:c r="G11" s="24" t="n">
        <x:v>5160</x:v>
      </x:c>
      <x:c r="H11" s="24" t="n">
        <x:v>6504</x:v>
      </x:c>
      <x:c r="I11" s="24" t="n">
        <x:v>8838</x:v>
      </x:c>
      <x:c r="J11" s="24" t="n">
        <x:v>12643</x:v>
      </x:c>
      <x:c r="K11" s="24" t="n">
        <x:v>21955</x:v>
      </x:c>
      <x:c r="L11" s="24" t="n">
        <x:v>40724</x:v>
      </x:c>
      <x:c r="M11" s="24" t="n">
        <x:v>75429</x:v>
      </x:c>
      <x:c r="N11" s="24" t="n">
        <x:v>173105</x:v>
      </x:c>
      <x:c r="O11" s="24" t="n">
        <x:v>195041</x:v>
      </x:c>
      <x:c r="P11" s="24" t="n">
        <x:v>222050</x:v>
      </x:c>
      <x:c r="Q11" s="24" t="n">
        <x:v>239086</x:v>
      </x:c>
      <x:c r="R11" s="24" t="n">
        <x:v>247622</x:v>
      </x:c>
    </x:row>
    <x:row r="12">
      <x:c r="A12" t="str">
        <x:v>Miguel Hidalgo</x:v>
      </x:c>
      <x:c r="B12" s="24" t="n">
        <x:v>33517</x:v>
      </x:c>
      <x:c r="C12" s="24" t="n">
        <x:v>36564</x:v>
      </x:c>
      <x:c r="D12" s="24" t="n">
        <x:v>44182</x:v>
      </x:c>
      <x:c r="E12" s="24" t="n">
        <x:v>60940</x:v>
      </x:c>
      <x:c r="F12" s="24" t="n">
        <x:v>82464</x:v>
      </x:c>
      <x:c r="G12" s="24" t="n">
        <x:v>110174</x:v>
      </x:c>
      <x:c r="H12" s="24" t="n">
        <x:v>138682</x:v>
      </x:c>
      <x:c r="I12" s="24" t="n">
        <x:v>188326</x:v>
      </x:c>
      <x:c r="J12" s="24" t="n">
        <x:v>269298</x:v>
      </x:c>
      <x:c r="K12" s="24" t="n">
        <x:v>467533</x:v>
      </x:c>
      <x:c r="L12" s="24" t="n">
        <x:v>592499</x:v>
      </x:c>
      <x:c r="M12" s="24" t="n">
        <x:v>607319</x:v>
      </x:c>
      <x:c r="N12" s="24" t="n">
        <x:v>543062</x:v>
      </x:c>
      <x:c r="O12" s="24" t="n">
        <x:v>406868</x:v>
      </x:c>
      <x:c r="P12" s="24" t="n">
        <x:v>352640</x:v>
      </x:c>
      <x:c r="Q12" s="24" t="n">
        <x:v>372889</x:v>
      </x:c>
      <x:c r="R12" s="24" t="n">
        <x:v>414470</x:v>
      </x:c>
    </x:row>
    <x:row r="13">
      <x:c r="A13" t="str">
        <x:v>Milpa Alta</x:v>
      </x:c>
      <x:c r="B13" s="24" t="n">
        <x:v>4022</x:v>
      </x:c>
      <x:c r="C13" s="24" t="n">
        <x:v>4388</x:v>
      </x:c>
      <x:c r="D13" s="24" t="n">
        <x:v>5302</x:v>
      </x:c>
      <x:c r="E13" s="24" t="n">
        <x:v>7313</x:v>
      </x:c>
      <x:c r="F13" s="24" t="n">
        <x:v>9896</x:v>
      </x:c>
      <x:c r="G13" s="24" t="n">
        <x:v>7986</x:v>
      </x:c>
      <x:c r="H13" s="24" t="n">
        <x:v>7755</x:v>
      </x:c>
      <x:c r="I13" s="24" t="n">
        <x:v>8942</x:v>
      </x:c>
      <x:c r="J13" s="24" t="n">
        <x:v>11412</x:v>
      </x:c>
      <x:c r="K13" s="24" t="n">
        <x:v>18212</x:v>
      </x:c>
      <x:c r="L13" s="24" t="n">
        <x:v>24379</x:v>
      </x:c>
      <x:c r="M13" s="24" t="n">
        <x:v>33694</x:v>
      </x:c>
      <x:c r="N13" s="24" t="n">
        <x:v>53616</x:v>
      </x:c>
      <x:c r="O13" s="24" t="n">
        <x:v>63654</x:v>
      </x:c>
      <x:c r="P13" s="24" t="n">
        <x:v>96773</x:v>
      </x:c>
      <x:c r="Q13" s="24" t="n">
        <x:v>130582</x:v>
      </x:c>
      <x:c r="R13" s="24" t="n">
        <x:v>152685</x:v>
      </x:c>
    </x:row>
    <x:row r="14">
      <x:c r="A14" t="str">
        <x:v>Tláhuac</x:v>
      </x:c>
      <x:c r="B14" s="24" t="n">
        <x:v>1564</x:v>
      </x:c>
      <x:c r="C14" s="24" t="n">
        <x:v>1706</x:v>
      </x:c>
      <x:c r="D14" s="24" t="n">
        <x:v>2062</x:v>
      </x:c>
      <x:c r="E14" s="24" t="n">
        <x:v>2844</x:v>
      </x:c>
      <x:c r="F14" s="24" t="n">
        <x:v>3848</x:v>
      </x:c>
      <x:c r="G14" s="24" t="n">
        <x:v>4823</x:v>
      </x:c>
      <x:c r="H14" s="24" t="n">
        <x:v>5931</x:v>
      </x:c>
      <x:c r="I14" s="24" t="n">
        <x:v>7957</x:v>
      </x:c>
      <x:c r="J14" s="24" t="n">
        <x:v>11294</x:v>
      </x:c>
      <x:c r="K14" s="24" t="n">
        <x:v>19511</x:v>
      </x:c>
      <x:c r="L14" s="24" t="n">
        <x:v>29880</x:v>
      </x:c>
      <x:c r="M14" s="24" t="n">
        <x:v>62419</x:v>
      </x:c>
      <x:c r="N14" s="24" t="n">
        <x:v>146923</x:v>
      </x:c>
      <x:c r="O14" s="24" t="n">
        <x:v>206700</x:v>
      </x:c>
      <x:c r="P14" s="24" t="n">
        <x:v>302790</x:v>
      </x:c>
      <x:c r="Q14" s="24" t="n">
        <x:v>360265</x:v>
      </x:c>
      <x:c r="R14" s="24" t="n">
        <x:v>392313</x:v>
      </x:c>
    </x:row>
    <x:row r="15">
      <x:c r="A15" t="str">
        <x:v>Tlalpan</x:v>
      </x:c>
      <x:c r="B15" s="24" t="n">
        <x:v>2681</x:v>
      </x:c>
      <x:c r="C15" s="24" t="n">
        <x:v>2925</x:v>
      </x:c>
      <x:c r="D15" s="24" t="n">
        <x:v>3535</x:v>
      </x:c>
      <x:c r="E15" s="24" t="n">
        <x:v>4875</x:v>
      </x:c>
      <x:c r="F15" s="24" t="n">
        <x:v>6597</x:v>
      </x:c>
      <x:c r="G15" s="24" t="n">
        <x:v>8174</x:v>
      </x:c>
      <x:c r="H15" s="24" t="n">
        <x:v>10007</x:v>
      </x:c>
      <x:c r="I15" s="24" t="n">
        <x:v>13395</x:v>
      </x:c>
      <x:c r="J15" s="24" t="n">
        <x:v>18987</x:v>
      </x:c>
      <x:c r="K15" s="24" t="n">
        <x:v>32767</x:v>
      </x:c>
      <x:c r="L15" s="24" t="n">
        <x:v>61195</x:v>
      </x:c>
      <x:c r="M15" s="24" t="n">
        <x:v>130719</x:v>
      </x:c>
      <x:c r="N15" s="24" t="n">
        <x:v>368974</x:v>
      </x:c>
      <x:c r="O15" s="24" t="n">
        <x:v>484866</x:v>
      </x:c>
      <x:c r="P15" s="24" t="n">
        <x:v>581781</x:v>
      </x:c>
      <x:c r="Q15" s="24" t="n">
        <x:v>650567</x:v>
      </x:c>
      <x:c r="R15" s="24" t="n">
        <x:v>699928</x:v>
      </x:c>
    </x:row>
    <x:row r="16">
      <x:c r="A16" t="str">
        <x:v>Venustiano Carranza</x:v>
      </x:c>
      <x:c r="B16" s="24" t="n">
        <x:v>37986</x:v>
      </x:c>
      <x:c r="C16" s="24" t="n">
        <x:v>41439</x:v>
      </x:c>
      <x:c r="D16" s="24" t="n">
        <x:v>50072</x:v>
      </x:c>
      <x:c r="E16" s="24" t="n">
        <x:v>69065</x:v>
      </x:c>
      <x:c r="F16" s="24" t="n">
        <x:v>93460</x:v>
      </x:c>
      <x:c r="G16" s="24" t="n">
        <x:v>134072</x:v>
      </x:c>
      <x:c r="H16" s="24" t="n">
        <x:v>172808</x:v>
      </x:c>
      <x:c r="I16" s="24" t="n">
        <x:v>237460</x:v>
      </x:c>
      <x:c r="J16" s="24" t="n">
        <x:v>341977</x:v>
      </x:c>
      <x:c r="K16" s="24" t="n">
        <x:v>596528</x:v>
      </x:c>
      <x:c r="L16" s="24" t="n">
        <x:v>755974</x:v>
      </x:c>
      <x:c r="M16" s="24" t="n">
        <x:v>774882</x:v>
      </x:c>
      <x:c r="N16" s="24" t="n">
        <x:v>692896</x:v>
      </x:c>
      <x:c r="O16" s="24" t="n">
        <x:v>519628</x:v>
      </x:c>
      <x:c r="P16" s="24" t="n">
        <x:v>462806</x:v>
      </x:c>
      <x:c r="Q16" s="24" t="n">
        <x:v>430978</x:v>
      </x:c>
      <x:c r="R16" s="24" t="n">
        <x:v>443704</x:v>
      </x:c>
    </x:row>
    <x:row r="17">
      <x:c r="A17" t="str">
        <x:v>Xochimilco</x:v>
      </x:c>
      <x:c r="B17" s="24" t="n">
        <x:v>7597</x:v>
      </x:c>
      <x:c r="C17" s="24" t="n">
        <x:v>8288</x:v>
      </x:c>
      <x:c r="D17" s="24" t="n">
        <x:v>10014</x:v>
      </x:c>
      <x:c r="E17" s="24" t="n">
        <x:v>13813</x:v>
      </x:c>
      <x:c r="F17" s="24" t="n">
        <x:v>18692</x:v>
      </x:c>
      <x:c r="G17" s="24" t="n">
        <x:v>16837</x:v>
      </x:c>
      <x:c r="H17" s="24" t="n">
        <x:v>17622</x:v>
      </x:c>
      <x:c r="I17" s="24" t="n">
        <x:v>21462</x:v>
      </x:c>
      <x:c r="J17" s="24" t="n">
        <x:v>28552</x:v>
      </x:c>
      <x:c r="K17" s="24" t="n">
        <x:v>47082</x:v>
      </x:c>
      <x:c r="L17" s="24" t="n">
        <x:v>70381</x:v>
      </x:c>
      <x:c r="M17" s="24" t="n">
        <x:v>116493</x:v>
      </x:c>
      <x:c r="N17" s="24" t="n">
        <x:v>217481</x:v>
      </x:c>
      <x:c r="O17" s="24" t="n">
        <x:v>271151</x:v>
      </x:c>
      <x:c r="P17" s="24" t="n">
        <x:v>369787</x:v>
      </x:c>
      <x:c r="Q17" s="24" t="n">
        <x:v>415007</x:v>
      </x:c>
      <x:c r="R17" s="24" t="n">
        <x:v>442178</x:v>
      </x:c>
    </x:row>
  </x:sheetData>
  <x:pageMargins left="0.7" right="0.7" top="0.75" bottom="0.75" header="0.3" footer="0.3"/>
  <x:tableParts count="1">
    <x:tablePart xmlns:r="http://schemas.openxmlformats.org/officeDocument/2006/relationships" r:id="R7481cd89fb7644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58" hidden="0" customWidth="1"/>
  </x:cols>
  <x:sheetData>
    <x:row r="1">
      <x:c r="A1" s="6" t="str">
        <x:v>Source / URL</x:v>
      </x:c>
      <x:c r="B1" s="6" t="str">
        <x:v>Use in workbook</x:v>
      </x:c>
    </x:row>
    <x:row r="2">
      <x:c r="A2" s="16" t="str">
        <x:v>https://www.salud.cdmx.gob.mx/secretaria/estructura</x:v>
      </x:c>
      <x:c r="B2" s="16" t="str">
        <x:v>SEDESA hospital network names/current institutional structure.</x:v>
      </x:c>
    </x:row>
    <x:row r="3">
      <x:c r="A3" s="16" t="str">
        <x:v>https://datos.cdmx.gob.mx/dataset/hospitales-y-centros-de-salud</x:v>
      </x:c>
      <x:c r="B3" s="16" t="str">
        <x:v>Official CDMX georeferenced locations of hospitals and health centers; useful for current benchmark, not historical opening years.</x:v>
      </x:c>
    </x:row>
    <x:row r="4">
      <x:c r="A4" s="16" t="str">
        <x:v>https://hgm.salud.gob.mx/interna/dirgral/antecedentes.html</x:v>
      </x:c>
      <x:c r="B4" s="16" t="str">
        <x:v>Hospital General de México official opening history.</x:v>
      </x:c>
    </x:row>
    <x:row r="5">
      <x:c r="A5" s="16" t="str">
        <x:v>https://www.himfg.edu.mx/interior/el_instituto.html</x:v>
      </x:c>
      <x:c r="B5" s="16" t="str">
        <x:v>Hospital Infantil de México official history.</x:v>
      </x:c>
    </x:row>
    <x:row r="6">
      <x:c r="A6" s="16" t="str">
        <x:v>https://revistamedica.imss.gob.mx/index.php/revista_medica/article/view/47/187</x:v>
      </x:c>
      <x:c r="B6" s="16" t="str">
        <x:v>CMN La Raza historical information.</x:v>
      </x:c>
    </x:row>
    <x:row r="7">
      <x:c r="A7" s="16" t="str">
        <x:v>https://revistamedica.imss.gob.mx/index.php/revista_medica/article/view/175/1589</x:v>
      </x:c>
      <x:c r="B7" s="16" t="str">
        <x:v>CMN Siglo XXI historical information.</x:v>
      </x:c>
    </x:row>
    <x:row r="8">
      <x:c r="A8" s="16" t="str">
        <x:v>https://www.pediatria.gob.mx/interna/historia_inp.html</x:v>
      </x:c>
      <x:c r="B8" s="16" t="str">
        <x:v>Instituto Nacional de Pediatría opening history.</x:v>
      </x:c>
    </x:row>
    <x:row r="9">
      <x:c r="A9" s="16" t="str">
        <x:v>https://incmnsz.mx/opencms/contenido/conoce/historia_instituto.html</x:v>
      </x:c>
      <x:c r="B9" s="16" t="str">
        <x:v>INCMNSZ official history.</x:v>
      </x:c>
    </x:row>
    <x:row r="10">
      <x:c r="A10" s="16" t="str">
        <x:v>https://www.scielo.org.mx/scielo.php?pid=S1405-00992019000200120&amp;script=sci_arttext</x:v>
      </x:c>
      <x:c r="B10" s="16" t="str">
        <x:v>Hospital General Balbuena historical article.</x:v>
      </x:c>
    </x:row>
    <x:row r="11">
      <x:c r="A11" s="16" t="str">
        <x:v>See Hospital Catalog sheet</x:v>
      </x:c>
      <x:c r="B11" s="16" t="str">
        <x:v>Row-level source URLs and confidence notes.</x:v>
      </x:c>
    </x:row>
  </x:sheetData>
  <x:pageMargins left="0.7" right="0.7" top="0.75" bottom="0.75" header="0.3" footer="0.3"/>
</x:worksheet>
</file>