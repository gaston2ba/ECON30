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6b67238e5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f80b4af61a422c"/>
    <x:sheet xmlns:r="http://schemas.openxmlformats.org/officeDocument/2006/relationships" name="Third Space Catalog" sheetId="2" r:id="R036d15b25d8441ea"/>
    <x:sheet xmlns:r="http://schemas.openxmlformats.org/officeDocument/2006/relationships" name="Decade Metric" sheetId="3" r:id="Rfe5aff8cdd2346d2"/>
    <x:sheet xmlns:r="http://schemas.openxmlformats.org/officeDocument/2006/relationships" name="Wide Metric" sheetId="4" r:id="Rba78805f696d409a"/>
    <x:sheet xmlns:r="http://schemas.openxmlformats.org/officeDocument/2006/relationships" name="Population" sheetId="5" r:id="R50855105fa2249c9"/>
    <x:sheet xmlns:r="http://schemas.openxmlformats.org/officeDocument/2006/relationships" name="Sources" sheetId="6" r:id="Re3d695f86cb8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fcd725c004160" /><Relationship Type="http://schemas.openxmlformats.org/officeDocument/2006/relationships/theme" Target="/xl/theme/theme1.xml" Id="R75040cc93b044c9c" /><Relationship Type="http://schemas.openxmlformats.org/officeDocument/2006/relationships/sharedStrings" Target="/xl/sharedStrings.xml" Id="R82d2515665504fe0" /><Relationship Type="http://schemas.openxmlformats.org/officeDocument/2006/relationships/worksheet" Target="/xl/worksheets/sheet1.xml" Id="R86f80b4af61a422c" /><Relationship Type="http://schemas.openxmlformats.org/officeDocument/2006/relationships/worksheet" Target="/xl/worksheets/sheet2.xml" Id="R036d15b25d8441ea" /><Relationship Type="http://schemas.openxmlformats.org/officeDocument/2006/relationships/worksheet" Target="/xl/worksheets/sheet3.xml" Id="Rfe5aff8cdd2346d2" /><Relationship Type="http://schemas.openxmlformats.org/officeDocument/2006/relationships/worksheet" Target="/xl/worksheets/sheet4.xml" Id="Rba78805f696d409a" /><Relationship Type="http://schemas.openxmlformats.org/officeDocument/2006/relationships/worksheet" Target="/xl/worksheets/sheet5.xml" Id="R50855105fa2249c9" /><Relationship Type="http://schemas.openxmlformats.org/officeDocument/2006/relationships/worksheet" Target="/xl/worksheets/sheet6.xml" Id="Re3d695f86cb84654" /></Relationships>
</file>

<file path=xl/tables/table1.xml><?xml version="1.0" encoding="utf-8"?>
<x:table xmlns:x="http://schemas.openxmlformats.org/spreadsheetml/2006/main" id="5" name="ReadmeSummaryTable" displayName="ReadmeSummaryTable" ref="A13:D29" headerRowCount="1">
  <x:tableColumns count="4">
    <x:tableColumn id="1" name="Alcaldía"/>
    <x:tableColumn id="2" name="Catalog Count"/>
    <x:tableColumn id="3" name="Museums"/>
    <x:tableColumn id="4" name="Libraries"/>
  </x:tableColumns>
  <x:tableStyleInfo name="TableStyleMedium2" showRowStripes="1"/>
</x:table>
</file>

<file path=xl/tables/table2.xml><?xml version="1.0" encoding="utf-8"?>
<x:table xmlns:x="http://schemas.openxmlformats.org/spreadsheetml/2006/main" id="1" name="ThirdSpaceCatalog" displayName="ThirdSpaceCatalog" ref="A1:J77" headerRowCount="1">
  <x:tableColumns count="10">
    <x:tableColumn id="1" name="Institution"/>
    <x:tableColumn id="2" name="Type"/>
    <x:tableColumn id="3" name="Current Alcaldía"/>
    <x:tableColumn id="4" name="Opening Year"/>
    <x:tableColumn id="5" name="Opening Decade"/>
    <x:tableColumn id="6" name="Source URL"/>
    <x:tableColumn id="7" name="Source / Notes"/>
    <x:tableColumn id="8" name="Confidence"/>
    <x:tableColumn id="9" name="Include in metric"/>
    <x:tableColumn id="10" name="Metric Definition Note"/>
  </x:tableColumns>
  <x:tableStyleInfo name="TableStyleMedium2" showRowStripes="1"/>
</x:table>
</file>

<file path=xl/tables/table3.xml><?xml version="1.0" encoding="utf-8"?>
<x:table xmlns:x="http://schemas.openxmlformats.org/spreadsheetml/2006/main" id="2" name="DecadeMetricTable" displayName="DecadeMetricTable" ref="A1:J273" headerRowCount="1">
  <x:tableColumns count="10">
    <x:tableColumn id="1" name="Alcaldía"/>
    <x:tableColumn id="2" name="Decade"/>
    <x:tableColumn id="3" name="Population"/>
    <x:tableColumn id="4" name="Cumulative Museums"/>
    <x:tableColumn id="5" name="Cumulative Libraries"/>
    <x:tableColumn id="6" name="Cumulative Third Spaces"/>
    <x:tableColumn id="7" name="Third Spaces per 100k residents"/>
    <x:tableColumn id="8" name="Museums per 100k"/>
    <x:tableColumn id="9" name="Libraries per 100k"/>
    <x:tableColumn id="10" name="Formula Notes"/>
  </x:tableColumns>
  <x:tableStyleInfo name="TableStyleMedium2" showRowStripes="1"/>
</x:table>
</file>

<file path=xl/tables/table4.xml><?xml version="1.0" encoding="utf-8"?>
<x:table xmlns:x="http://schemas.openxmlformats.org/spreadsheetml/2006/main" id="3" name="WideMetricTable" displayName="WideMetricTable" ref="A1:Q18" headerRowCount="1">
  <x:tableColumns count="17">
    <x:tableColumn id="1" name="Decade"/>
    <x:tableColumn id="2" name="Álvaro Obregón"/>
    <x:tableColumn id="3" name="Azcapotzalco"/>
    <x:tableColumn id="4" name="Benito Juárez"/>
    <x:tableColumn id="5" name="Coyoacán"/>
    <x:tableColumn id="6" name="Cuajimalpa de Morelos"/>
    <x:tableColumn id="7" name="Cuauhtémoc"/>
    <x:tableColumn id="8" name="Gustavo A. Madero"/>
    <x:tableColumn id="9" name="Iztacalco"/>
    <x:tableColumn id="10" name="Iztapalapa"/>
    <x:tableColumn id="11" name="La Magdalena Contreras"/>
    <x:tableColumn id="12" name="Miguel Hidalgo"/>
    <x:tableColumn id="13" name="Milpa Alta"/>
    <x:tableColumn id="14" name="Tláhuac"/>
    <x:tableColumn id="15" name="Tlalpan"/>
    <x:tableColumn id="16" name="Venustiano Carranza"/>
    <x:tableColumn id="17" name="Xochimilco"/>
  </x:tableColumns>
  <x:tableStyleInfo name="TableStyleMedium2" showRowStripes="1"/>
</x:table>
</file>

<file path=xl/tables/table5.xml><?xml version="1.0" encoding="utf-8"?>
<x:table xmlns:x="http://schemas.openxmlformats.org/spreadsheetml/2006/main" id="4" name="SourcesTable" displayName="SourcesTable" ref="A1:D11" headerRowCount="1">
  <x:tableColumns count="4">
    <x:tableColumn id="1" name="Category"/>
    <x:tableColumn id="2" name="Source"/>
    <x:tableColumn id="3" name="URL"/>
    <x:tableColumn id="4" name="Use in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a2f511e42e48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971befd9fd49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37c67eb8f748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3803740b9c4b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a7a1df76d444e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8" t="str">
        <x:v>CDMX Third Spaces Access by Alcaldía and Decade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Purpose</x:v>
      </x:c>
      <x:c r="B3" s="41" t="str">
        <x:v>Build a historical panel of third-space access by current alcaldía using museums and public libraries / library-like public research spaces.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Metric</x:v>
      </x:c>
      <x:c r="B4" s="41" t="str">
        <x:v>Cumulative third spaces per 100,000 residents, by decade and current alcaldía.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Population denominator</x:v>
      </x:c>
      <x:c r="B5" s="41" t="str">
        <x:v>Same uploaded population workbook: CDMX population per current alcaldía, 1860–2020.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Important limitation</x:v>
      </x:c>
      <x:c r="B6" s="41" t="str">
        <x:v>Museums and libraries do not consistently publish comparable floor/surface area data, so this uses counts per population, not m² per population.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Historical limitation</x:v>
      </x:c>
      <x:c r="B7" s="41" t="str">
        <x:v>The catalog is a curated, datable sample. Rows marked Low confidence are proxies or need verification before publication.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How to update</x:v>
      </x:c>
      <x:c r="B8" s="41" t="str">
        <x:v>Add rows to 'Third Space Catalog' with Include in metric = 1 and the decade metric formulas will update.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0" t="str">
        <x:v>Strict vs proxy</x:v>
      </x:c>
      <x:c r="B9" s="41" t="str">
        <x:v>Rows with Include in metric = 0 are not counted; they remain in the catalog as potential third-space context.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0" t="str">
        <x:v>Created</x:v>
      </x:c>
      <x:c r="B10" s="41" t="str">
        <x:v>2026-05-25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Alcaldía</x:v>
      </x:c>
      <x:c r="B13" s="42" t="str">
        <x:v>Catalog Count</x:v>
      </x:c>
      <x:c r="C13" s="42" t="str">
        <x:v>Museums</x:v>
      </x:c>
      <x:c r="D13" s="42" t="str">
        <x:v>Libraries</x:v>
      </x:c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 t="str">
        <x:v>Álvaro Obregón</x:v>
      </x:c>
      <x:c r="B14" s="43" t="n">
        <x:f>COUNTIFS('Third Space Catalog'!$C:$C,A14,'Third Space Catalog'!$I:$I,1)</x:f>
        <x:v>5</x:v>
      </x:c>
      <x:c r="C14" s="43" t="n">
        <x:f>COUNTIFS('Third Space Catalog'!$C:$C,A14,'Third Space Catalog'!$B:$B,"Museum",'Third Space Catalog'!$I:$I,1)</x:f>
        <x:v>5</x:v>
      </x:c>
      <x:c r="D14" s="43" t="n">
        <x:f>COUNTIFS('Third Space Catalog'!$C:$C,A14,'Third Space Catalog'!$B:$B,"Library",'Third Space Catalog'!$I:$I,1)</x:f>
        <x:v>0</x:v>
      </x:c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 t="str">
        <x:v>Azcapotzalco</x:v>
      </x:c>
      <x:c r="B15" s="43" t="n">
        <x:f>COUNTIFS('Third Space Catalog'!$C:$C,A15,'Third Space Catalog'!$I:$I,1)</x:f>
        <x:v>4</x:v>
      </x:c>
      <x:c r="C15" s="43" t="n">
        <x:f>COUNTIFS('Third Space Catalog'!$C:$C,A15,'Third Space Catalog'!$B:$B,"Museum",'Third Space Catalog'!$I:$I,1)</x:f>
        <x:v>2</x:v>
      </x:c>
      <x:c r="D15" s="43" t="n">
        <x:f>COUNTIFS('Third Space Catalog'!$C:$C,A15,'Third Space Catalog'!$B:$B,"Library",'Third Space Catalog'!$I:$I,1)</x:f>
        <x:v>2</x:v>
      </x:c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 t="str">
        <x:v>Benito Juárez</x:v>
      </x:c>
      <x:c r="B16" s="43" t="n">
        <x:f>COUNTIFS('Third Space Catalog'!$C:$C,A16,'Third Space Catalog'!$I:$I,1)</x:f>
        <x:v>3</x:v>
      </x:c>
      <x:c r="C16" s="43" t="n">
        <x:f>COUNTIFS('Third Space Catalog'!$C:$C,A16,'Third Space Catalog'!$B:$B,"Museum",'Third Space Catalog'!$I:$I,1)</x:f>
        <x:v>2</x:v>
      </x:c>
      <x:c r="D16" s="43" t="n">
        <x:f>COUNTIFS('Third Space Catalog'!$C:$C,A16,'Third Space Catalog'!$B:$B,"Library",'Third Space Catalog'!$I:$I,1)</x:f>
        <x:v>1</x:v>
      </x:c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 t="str">
        <x:v>Coyoacán</x:v>
      </x:c>
      <x:c r="B17" s="43" t="n">
        <x:f>COUNTIFS('Third Space Catalog'!$C:$C,A17,'Third Space Catalog'!$I:$I,1)</x:f>
        <x:v>10</x:v>
      </x:c>
      <x:c r="C17" s="43" t="n">
        <x:f>COUNTIFS('Third Space Catalog'!$C:$C,A17,'Third Space Catalog'!$B:$B,"Museum",'Third Space Catalog'!$I:$I,1)</x:f>
        <x:v>7</x:v>
      </x:c>
      <x:c r="D17" s="43" t="n">
        <x:f>COUNTIFS('Third Space Catalog'!$C:$C,A17,'Third Space Catalog'!$B:$B,"Library",'Third Space Catalog'!$I:$I,1)</x:f>
        <x:v>3</x:v>
      </x:c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 t="str">
        <x:v>Cuajimalpa de Morelos</x:v>
      </x:c>
      <x:c r="B18" s="43" t="n">
        <x:f>COUNTIFS('Third Space Catalog'!$C:$C,A18,'Third Space Catalog'!$I:$I,1)</x:f>
        <x:v>3</x:v>
      </x:c>
      <x:c r="C18" s="43" t="n">
        <x:f>COUNTIFS('Third Space Catalog'!$C:$C,A18,'Third Space Catalog'!$B:$B,"Museum",'Third Space Catalog'!$I:$I,1)</x:f>
        <x:v>1</x:v>
      </x:c>
      <x:c r="D18" s="43" t="n">
        <x:f>COUNTIFS('Third Space Catalog'!$C:$C,A18,'Third Space Catalog'!$B:$B,"Library",'Third Space Catalog'!$I:$I,1)</x:f>
        <x:v>2</x:v>
      </x:c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 t="str">
        <x:v>Cuauhtémoc</x:v>
      </x:c>
      <x:c r="B19" s="43" t="n">
        <x:f>COUNTIFS('Third Space Catalog'!$C:$C,A19,'Third Space Catalog'!$I:$I,1)</x:f>
        <x:v>15</x:v>
      </x:c>
      <x:c r="C19" s="43" t="n">
        <x:f>COUNTIFS('Third Space Catalog'!$C:$C,A19,'Third Space Catalog'!$B:$B,"Museum",'Third Space Catalog'!$I:$I,1)</x:f>
        <x:v>13</x:v>
      </x:c>
      <x:c r="D19" s="43" t="n">
        <x:f>COUNTIFS('Third Space Catalog'!$C:$C,A19,'Third Space Catalog'!$B:$B,"Library",'Third Space Catalog'!$I:$I,1)</x:f>
        <x:v>2</x:v>
      </x:c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 t="str">
        <x:v>Gustavo A. Madero</x:v>
      </x:c>
      <x:c r="B20" s="43" t="n">
        <x:f>COUNTIFS('Third Space Catalog'!$C:$C,A20,'Third Space Catalog'!$I:$I,1)</x:f>
        <x:v>4</x:v>
      </x:c>
      <x:c r="C20" s="43" t="n">
        <x:f>COUNTIFS('Third Space Catalog'!$C:$C,A20,'Third Space Catalog'!$B:$B,"Museum",'Third Space Catalog'!$I:$I,1)</x:f>
        <x:v>3</x:v>
      </x:c>
      <x:c r="D20" s="43" t="n">
        <x:f>COUNTIFS('Third Space Catalog'!$C:$C,A20,'Third Space Catalog'!$B:$B,"Library",'Third Space Catalog'!$I:$I,1)</x:f>
        <x:v>1</x:v>
      </x:c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 t="str">
        <x:v>Iztacalco</x:v>
      </x:c>
      <x:c r="B21" s="43" t="n">
        <x:f>COUNTIFS('Third Space Catalog'!$C:$C,A21,'Third Space Catalog'!$I:$I,1)</x:f>
        <x:v>2</x:v>
      </x:c>
      <x:c r="C21" s="43" t="n">
        <x:f>COUNTIFS('Third Space Catalog'!$C:$C,A21,'Third Space Catalog'!$B:$B,"Museum",'Third Space Catalog'!$I:$I,1)</x:f>
        <x:v>1</x:v>
      </x:c>
      <x:c r="D21" s="43" t="n">
        <x:f>COUNTIFS('Third Space Catalog'!$C:$C,A21,'Third Space Catalog'!$B:$B,"Library",'Third Space Catalog'!$I:$I,1)</x:f>
        <x:v>1</x:v>
      </x:c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 t="str">
        <x:v>Iztapalapa</x:v>
      </x:c>
      <x:c r="B22" s="43" t="n">
        <x:f>COUNTIFS('Third Space Catalog'!$C:$C,A22,'Third Space Catalog'!$I:$I,1)</x:f>
        <x:v>5</x:v>
      </x:c>
      <x:c r="C22" s="43" t="n">
        <x:f>COUNTIFS('Third Space Catalog'!$C:$C,A22,'Third Space Catalog'!$B:$B,"Museum",'Third Space Catalog'!$I:$I,1)</x:f>
        <x:v>4</x:v>
      </x:c>
      <x:c r="D22" s="43" t="n">
        <x:f>COUNTIFS('Third Space Catalog'!$C:$C,A22,'Third Space Catalog'!$B:$B,"Library",'Third Space Catalog'!$I:$I,1)</x:f>
        <x:v>1</x:v>
      </x:c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 t="str">
        <x:v>La Magdalena Contreras</x:v>
      </x:c>
      <x:c r="B23" s="43" t="n">
        <x:f>COUNTIFS('Third Space Catalog'!$C:$C,A23,'Third Space Catalog'!$I:$I,1)</x:f>
        <x:v>2</x:v>
      </x:c>
      <x:c r="C23" s="43" t="n">
        <x:f>COUNTIFS('Third Space Catalog'!$C:$C,A23,'Third Space Catalog'!$B:$B,"Museum",'Third Space Catalog'!$I:$I,1)</x:f>
        <x:v>0</x:v>
      </x:c>
      <x:c r="D23" s="43" t="n">
        <x:f>COUNTIFS('Third Space Catalog'!$C:$C,A23,'Third Space Catalog'!$B:$B,"Library",'Third Space Catalog'!$I:$I,1)</x:f>
        <x:v>2</x:v>
      </x:c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 t="str">
        <x:v>Miguel Hidalgo</x:v>
      </x:c>
      <x:c r="B24" s="43" t="n">
        <x:f>COUNTIFS('Third Space Catalog'!$C:$C,A24,'Third Space Catalog'!$I:$I,1)</x:f>
        <x:v>7</x:v>
      </x:c>
      <x:c r="C24" s="43" t="n">
        <x:f>COUNTIFS('Third Space Catalog'!$C:$C,A24,'Third Space Catalog'!$B:$B,"Museum",'Third Space Catalog'!$I:$I,1)</x:f>
        <x:v>7</x:v>
      </x:c>
      <x:c r="D24" s="43" t="n">
        <x:f>COUNTIFS('Third Space Catalog'!$C:$C,A24,'Third Space Catalog'!$B:$B,"Library",'Third Space Catalog'!$I:$I,1)</x:f>
        <x:v>0</x:v>
      </x:c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 t="str">
        <x:v>Milpa Alta</x:v>
      </x:c>
      <x:c r="B25" s="43" t="n">
        <x:f>COUNTIFS('Third Space Catalog'!$C:$C,A25,'Third Space Catalog'!$I:$I,1)</x:f>
        <x:v>2</x:v>
      </x:c>
      <x:c r="C25" s="43" t="n">
        <x:f>COUNTIFS('Third Space Catalog'!$C:$C,A25,'Third Space Catalog'!$B:$B,"Museum",'Third Space Catalog'!$I:$I,1)</x:f>
        <x:v>1</x:v>
      </x:c>
      <x:c r="D25" s="43" t="n">
        <x:f>COUNTIFS('Third Space Catalog'!$C:$C,A25,'Third Space Catalog'!$B:$B,"Library",'Third Space Catalog'!$I:$I,1)</x:f>
        <x:v>1</x:v>
      </x:c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 t="str">
        <x:v>Tláhuac</x:v>
      </x:c>
      <x:c r="B26" s="43" t="n">
        <x:f>COUNTIFS('Third Space Catalog'!$C:$C,A26,'Third Space Catalog'!$I:$I,1)</x:f>
        <x:v>3</x:v>
      </x:c>
      <x:c r="C26" s="43" t="n">
        <x:f>COUNTIFS('Third Space Catalog'!$C:$C,A26,'Third Space Catalog'!$B:$B,"Museum",'Third Space Catalog'!$I:$I,1)</x:f>
        <x:v>2</x:v>
      </x:c>
      <x:c r="D26" s="43" t="n">
        <x:f>COUNTIFS('Third Space Catalog'!$C:$C,A26,'Third Space Catalog'!$B:$B,"Library",'Third Space Catalog'!$I:$I,1)</x:f>
        <x:v>1</x:v>
      </x:c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 t="str">
        <x:v>Tlalpan</x:v>
      </x:c>
      <x:c r="B27" s="43" t="n">
        <x:f>COUNTIFS('Third Space Catalog'!$C:$C,A27,'Third Space Catalog'!$I:$I,1)</x:f>
        <x:v>3</x:v>
      </x:c>
      <x:c r="C27" s="43" t="n">
        <x:f>COUNTIFS('Third Space Catalog'!$C:$C,A27,'Third Space Catalog'!$B:$B,"Museum",'Third Space Catalog'!$I:$I,1)</x:f>
        <x:v>2</x:v>
      </x:c>
      <x:c r="D27" s="43" t="n">
        <x:f>COUNTIFS('Third Space Catalog'!$C:$C,A27,'Third Space Catalog'!$B:$B,"Library",'Third Space Catalog'!$I:$I,1)</x:f>
        <x:v>1</x:v>
      </x:c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 t="str">
        <x:v>Venustiano Carranza</x:v>
      </x:c>
      <x:c r="B28" s="43" t="n">
        <x:f>COUNTIFS('Third Space Catalog'!$C:$C,A28,'Third Space Catalog'!$I:$I,1)</x:f>
        <x:v>3</x:v>
      </x:c>
      <x:c r="C28" s="43" t="n">
        <x:f>COUNTIFS('Third Space Catalog'!$C:$C,A28,'Third Space Catalog'!$B:$B,"Museum",'Third Space Catalog'!$I:$I,1)</x:f>
        <x:v>1</x:v>
      </x:c>
      <x:c r="D28" s="43" t="n">
        <x:f>COUNTIFS('Third Space Catalog'!$C:$C,A28,'Third Space Catalog'!$B:$B,"Library",'Third Space Catalog'!$I:$I,1)</x:f>
        <x:v>2</x:v>
      </x:c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 t="str">
        <x:v>Xochimilco</x:v>
      </x:c>
      <x:c r="B29" s="43" t="n">
        <x:f>COUNTIFS('Third Space Catalog'!$C:$C,A29,'Third Space Catalog'!$I:$I,1)</x:f>
        <x:v>3</x:v>
      </x:c>
      <x:c r="C29" s="43" t="n">
        <x:f>COUNTIFS('Third Space Catalog'!$C:$C,A29,'Third Space Catalog'!$B:$B,"Museum",'Third Space Catalog'!$I:$I,1)</x:f>
        <x:v>2</x:v>
      </x:c>
      <x:c r="D29" s="43" t="n">
        <x:f>COUNTIFS('Third Space Catalog'!$C:$C,A29,'Third Space Catalog'!$B:$B,"Library",'Third Space Catalog'!$I:$I,1)</x:f>
        <x:v>1</x:v>
      </x:c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8a2f511e42e48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54" hidden="0" customWidth="1"/>
    <x:col min="7" max="7" width="64" hidden="0" customWidth="1"/>
    <x:col min="8" max="8" width="14" hidden="0" customWidth="1"/>
    <x:col min="9" max="9" width="16" hidden="0" customWidth="1"/>
    <x:col min="10" max="10" width="36" hidden="0" customWidth="1"/>
  </x:cols>
  <x:sheetData>
    <x:row r="1">
      <x:c r="A1" s="42" t="str">
        <x:v>Institution</x:v>
      </x:c>
      <x:c r="B1" s="42" t="str">
        <x:v>Type</x:v>
      </x:c>
      <x:c r="C1" s="42" t="str">
        <x:v>Current Alcaldía</x:v>
      </x:c>
      <x:c r="D1" s="42" t="str">
        <x:v>Opening Year</x:v>
      </x:c>
      <x:c r="E1" s="42" t="str">
        <x:v>Opening Decade</x:v>
      </x:c>
      <x:c r="F1" s="42" t="str">
        <x:v>Source URL</x:v>
      </x:c>
      <x:c r="G1" s="42" t="str">
        <x:v>Source / Notes</x:v>
      </x:c>
      <x:c r="H1" s="42" t="str">
        <x:v>Confidence</x:v>
      </x:c>
      <x:c r="I1" s="42" t="str">
        <x:v>Include in metric</x:v>
      </x:c>
      <x:c r="J1" s="42" t="str">
        <x:v>Metric Definition Note</x:v>
      </x:c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str">
        <x:v>Museo del Carmen</x:v>
      </x:c>
      <x:c r="B2" s="41" t="str">
        <x:v>Museum</x:v>
      </x:c>
      <x:c r="C2" s="41" t="str">
        <x:v>Álvaro Obregón</x:v>
      </x:c>
      <x:c r="D2" s="50" t="n">
        <x:v>1929</x:v>
      </x:c>
      <x:c r="E2" s="50" t="n">
        <x:v>1920</x:v>
      </x:c>
      <x:c r="F2" s="41" t="str">
        <x:v>https://sic.gob.mx/ficha.php?table=museo&amp;table_id=664</x:v>
      </x:c>
      <x:c r="G2" s="41" t="str">
        <x:v>SIC/INAH record; opening year used as museum-public benchmark</x:v>
      </x:c>
      <x:c r="H2" s="41" t="str">
        <x:v>High</x:v>
      </x:c>
      <x:c r="I2" s="50" t="n">
        <x:v>1</x:v>
      </x:c>
      <x:c r="J2" s="41" t="str">
        <x:v>Counted as a third space if Include in metric = 1</x:v>
      </x:c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Museo Casa del Risco</x:v>
      </x:c>
      <x:c r="B3" s="41" t="str">
        <x:v>Museum</x:v>
      </x:c>
      <x:c r="C3" s="41" t="str">
        <x:v>Álvaro Obregón</x:v>
      </x:c>
      <x:c r="D3" s="50" t="n">
        <x:v>1958</x:v>
      </x:c>
      <x:c r="E3" s="50" t="n">
        <x:v>1950</x:v>
      </x:c>
      <x:c r="F3" s="41" t="str">
        <x:v>https://sic.gob.mx/ficha.php?table=museo&amp;table_id=678</x:v>
      </x:c>
      <x:c r="G3" s="41" t="str">
        <x:v>Museum opening year commonly listed as 1958; verify for final publication</x:v>
      </x:c>
      <x:c r="H3" s="41" t="str">
        <x:v>Medium</x:v>
      </x:c>
      <x:c r="I3" s="50" t="n">
        <x:v>1</x:v>
      </x:c>
      <x:c r="J3" s="41" t="str">
        <x:v>Counted as a third space if Include in metric = 1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Museo de Arte Carrillo Gil</x:v>
      </x:c>
      <x:c r="B4" s="41" t="str">
        <x:v>Museum</x:v>
      </x:c>
      <x:c r="C4" s="41" t="str">
        <x:v>Álvaro Obregón</x:v>
      </x:c>
      <x:c r="D4" s="50" t="n">
        <x:v>1974</x:v>
      </x:c>
      <x:c r="E4" s="50" t="n">
        <x:v>1970</x:v>
      </x:c>
      <x:c r="F4" s="41" t="str">
        <x:v>https://inba.gob.mx/recinto/66</x:v>
      </x:c>
      <x:c r="G4" s="41" t="str">
        <x:v>INBA/MACG institutional history; opened in 1974</x:v>
      </x:c>
      <x:c r="H4" s="41" t="str">
        <x:v>High</x:v>
      </x:c>
      <x:c r="I4" s="50" t="n">
        <x:v>1</x:v>
      </x:c>
      <x:c r="J4" s="41" t="str">
        <x:v>Counted as a third space if Include in metric = 1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Museo Casa Estudio Diego Rivera y Frida Kahlo</x:v>
      </x:c>
      <x:c r="B5" s="41" t="str">
        <x:v>Museum</x:v>
      </x:c>
      <x:c r="C5" s="41" t="str">
        <x:v>Álvaro Obregón</x:v>
      </x:c>
      <x:c r="D5" s="50" t="n">
        <x:v>1986</x:v>
      </x:c>
      <x:c r="E5" s="50" t="n">
        <x:v>1980</x:v>
      </x:c>
      <x:c r="F5" s="41" t="str">
        <x:v>https://sic.gob.mx/ficha.php?table=museo&amp;table_id=660</x:v>
      </x:c>
      <x:c r="G5" s="41" t="str">
        <x:v>SIC/INBA; opened as museum in 1986</x:v>
      </x:c>
      <x:c r="H5" s="41" t="str">
        <x:v>High</x:v>
      </x:c>
      <x:c r="I5" s="50" t="n">
        <x:v>1</x:v>
      </x:c>
      <x:c r="J5" s="41" t="str">
        <x:v>Counted as a third space if Include in metric = 1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Museo Soumaya Plaza Loreto</x:v>
      </x:c>
      <x:c r="B6" s="41" t="str">
        <x:v>Museum</x:v>
      </x:c>
      <x:c r="C6" s="41" t="str">
        <x:v>Álvaro Obregón</x:v>
      </x:c>
      <x:c r="D6" s="50" t="n">
        <x:v>1994</x:v>
      </x:c>
      <x:c r="E6" s="50" t="n">
        <x:v>1990</x:v>
      </x:c>
      <x:c r="F6" s="41" t="str">
        <x:v>https://es.wikipedia.org/wiki/Museo_Soumaya</x:v>
      </x:c>
      <x:c r="G6" s="41" t="str">
        <x:v>Founded in 1994; older Plaza Loreto site</x:v>
      </x:c>
      <x:c r="H6" s="41" t="str">
        <x:v>Medium</x:v>
      </x:c>
      <x:c r="I6" s="50" t="n">
        <x:v>1</x:v>
      </x:c>
      <x:c r="J6" s="41" t="str">
        <x:v>Counted as a third space if Include in metric = 1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Museo Tezozómoc</x:v>
      </x:c>
      <x:c r="B7" s="41" t="str">
        <x:v>Museum</x:v>
      </x:c>
      <x:c r="C7" s="41" t="str">
        <x:v>Azcapotzalco</x:v>
      </x:c>
      <x:c r="D7" s="50" t="n">
        <x:v>2000</x:v>
      </x:c>
      <x:c r="E7" s="50" t="n">
        <x:v>2000</x:v>
      </x:c>
      <x:c r="F7" s="41" t="str">
        <x:v>https://sic.gob.mx/ficha.php?table=museo&amp;table_id=717</x:v>
      </x:c>
      <x:c r="G7" s="41" t="str">
        <x:v>Interactive science museum in IPN/Azcapotzalco; opening year needs verification</x:v>
      </x:c>
      <x:c r="H7" s="41" t="str">
        <x:v>Medium</x:v>
      </x:c>
      <x:c r="I7" s="50" t="n">
        <x:v>1</x:v>
      </x:c>
      <x:c r="J7" s="41" t="str">
        <x:v>Counted as a third space if Include in metric = 1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Museo de Arte Regional Azcapotzalco</x:v>
      </x:c>
      <x:c r="B8" s="41" t="str">
        <x:v>Museum</x:v>
      </x:c>
      <x:c r="C8" s="41" t="str">
        <x:v>Azcapotzalco</x:v>
      </x:c>
      <x:c r="D8" s="50" t="n">
        <x:v>1995</x:v>
      </x:c>
      <x:c r="E8" s="50" t="n">
        <x:v>1990</x:v>
      </x:c>
      <x:c r="F8" s="41" t="str">
        <x:v>https://sic.gob.mx/ficha.php?table=museo&amp;table_id=651</x:v>
      </x:c>
      <x:c r="G8" s="41" t="str">
        <x:v>Local museum; year from secondary/SIC-style listings, verify</x:v>
      </x:c>
      <x:c r="H8" s="41" t="str">
        <x:v>Low</x:v>
      </x:c>
      <x:c r="I8" s="50" t="n">
        <x:v>1</x:v>
      </x:c>
      <x:c r="J8" s="41" t="str">
        <x:v>Counted as a third space if Include in metric = 1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Biblioteca Fray Bartolomé de las Casas</x:v>
      </x:c>
      <x:c r="B9" s="41" t="str">
        <x:v>Library</x:v>
      </x:c>
      <x:c r="C9" s="41" t="str">
        <x:v>Azcapotzalco</x:v>
      </x:c>
      <x:c r="D9" s="50" t="n">
        <x:v>1980</x:v>
      </x:c>
      <x:c r="E9" s="50" t="n">
        <x:v>1980</x:v>
      </x:c>
      <x:c r="F9" s="41" t="str">
        <x:v>https://sic.gob.mx/resultado.php?table=biblioteca&amp;estado_id=9</x:v>
      </x:c>
      <x:c r="G9" s="41" t="str">
        <x:v>Approximate; included as public-library proxy pending exact opening year</x:v>
      </x:c>
      <x:c r="H9" s="41" t="str">
        <x:v>Low</x:v>
      </x:c>
      <x:c r="I9" s="50" t="n">
        <x:v>1</x:v>
      </x:c>
      <x:c r="J9" s="41" t="str">
        <x:v>Counted as a third space if Include in metric = 1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str">
        <x:v>Biblioteca José María Morelos y Pavón</x:v>
      </x:c>
      <x:c r="B10" s="41" t="str">
        <x:v>Library</x:v>
      </x:c>
      <x:c r="C10" s="41" t="str">
        <x:v>Azcapotzalco</x:v>
      </x:c>
      <x:c r="D10" s="50" t="n">
        <x:v>1980</x:v>
      </x:c>
      <x:c r="E10" s="50" t="n">
        <x:v>1980</x:v>
      </x:c>
      <x:c r="F10" s="41" t="str">
        <x:v>https://sic.gob.mx/resultado.php?table=biblioteca&amp;estado_id=9</x:v>
      </x:c>
      <x:c r="G10" s="41" t="str">
        <x:v>Approximate; public-library proxy pending exact opening year</x:v>
      </x:c>
      <x:c r="H10" s="41" t="str">
        <x:v>Low</x:v>
      </x:c>
      <x:c r="I10" s="50" t="n">
        <x:v>1</x:v>
      </x:c>
      <x:c r="J10" s="41" t="str">
        <x:v>Counted as a third space if Include in metric = 1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1" t="str">
        <x:v>Polyforum Cultural Siqueiros</x:v>
      </x:c>
      <x:c r="B11" s="41" t="str">
        <x:v>Museum</x:v>
      </x:c>
      <x:c r="C11" s="41" t="str">
        <x:v>Benito Juárez</x:v>
      </x:c>
      <x:c r="D11" s="50" t="n">
        <x:v>1971</x:v>
      </x:c>
      <x:c r="E11" s="50" t="n">
        <x:v>1970</x:v>
      </x:c>
      <x:c r="F11" s="41" t="str">
        <x:v>https://sic.gob.mx/ficha.php?table=museo&amp;table_id=709</x:v>
      </x:c>
      <x:c r="G11" s="41" t="str">
        <x:v>Opened in 1971; treated as museum/cultural-exhibition third space</x:v>
      </x:c>
      <x:c r="H11" s="41" t="str">
        <x:v>Medium</x:v>
      </x:c>
      <x:c r="I11" s="50" t="n">
        <x:v>1</x:v>
      </x:c>
      <x:c r="J11" s="41" t="str">
        <x:v>Counted as a third space if Include in metric = 1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1" t="str">
        <x:v>Cineteca Nacional</x:v>
      </x:c>
      <x:c r="B12" s="41" t="str">
        <x:v>Museum</x:v>
      </x:c>
      <x:c r="C12" s="41" t="str">
        <x:v>Benito Juárez</x:v>
      </x:c>
      <x:c r="D12" s="50" t="n">
        <x:v>1974</x:v>
      </x:c>
      <x:c r="E12" s="50" t="n">
        <x:v>1970</x:v>
      </x:c>
      <x:c r="F12" s="41" t="str">
        <x:v>https://www.cinetecanacional.net/</x:v>
      </x:c>
      <x:c r="G12" s="41" t="str">
        <x:v>Opened in 1974; not a museum/library but a major public cultural third space</x:v>
      </x:c>
      <x:c r="H12" s="41" t="str">
        <x:v>Medium</x:v>
      </x:c>
      <x:c r="I12" s="50" t="n">
        <x:v>0</x:v>
      </x:c>
      <x:c r="J12" s="41" t="str">
        <x:v>Counted as a third space if Include in metric = 1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1" t="str">
        <x:v>Museo de la Radio</x:v>
      </x:c>
      <x:c r="B13" s="41" t="str">
        <x:v>Museum</x:v>
      </x:c>
      <x:c r="C13" s="41" t="str">
        <x:v>Benito Juárez</x:v>
      </x:c>
      <x:c r="D13" s="50" t="n">
        <x:v>2014</x:v>
      </x:c>
      <x:c r="E13" s="50" t="n">
        <x:v>2010</x:v>
      </x:c>
      <x:c r="F13" s="41" t="str">
        <x:v>https://sic.gob.mx/ficha.php?table=museo&amp;table_id=2320</x:v>
      </x:c>
      <x:c r="G13" s="41" t="str">
        <x:v>Approximate opening/current listing; verify exact date</x:v>
      </x:c>
      <x:c r="H13" s="41" t="str">
        <x:v>Low</x:v>
      </x:c>
      <x:c r="I13" s="50" t="n">
        <x:v>1</x:v>
      </x:c>
      <x:c r="J13" s="41" t="str">
        <x:v>Counted as a third space if Include in metric = 1</x:v>
      </x:c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1" t="str">
        <x:v>Biblioteca Central Carlos Monsiváis del Centro Cultural Elena Garro</x:v>
      </x:c>
      <x:c r="B14" s="41" t="str">
        <x:v>Library</x:v>
      </x:c>
      <x:c r="C14" s="41" t="str">
        <x:v>Benito Juárez</x:v>
      </x:c>
      <x:c r="D14" s="50" t="n">
        <x:v>2012</x:v>
      </x:c>
      <x:c r="E14" s="50" t="n">
        <x:v>2010</x:v>
      </x:c>
      <x:c r="F14" s="41" t="str">
        <x:v>https://www.educal.com.mx/elenagarro/</x:v>
      </x:c>
      <x:c r="G14" s="41" t="str">
        <x:v>Centro Cultural Elena Garro opened 2012; library/bookspace included as third-space proxy</x:v>
      </x:c>
      <x:c r="H14" s="41" t="str">
        <x:v>Medium</x:v>
      </x:c>
      <x:c r="I14" s="50" t="n">
        <x:v>1</x:v>
      </x:c>
      <x:c r="J14" s="41" t="str">
        <x:v>Counted as a third space if Include in metric = 1</x:v>
      </x:c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1" t="str">
        <x:v>Museo Frida Kahlo / La Casa Azul</x:v>
      </x:c>
      <x:c r="B15" s="41" t="str">
        <x:v>Museum</x:v>
      </x:c>
      <x:c r="C15" s="41" t="str">
        <x:v>Coyoacán</x:v>
      </x:c>
      <x:c r="D15" s="50" t="n">
        <x:v>1958</x:v>
      </x:c>
      <x:c r="E15" s="50" t="n">
        <x:v>1950</x:v>
      </x:c>
      <x:c r="F15" s="41" t="str">
        <x:v>https://www.museofridakahlo.org.mx/</x:v>
      </x:c>
      <x:c r="G15" s="41" t="str">
        <x:v>Opened as a museum in 1958</x:v>
      </x:c>
      <x:c r="H15" s="41" t="str">
        <x:v>High</x:v>
      </x:c>
      <x:c r="I15" s="50" t="n">
        <x:v>1</x:v>
      </x:c>
      <x:c r="J15" s="41" t="str">
        <x:v>Counted as a third space if Include in metric = 1</x:v>
      </x:c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1" t="str">
        <x:v>Biblioteca Central UNAM</x:v>
      </x:c>
      <x:c r="B16" s="41" t="str">
        <x:v>Library</x:v>
      </x:c>
      <x:c r="C16" s="41" t="str">
        <x:v>Coyoacán</x:v>
      </x:c>
      <x:c r="D16" s="50" t="n">
        <x:v>1956</x:v>
      </x:c>
      <x:c r="E16" s="50" t="n">
        <x:v>1950</x:v>
      </x:c>
      <x:c r="F16" s="41" t="str">
        <x:v>https://www.bibliotecacentral.unam.mx/index.php/quienes-somos/historia-de-la-biblioteca-central-unam</x:v>
      </x:c>
      <x:c r="G16" s="41" t="str">
        <x:v>UNAM states it opened April 5, 1956</x:v>
      </x:c>
      <x:c r="H16" s="41" t="str">
        <x:v>High</x:v>
      </x:c>
      <x:c r="I16" s="50" t="n">
        <x:v>1</x:v>
      </x:c>
      <x:c r="J16" s="41" t="str">
        <x:v>Counted as a third space if Include in metric = 1</x:v>
      </x:c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1" t="str">
        <x:v>Museo Diego Rivera Anahuacalli</x:v>
      </x:c>
      <x:c r="B17" s="41" t="str">
        <x:v>Museum</x:v>
      </x:c>
      <x:c r="C17" s="41" t="str">
        <x:v>Coyoacán</x:v>
      </x:c>
      <x:c r="D17" s="50" t="n">
        <x:v>1964</x:v>
      </x:c>
      <x:c r="E17" s="50" t="n">
        <x:v>1960</x:v>
      </x:c>
      <x:c r="F17" s="41" t="str">
        <x:v>https://www.museoanahuacalli.org.mx/</x:v>
      </x:c>
      <x:c r="G17" s="41" t="str">
        <x:v>Opened in 1964; verify exact public opening date</x:v>
      </x:c>
      <x:c r="H17" s="41" t="str">
        <x:v>Medium</x:v>
      </x:c>
      <x:c r="I17" s="50" t="n">
        <x:v>1</x:v>
      </x:c>
      <x:c r="J17" s="41" t="str">
        <x:v>Counted as a third space if Include in metric = 1</x:v>
      </x:c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1" t="str">
        <x:v>Museo Nacional de las Intervenciones</x:v>
      </x:c>
      <x:c r="B18" s="41" t="str">
        <x:v>Museum</x:v>
      </x:c>
      <x:c r="C18" s="41" t="str">
        <x:v>Coyoacán</x:v>
      </x:c>
      <x:c r="D18" s="50" t="n">
        <x:v>1981</x:v>
      </x:c>
      <x:c r="E18" s="50" t="n">
        <x:v>1980</x:v>
      </x:c>
      <x:c r="F18" s="41" t="str">
        <x:v>https://sic.gob.mx/ficha.php?table=museo&amp;table_id=672</x:v>
      </x:c>
      <x:c r="G18" s="41" t="str">
        <x:v>Opened as museum in early 1980s; 1981 used in many records</x:v>
      </x:c>
      <x:c r="H18" s="41" t="str">
        <x:v>Medium</x:v>
      </x:c>
      <x:c r="I18" s="50" t="n">
        <x:v>1</x:v>
      </x:c>
      <x:c r="J18" s="41" t="str">
        <x:v>Counted as a third space if Include in metric = 1</x:v>
      </x:c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1" t="str">
        <x:v>Museo Nacional de Culturas Populares</x:v>
      </x:c>
      <x:c r="B19" s="41" t="str">
        <x:v>Museum</x:v>
      </x:c>
      <x:c r="C19" s="41" t="str">
        <x:v>Coyoacán</x:v>
      </x:c>
      <x:c r="D19" s="50" t="n">
        <x:v>1982</x:v>
      </x:c>
      <x:c r="E19" s="50" t="n">
        <x:v>1980</x:v>
      </x:c>
      <x:c r="F19" s="41" t="str">
        <x:v>https://sic.gob.mx/ficha.php?table=museo&amp;table_id=666</x:v>
      </x:c>
      <x:c r="G19" s="41" t="str">
        <x:v>Opened in 1982</x:v>
      </x:c>
      <x:c r="H19" s="41" t="str">
        <x:v>High</x:v>
      </x:c>
      <x:c r="I19" s="50" t="n">
        <x:v>1</x:v>
      </x:c>
      <x:c r="J19" s="41" t="str">
        <x:v>Counted as a third space if Include in metric = 1</x:v>
      </x:c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1" t="str">
        <x:v>Casa de Cultura Ricardo Flores Magón</x:v>
      </x:c>
      <x:c r="B20" s="41" t="str">
        <x:v>Library</x:v>
      </x:c>
      <x:c r="C20" s="41" t="str">
        <x:v>Coyoacán</x:v>
      </x:c>
      <x:c r="D20" s="50" t="n">
        <x:v>1986</x:v>
      </x:c>
      <x:c r="E20" s="50" t="n">
        <x:v>1980</x:v>
      </x:c>
      <x:c r="F20" s="41" t="str">
        <x:v>https://sic.gob.mx/ficha.php?table=centro_cultural&amp;table_id=1190</x:v>
      </x:c>
      <x:c r="G20" s="41" t="str">
        <x:v>SIC lists inauguration/foundation on April 30, 1986; includes library/cultural functions</x:v>
      </x:c>
      <x:c r="H20" s="41" t="str">
        <x:v>Medium</x:v>
      </x:c>
      <x:c r="I20" s="50" t="n">
        <x:v>1</x:v>
      </x:c>
      <x:c r="J20" s="41" t="str">
        <x:v>Counted as a third space if Include in metric = 1</x:v>
      </x:c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1" t="str">
        <x:v>Museo Casa de León Trotsky</x:v>
      </x:c>
      <x:c r="B21" s="41" t="str">
        <x:v>Museum</x:v>
      </x:c>
      <x:c r="C21" s="41" t="str">
        <x:v>Coyoacán</x:v>
      </x:c>
      <x:c r="D21" s="50" t="n">
        <x:v>1990</x:v>
      </x:c>
      <x:c r="E21" s="50" t="n">
        <x:v>1990</x:v>
      </x:c>
      <x:c r="F21" s="41" t="str">
        <x:v>https://sic.gob.mx/ficha.php?table=museo&amp;table_id=669</x:v>
      </x:c>
      <x:c r="G21" s="41" t="str">
        <x:v>Opened as museum in 1990</x:v>
      </x:c>
      <x:c r="H21" s="41" t="str">
        <x:v>Medium</x:v>
      </x:c>
      <x:c r="I21" s="50" t="n">
        <x:v>1</x:v>
      </x:c>
      <x:c r="J21" s="41" t="str">
        <x:v>Counted as a third space if Include in metric = 1</x:v>
      </x:c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1" t="str">
        <x:v>Universum, Museo de las Ciencias UNAM</x:v>
      </x:c>
      <x:c r="B22" s="41" t="str">
        <x:v>Museum</x:v>
      </x:c>
      <x:c r="C22" s="41" t="str">
        <x:v>Coyoacán</x:v>
      </x:c>
      <x:c r="D22" s="50" t="n">
        <x:v>1992</x:v>
      </x:c>
      <x:c r="E22" s="50" t="n">
        <x:v>1990</x:v>
      </x:c>
      <x:c r="F22" s="41" t="str">
        <x:v>https://www.universum.unam.mx/</x:v>
      </x:c>
      <x:c r="G22" s="41" t="str">
        <x:v>Opened in 1992</x:v>
      </x:c>
      <x:c r="H22" s="41" t="str">
        <x:v>High</x:v>
      </x:c>
      <x:c r="I22" s="50" t="n">
        <x:v>1</x:v>
      </x:c>
      <x:c r="J22" s="41" t="str">
        <x:v>Counted as a third space if Include in metric = 1</x:v>
      </x:c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1" t="str">
        <x:v>Biblioteca Nacional de México / Hemeroteca Nacional current CU building</x:v>
      </x:c>
      <x:c r="B23" s="41" t="str">
        <x:v>Library</x:v>
      </x:c>
      <x:c r="C23" s="41" t="str">
        <x:v>Coyoacán</x:v>
      </x:c>
      <x:c r="D23" s="50" t="n">
        <x:v>1979</x:v>
      </x:c>
      <x:c r="E23" s="50" t="n">
        <x:v>1970</x:v>
      </x:c>
      <x:c r="F23" s="41" t="str">
        <x:v>https://bnm.iib.unam.mx/index.php/quienes-somos/antecedentes</x:v>
      </x:c>
      <x:c r="G23" s="41" t="str">
        <x:v>BNM says current building was inaugurated in 1979</x:v>
      </x:c>
      <x:c r="H23" s="41" t="str">
        <x:v>High</x:v>
      </x:c>
      <x:c r="I23" s="50" t="n">
        <x:v>1</x:v>
      </x:c>
      <x:c r="J23" s="41" t="str">
        <x:v>Counted as a third space if Include in metric = 1</x:v>
      </x:c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1" t="str">
        <x:v>Museo Universitario Arte Contemporáneo (MUAC)</x:v>
      </x:c>
      <x:c r="B24" s="41" t="str">
        <x:v>Museum</x:v>
      </x:c>
      <x:c r="C24" s="41" t="str">
        <x:v>Coyoacán</x:v>
      </x:c>
      <x:c r="D24" s="50" t="n">
        <x:v>2008</x:v>
      </x:c>
      <x:c r="E24" s="50" t="n">
        <x:v>2000</x:v>
      </x:c>
      <x:c r="F24" s="41" t="str">
        <x:v>https://muac.unam.mx/</x:v>
      </x:c>
      <x:c r="G24" s="41" t="str">
        <x:v>MUAC site says inaugurated in November 2008</x:v>
      </x:c>
      <x:c r="H24" s="41" t="str">
        <x:v>High</x:v>
      </x:c>
      <x:c r="I24" s="50" t="n">
        <x:v>1</x:v>
      </x:c>
      <x:c r="J24" s="41" t="str">
        <x:v>Counted as a third space if Include in metric = 1</x:v>
      </x:c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1" t="str">
        <x:v>Biblioteca Pública El Contadero</x:v>
      </x:c>
      <x:c r="B25" s="41" t="str">
        <x:v>Library</x:v>
      </x:c>
      <x:c r="C25" s="41" t="str">
        <x:v>Cuajimalpa de Morelos</x:v>
      </x:c>
      <x:c r="D25" s="50" t="n">
        <x:v>1985</x:v>
      </x:c>
      <x:c r="E25" s="50" t="n">
        <x:v>1980</x:v>
      </x:c>
      <x:c r="F25" s="41" t="str">
        <x:v>https://sic.gob.mx/resultado.php?table=biblioteca&amp;estado_id=9</x:v>
      </x:c>
      <x:c r="G25" s="41" t="str">
        <x:v>Approximate local public-library proxy pending exact opening date</x:v>
      </x:c>
      <x:c r="H25" s="41" t="str">
        <x:v>Low</x:v>
      </x:c>
      <x:c r="I25" s="50" t="n">
        <x:v>1</x:v>
      </x:c>
      <x:c r="J25" s="41" t="str">
        <x:v>Counted as a third space if Include in metric = 1</x:v>
      </x:c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1" t="str">
        <x:v>Biblioteca Pública Cuajimalpa</x:v>
      </x:c>
      <x:c r="B26" s="41" t="str">
        <x:v>Library</x:v>
      </x:c>
      <x:c r="C26" s="41" t="str">
        <x:v>Cuajimalpa de Morelos</x:v>
      </x:c>
      <x:c r="D26" s="50" t="n">
        <x:v>1985</x:v>
      </x:c>
      <x:c r="E26" s="50" t="n">
        <x:v>1980</x:v>
      </x:c>
      <x:c r="F26" s="41" t="str">
        <x:v>https://sic.gob.mx/resultado.php?table=biblioteca&amp;estado_id=9</x:v>
      </x:c>
      <x:c r="G26" s="41" t="str">
        <x:v>Approximate local public-library proxy pending exact opening date</x:v>
      </x:c>
      <x:c r="H26" s="41" t="str">
        <x:v>Low</x:v>
      </x:c>
      <x:c r="I26" s="50" t="n">
        <x:v>1</x:v>
      </x:c>
      <x:c r="J26" s="41" t="str">
        <x:v>Counted as a third space if Include in metric = 1</x:v>
      </x:c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1" t="str">
        <x:v>Museo Pedro Infante Cuajimalpa</x:v>
      </x:c>
      <x:c r="B27" s="41" t="str">
        <x:v>Museum</x:v>
      </x:c>
      <x:c r="C27" s="41" t="str">
        <x:v>Cuajimalpa de Morelos</x:v>
      </x:c>
      <x:c r="D27" s="50" t="n">
        <x:v>2015</x:v>
      </x:c>
      <x:c r="E27" s="50" t="n">
        <x:v>2010</x:v>
      </x:c>
      <x:c r="F27" s="41" t="str">
        <x:v>https://sic.gob.mx/resultado.php?table=museo&amp;estado_id=9</x:v>
      </x:c>
      <x:c r="G27" s="41" t="str">
        <x:v>Local/specialized museum proxy; verify exact date before publication</x:v>
      </x:c>
      <x:c r="H27" s="41" t="str">
        <x:v>Low</x:v>
      </x:c>
      <x:c r="I27" s="50" t="n">
        <x:v>1</x:v>
      </x:c>
      <x:c r="J27" s="41" t="str">
        <x:v>Counted as a third space if Include in metric = 1</x:v>
      </x:c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1" t="str">
        <x:v>Museo del Palacio de Bellas Artes</x:v>
      </x:c>
      <x:c r="B28" s="41" t="str">
        <x:v>Museum</x:v>
      </x:c>
      <x:c r="C28" s="41" t="str">
        <x:v>Cuauhtémoc</x:v>
      </x:c>
      <x:c r="D28" s="50" t="n">
        <x:v>1934</x:v>
      </x:c>
      <x:c r="E28" s="50" t="n">
        <x:v>1930</x:v>
      </x:c>
      <x:c r="F28" s="41" t="str">
        <x:v>https://museopalaciodebellasartes.inba.gob.mx/</x:v>
      </x:c>
      <x:c r="G28" s="41" t="str">
        <x:v>Official site: first art museum in Mexico inaugurated Nov. 29, 1934</x:v>
      </x:c>
      <x:c r="H28" s="41" t="str">
        <x:v>High</x:v>
      </x:c>
      <x:c r="I28" s="50" t="n">
        <x:v>1</x:v>
      </x:c>
      <x:c r="J28" s="41" t="str">
        <x:v>Counted as a third space if Include in metric = 1</x:v>
      </x:c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1" t="str">
        <x:v>Biblioteca de México José Vasconcelos</x:v>
      </x:c>
      <x:c r="B29" s="41" t="str">
        <x:v>Library</x:v>
      </x:c>
      <x:c r="C29" s="41" t="str">
        <x:v>Cuauhtémoc</x:v>
      </x:c>
      <x:c r="D29" s="50" t="n">
        <x:v>1946</x:v>
      </x:c>
      <x:c r="E29" s="50" t="n">
        <x:v>1940</x:v>
      </x:c>
      <x:c r="F29" s="41" t="str">
        <x:v>https://www.bibliotecademexico.gob.mx/</x:v>
      </x:c>
      <x:c r="G29" s="41" t="str">
        <x:v>Official site: Biblioteca de México has existed since 1946</x:v>
      </x:c>
      <x:c r="H29" s="41" t="str">
        <x:v>High</x:v>
      </x:c>
      <x:c r="I29" s="50" t="n">
        <x:v>1</x:v>
      </x:c>
      <x:c r="J29" s="41" t="str">
        <x:v>Counted as a third space if Include in metric = 1</x:v>
      </x:c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1" t="str">
        <x:v>Museo Experimental El Eco</x:v>
      </x:c>
      <x:c r="B30" s="41" t="str">
        <x:v>Museum</x:v>
      </x:c>
      <x:c r="C30" s="41" t="str">
        <x:v>Cuauhtémoc</x:v>
      </x:c>
      <x:c r="D30" s="50" t="n">
        <x:v>1953</x:v>
      </x:c>
      <x:c r="E30" s="50" t="n">
        <x:v>1950</x:v>
      </x:c>
      <x:c r="F30" s="41" t="str">
        <x:v>https://eleco.unam.mx/</x:v>
      </x:c>
      <x:c r="G30" s="41" t="str">
        <x:v>Mathias Goeritz building/museum opened in 1953; reopened under UNAM later</x:v>
      </x:c>
      <x:c r="H30" s="41" t="str">
        <x:v>Medium</x:v>
      </x:c>
      <x:c r="I30" s="50" t="n">
        <x:v>1</x:v>
      </x:c>
      <x:c r="J30" s="41" t="str">
        <x:v>Counted as a third space if Include in metric = 1</x:v>
      </x:c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1" t="str">
        <x:v>Museo de la Ciudad de México</x:v>
      </x:c>
      <x:c r="B31" s="41" t="str">
        <x:v>Museum</x:v>
      </x:c>
      <x:c r="C31" s="41" t="str">
        <x:v>Cuauhtémoc</x:v>
      </x:c>
      <x:c r="D31" s="50" t="n">
        <x:v>1960</x:v>
      </x:c>
      <x:c r="E31" s="50" t="n">
        <x:v>1960</x:v>
      </x:c>
      <x:c r="F31" s="41" t="str">
        <x:v>https://sic.gob.mx/ficha.php?table=museo&amp;table_id=797</x:v>
      </x:c>
      <x:c r="G31" s="41" t="str">
        <x:v>SIC snippet says inaugurated as museum in 1960</x:v>
      </x:c>
      <x:c r="H31" s="41" t="str">
        <x:v>High</x:v>
      </x:c>
      <x:c r="I31" s="50" t="n">
        <x:v>1</x:v>
      </x:c>
      <x:c r="J31" s="41" t="str">
        <x:v>Counted as a third space if Include in metric = 1</x:v>
      </x:c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1" t="str">
        <x:v>Museo Nacional de las Culturas del Mundo</x:v>
      </x:c>
      <x:c r="B32" s="41" t="str">
        <x:v>Museum</x:v>
      </x:c>
      <x:c r="C32" s="41" t="str">
        <x:v>Cuauhtémoc</x:v>
      </x:c>
      <x:c r="D32" s="50" t="n">
        <x:v>1965</x:v>
      </x:c>
      <x:c r="E32" s="50" t="n">
        <x:v>1960</x:v>
      </x:c>
      <x:c r="F32" s="41" t="str">
        <x:v>https://sic.gob.mx/ficha.php?table=museo&amp;table_id=802</x:v>
      </x:c>
      <x:c r="G32" s="41" t="str">
        <x:v>SIC says Museo Nacional de las Culturas opened Dec. 4, 1965</x:v>
      </x:c>
      <x:c r="H32" s="41" t="str">
        <x:v>High</x:v>
      </x:c>
      <x:c r="I32" s="50" t="n">
        <x:v>1</x:v>
      </x:c>
      <x:c r="J32" s="41" t="str">
        <x:v>Counted as a third space if Include in metric = 1</x:v>
      </x:c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1" t="str">
        <x:v>Museo Nacional de San Carlos</x:v>
      </x:c>
      <x:c r="B33" s="41" t="str">
        <x:v>Museum</x:v>
      </x:c>
      <x:c r="C33" s="41" t="str">
        <x:v>Cuauhtémoc</x:v>
      </x:c>
      <x:c r="D33" s="50" t="n">
        <x:v>1968</x:v>
      </x:c>
      <x:c r="E33" s="50" t="n">
        <x:v>1960</x:v>
      </x:c>
      <x:c r="F33" s="41" t="str">
        <x:v>https://inba.gob.mx/recinto/50/museo-nacional-de-san-carlos</x:v>
      </x:c>
      <x:c r="G33" s="41" t="str">
        <x:v>INBA museum record; 1968 commonly used opening year</x:v>
      </x:c>
      <x:c r="H33" s="41" t="str">
        <x:v>Medium</x:v>
      </x:c>
      <x:c r="I33" s="50" t="n">
        <x:v>1</x:v>
      </x:c>
      <x:c r="J33" s="41" t="str">
        <x:v>Counted as a third space if Include in metric = 1</x:v>
      </x:c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1" t="str">
        <x:v>Museo Universitario del Chopo</x:v>
      </x:c>
      <x:c r="B34" s="41" t="str">
        <x:v>Museum</x:v>
      </x:c>
      <x:c r="C34" s="41" t="str">
        <x:v>Cuauhtémoc</x:v>
      </x:c>
      <x:c r="D34" s="50" t="n">
        <x:v>1975</x:v>
      </x:c>
      <x:c r="E34" s="50" t="n">
        <x:v>1970</x:v>
      </x:c>
      <x:c r="F34" s="41" t="str">
        <x:v>https://es.wikipedia.org/wiki/Museo_Universitario_del_Chopo</x:v>
      </x:c>
      <x:c r="G34" s="41" t="str">
        <x:v>UNAM/records: inaugurated Nov. 25, 1975</x:v>
      </x:c>
      <x:c r="H34" s="41" t="str">
        <x:v>High</x:v>
      </x:c>
      <x:c r="I34" s="50" t="n">
        <x:v>1</x:v>
      </x:c>
      <x:c r="J34" s="41" t="str">
        <x:v>Counted as a third space if Include in metric = 1</x:v>
      </x:c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1" t="str">
        <x:v>Museo Nacional de Arte (MUNAL)</x:v>
      </x:c>
      <x:c r="B35" s="41" t="str">
        <x:v>Museum</x:v>
      </x:c>
      <x:c r="C35" s="41" t="str">
        <x:v>Cuauhtémoc</x:v>
      </x:c>
      <x:c r="D35" s="50" t="n">
        <x:v>1982</x:v>
      </x:c>
      <x:c r="E35" s="50" t="n">
        <x:v>1980</x:v>
      </x:c>
      <x:c r="F35" s="41" t="str">
        <x:v>https://www.munal.mx/</x:v>
      </x:c>
      <x:c r="G35" s="41" t="str">
        <x:v>MUNAL opened in 1982</x:v>
      </x:c>
      <x:c r="H35" s="41" t="str">
        <x:v>High</x:v>
      </x:c>
      <x:c r="I35" s="50" t="n">
        <x:v>1</x:v>
      </x:c>
      <x:c r="J35" s="41" t="str">
        <x:v>Counted as a third space if Include in metric = 1</x:v>
      </x:c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1" t="str">
        <x:v>Museo Franz Mayer</x:v>
      </x:c>
      <x:c r="B36" s="41" t="str">
        <x:v>Museum</x:v>
      </x:c>
      <x:c r="C36" s="41" t="str">
        <x:v>Cuauhtémoc</x:v>
      </x:c>
      <x:c r="D36" s="50" t="n">
        <x:v>1986</x:v>
      </x:c>
      <x:c r="E36" s="50" t="n">
        <x:v>1980</x:v>
      </x:c>
      <x:c r="F36" s="41" t="str">
        <x:v>https://franzmayer.org.mx/</x:v>
      </x:c>
      <x:c r="G36" s="41" t="str">
        <x:v>Opened in 1986</x:v>
      </x:c>
      <x:c r="H36" s="41" t="str">
        <x:v>High</x:v>
      </x:c>
      <x:c r="I36" s="50" t="n">
        <x:v>1</x:v>
      </x:c>
      <x:c r="J36" s="41" t="str">
        <x:v>Counted as a third space if Include in metric = 1</x:v>
      </x:c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1" t="str">
        <x:v>Museo Mural Diego Rivera</x:v>
      </x:c>
      <x:c r="B37" s="41" t="str">
        <x:v>Museum</x:v>
      </x:c>
      <x:c r="C37" s="41" t="str">
        <x:v>Cuauhtémoc</x:v>
      </x:c>
      <x:c r="D37" s="50" t="n">
        <x:v>1988</x:v>
      </x:c>
      <x:c r="E37" s="50" t="n">
        <x:v>1980</x:v>
      </x:c>
      <x:c r="F37" s="41" t="str">
        <x:v>https://inba.gob.mx/recinto/51/museo-mural-diego-rivera</x:v>
      </x:c>
      <x:c r="G37" s="41" t="str">
        <x:v>Opened in 1988 to house Sueño de una tarde dominical</x:v>
      </x:c>
      <x:c r="H37" s="41" t="str">
        <x:v>Medium</x:v>
      </x:c>
      <x:c r="I37" s="50" t="n">
        <x:v>1</x:v>
      </x:c>
      <x:c r="J37" s="41" t="str">
        <x:v>Counted as a third space if Include in metric = 1</x:v>
      </x:c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1" t="str">
        <x:v>Antiguo Colegio de San Ildefonso</x:v>
      </x:c>
      <x:c r="B38" s="41" t="str">
        <x:v>Museum</x:v>
      </x:c>
      <x:c r="C38" s="41" t="str">
        <x:v>Cuauhtémoc</x:v>
      </x:c>
      <x:c r="D38" s="50" t="n">
        <x:v>1992</x:v>
      </x:c>
      <x:c r="E38" s="50" t="n">
        <x:v>1990</x:v>
      </x:c>
      <x:c r="F38" s="41" t="str">
        <x:v>https://sanildefonso.org.mx/</x:v>
      </x:c>
      <x:c r="G38" s="41" t="str">
        <x:v>Reopened as museum/cultural venue in 1992</x:v>
      </x:c>
      <x:c r="H38" s="41" t="str">
        <x:v>Medium</x:v>
      </x:c>
      <x:c r="I38" s="50" t="n">
        <x:v>1</x:v>
      </x:c>
      <x:c r="J38" s="41" t="str">
        <x:v>Counted as a third space if Include in metric = 1</x:v>
      </x:c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1" t="str">
        <x:v>Museo Interactivo de Economía (MIDE)</x:v>
      </x:c>
      <x:c r="B39" s="41" t="str">
        <x:v>Museum</x:v>
      </x:c>
      <x:c r="C39" s="41" t="str">
        <x:v>Cuauhtémoc</x:v>
      </x:c>
      <x:c r="D39" s="50" t="n">
        <x:v>2006</x:v>
      </x:c>
      <x:c r="E39" s="50" t="n">
        <x:v>2000</x:v>
      </x:c>
      <x:c r="F39" s="41" t="str">
        <x:v>https://inba.gob.mx/recinto/594</x:v>
      </x:c>
      <x:c r="G39" s="41" t="str">
        <x:v>INBA listing says inaugurated in July 2006</x:v>
      </x:c>
      <x:c r="H39" s="41" t="str">
        <x:v>High</x:v>
      </x:c>
      <x:c r="I39" s="50" t="n">
        <x:v>1</x:v>
      </x:c>
      <x:c r="J39" s="41" t="str">
        <x:v>Counted as a third space if Include in metric = 1</x:v>
      </x:c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1" t="str">
        <x:v>Museo del Estanquillo</x:v>
      </x:c>
      <x:c r="B40" s="41" t="str">
        <x:v>Museum</x:v>
      </x:c>
      <x:c r="C40" s="41" t="str">
        <x:v>Cuauhtémoc</x:v>
      </x:c>
      <x:c r="D40" s="50" t="n">
        <x:v>2006</x:v>
      </x:c>
      <x:c r="E40" s="50" t="n">
        <x:v>2000</x:v>
      </x:c>
      <x:c r="F40" s="41" t="str">
        <x:v>https://www.museodelestanquillo.cdmx.gob.mx/</x:v>
      </x:c>
      <x:c r="G40" s="41" t="str">
        <x:v>Opened in 2006</x:v>
      </x:c>
      <x:c r="H40" s="41" t="str">
        <x:v>Medium</x:v>
      </x:c>
      <x:c r="I40" s="50" t="n">
        <x:v>1</x:v>
      </x:c>
      <x:c r="J40" s="41" t="str">
        <x:v>Counted as a third space if Include in metric = 1</x:v>
      </x:c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1" t="str">
        <x:v>Biblioteca Vasconcelos</x:v>
      </x:c>
      <x:c r="B41" s="41" t="str">
        <x:v>Library</x:v>
      </x:c>
      <x:c r="C41" s="41" t="str">
        <x:v>Cuauhtémoc</x:v>
      </x:c>
      <x:c r="D41" s="50" t="n">
        <x:v>2006</x:v>
      </x:c>
      <x:c r="E41" s="50" t="n">
        <x:v>2000</x:v>
      </x:c>
      <x:c r="F41" s="41" t="str">
        <x:v>https://es.wikipedia.org/wiki/Biblioteca_Vasconcelos</x:v>
      </x:c>
      <x:c r="G41" s="41" t="str">
        <x:v>Opened May 16, 2006; public service June 1, 2006</x:v>
      </x:c>
      <x:c r="H41" s="41" t="str">
        <x:v>High</x:v>
      </x:c>
      <x:c r="I41" s="50" t="n">
        <x:v>1</x:v>
      </x:c>
      <x:c r="J41" s="41" t="str">
        <x:v>Counted as a third space if Include in metric = 1</x:v>
      </x:c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1" t="str">
        <x:v>Museo Memoria y Tolerancia</x:v>
      </x:c>
      <x:c r="B42" s="41" t="str">
        <x:v>Museum</x:v>
      </x:c>
      <x:c r="C42" s="41" t="str">
        <x:v>Cuauhtémoc</x:v>
      </x:c>
      <x:c r="D42" s="50" t="n">
        <x:v>2010</x:v>
      </x:c>
      <x:c r="E42" s="50" t="n">
        <x:v>2010</x:v>
      </x:c>
      <x:c r="F42" s="41" t="str">
        <x:v>https://es.wikipedia.org/wiki/Museo_Memoria_y_Tolerancia</x:v>
      </x:c>
      <x:c r="G42" s="41" t="str">
        <x:v>Opened Oct. 18, 2010</x:v>
      </x:c>
      <x:c r="H42" s="41" t="str">
        <x:v>High</x:v>
      </x:c>
      <x:c r="I42" s="50" t="n">
        <x:v>1</x:v>
      </x:c>
      <x:c r="J42" s="41" t="str">
        <x:v>Counted as a third space if Include in metric = 1</x:v>
      </x:c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1" t="str">
        <x:v>Planetario Luis Enrique Erro</x:v>
      </x:c>
      <x:c r="B43" s="41" t="str">
        <x:v>Museum</x:v>
      </x:c>
      <x:c r="C43" s="41" t="str">
        <x:v>Gustavo A. Madero</x:v>
      </x:c>
      <x:c r="D43" s="50" t="n">
        <x:v>1967</x:v>
      </x:c>
      <x:c r="E43" s="50" t="n">
        <x:v>1960</x:v>
      </x:c>
      <x:c r="F43" s="41" t="str">
        <x:v>https://www.ipn.mx/ddicyt/planetario/</x:v>
      </x:c>
      <x:c r="G43" s="41" t="str">
        <x:v>Opened in 1967; treated as science-museum third space</x:v>
      </x:c>
      <x:c r="H43" s="41" t="str">
        <x:v>Medium</x:v>
      </x:c>
      <x:c r="I43" s="50" t="n">
        <x:v>1</x:v>
      </x:c>
      <x:c r="J43" s="41" t="str">
        <x:v>Counted as a third space if Include in metric = 1</x:v>
      </x:c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1" t="str">
        <x:v>Museo de los Ferrocarrileros</x:v>
      </x:c>
      <x:c r="B44" s="41" t="str">
        <x:v>Museum</x:v>
      </x:c>
      <x:c r="C44" s="41" t="str">
        <x:v>Gustavo A. Madero</x:v>
      </x:c>
      <x:c r="D44" s="50" t="n">
        <x:v>2006</x:v>
      </x:c>
      <x:c r="E44" s="50" t="n">
        <x:v>2000</x:v>
      </x:c>
      <x:c r="F44" s="41" t="str">
        <x:v>https://sic.gob.mx/ficha.php?table=museo&amp;table_id=734</x:v>
      </x:c>
      <x:c r="G44" s="41" t="str">
        <x:v>Opened in 2006; public museum in former station La Villa</x:v>
      </x:c>
      <x:c r="H44" s="41" t="str">
        <x:v>Medium</x:v>
      </x:c>
      <x:c r="I44" s="50" t="n">
        <x:v>1</x:v>
      </x:c>
      <x:c r="J44" s="41" t="str">
        <x:v>Counted as a third space if Include in metric = 1</x:v>
      </x:c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1" t="str">
        <x:v>Museo de la Basílica de Guadalupe</x:v>
      </x:c>
      <x:c r="B45" s="41" t="str">
        <x:v>Museum</x:v>
      </x:c>
      <x:c r="C45" s="41" t="str">
        <x:v>Gustavo A. Madero</x:v>
      </x:c>
      <x:c r="D45" s="50" t="n">
        <x:v>1941</x:v>
      </x:c>
      <x:c r="E45" s="50" t="n">
        <x:v>1940</x:v>
      </x:c>
      <x:c r="F45" s="41" t="str">
        <x:v>https://sic.gob.mx/ficha.php?table=museo&amp;table_id=682</x:v>
      </x:c>
      <x:c r="G45" s="41" t="str">
        <x:v>Religious/art museum; date commonly listed around 1941</x:v>
      </x:c>
      <x:c r="H45" s="41" t="str">
        <x:v>Medium</x:v>
      </x:c>
      <x:c r="I45" s="50" t="n">
        <x:v>1</x:v>
      </x:c>
      <x:c r="J45" s="41" t="str">
        <x:v>Counted as a third space if Include in metric = 1</x:v>
      </x:c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1" t="str">
        <x:v>Biblioteca Pública Central Delegacional GAM</x:v>
      </x:c>
      <x:c r="B46" s="41" t="str">
        <x:v>Library</x:v>
      </x:c>
      <x:c r="C46" s="41" t="str">
        <x:v>Gustavo A. Madero</x:v>
      </x:c>
      <x:c r="D46" s="50" t="n">
        <x:v>1980</x:v>
      </x:c>
      <x:c r="E46" s="50" t="n">
        <x:v>1980</x:v>
      </x:c>
      <x:c r="F46" s="41" t="str">
        <x:v>https://sic.gob.mx/resultado.php?table=biblioteca&amp;estado_id=9</x:v>
      </x:c>
      <x:c r="G46" s="41" t="str">
        <x:v>Approximate public-library proxy pending exact opening date</x:v>
      </x:c>
      <x:c r="H46" s="41" t="str">
        <x:v>Low</x:v>
      </x:c>
      <x:c r="I46" s="50" t="n">
        <x:v>1</x:v>
      </x:c>
      <x:c r="J46" s="41" t="str">
        <x:v>Counted as a third space if Include in metric = 1</x:v>
      </x:c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1" t="str">
        <x:v>Biblioteca Pública Iztacalco</x:v>
      </x:c>
      <x:c r="B47" s="41" t="str">
        <x:v>Library</x:v>
      </x:c>
      <x:c r="C47" s="41" t="str">
        <x:v>Iztacalco</x:v>
      </x:c>
      <x:c r="D47" s="50" t="n">
        <x:v>1980</x:v>
      </x:c>
      <x:c r="E47" s="50" t="n">
        <x:v>1980</x:v>
      </x:c>
      <x:c r="F47" s="41" t="str">
        <x:v>https://sic.gob.mx/resultado.php?table=biblioteca&amp;estado_id=9</x:v>
      </x:c>
      <x:c r="G47" s="41" t="str">
        <x:v>Approximate public-library proxy pending exact opening date</x:v>
      </x:c>
      <x:c r="H47" s="41" t="str">
        <x:v>Low</x:v>
      </x:c>
      <x:c r="I47" s="50" t="n">
        <x:v>1</x:v>
      </x:c>
      <x:c r="J47" s="41" t="str">
        <x:v>Counted as a third space if Include in metric = 1</x:v>
      </x:c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1" t="str">
        <x:v>Faro Cultural y de Artes Iztacalco</x:v>
      </x:c>
      <x:c r="B48" s="41" t="str">
        <x:v>Library</x:v>
      </x:c>
      <x:c r="C48" s="41" t="str">
        <x:v>Iztacalco</x:v>
      </x:c>
      <x:c r="D48" s="50" t="n">
        <x:v>2016</x:v>
      </x:c>
      <x:c r="E48" s="50" t="n">
        <x:v>2010</x:v>
      </x:c>
      <x:c r="F48" s="41" t="str">
        <x:v>https://sic.gob.mx/resultado.php?table=centro_cultural&amp;estado_id=9</x:v>
      </x:c>
      <x:c r="G48" s="41" t="str">
        <x:v>Cultural center/library-like proxy; not a museum/library strict</x:v>
      </x:c>
      <x:c r="H48" s="41" t="str">
        <x:v>Low</x:v>
      </x:c>
      <x:c r="I48" s="50" t="n">
        <x:v>0</x:v>
      </x:c>
      <x:c r="J48" s="41" t="str">
        <x:v>Counted as a third space if Include in metric = 1</x:v>
      </x:c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1" t="str">
        <x:v>Museo Comunitario Iztacalco</x:v>
      </x:c>
      <x:c r="B49" s="41" t="str">
        <x:v>Museum</x:v>
      </x:c>
      <x:c r="C49" s="41" t="str">
        <x:v>Iztacalco</x:v>
      </x:c>
      <x:c r="D49" s="50" t="n">
        <x:v>2008</x:v>
      </x:c>
      <x:c r="E49" s="50" t="n">
        <x:v>2000</x:v>
      </x:c>
      <x:c r="F49" s="41" t="str">
        <x:v>https://sic.gob.mx/resultado.php?table=museo&amp;estado_id=9</x:v>
      </x:c>
      <x:c r="G49" s="41" t="str">
        <x:v>Approximate local museum proxy; verify exact date</x:v>
      </x:c>
      <x:c r="H49" s="41" t="str">
        <x:v>Low</x:v>
      </x:c>
      <x:c r="I49" s="50" t="n">
        <x:v>1</x:v>
      </x:c>
      <x:c r="J49" s="41" t="str">
        <x:v>Counted as a third space if Include in metric = 1</x:v>
      </x:c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1" t="str">
        <x:v>Museo Cabeza de Juárez</x:v>
      </x:c>
      <x:c r="B50" s="41" t="str">
        <x:v>Museum</x:v>
      </x:c>
      <x:c r="C50" s="41" t="str">
        <x:v>Iztapalapa</x:v>
      </x:c>
      <x:c r="D50" s="50" t="n">
        <x:v>1976</x:v>
      </x:c>
      <x:c r="E50" s="50" t="n">
        <x:v>1970</x:v>
      </x:c>
      <x:c r="F50" s="41" t="str">
        <x:v>https://sic.gob.mx/ficha.php?table=museo&amp;table_id=697</x:v>
      </x:c>
      <x:c r="G50" s="41" t="str">
        <x:v>Inaugurated in 1976; built for Juárez commemoration</x:v>
      </x:c>
      <x:c r="H50" s="41" t="str">
        <x:v>Medium</x:v>
      </x:c>
      <x:c r="I50" s="50" t="n">
        <x:v>1</x:v>
      </x:c>
      <x:c r="J50" s="41" t="str">
        <x:v>Counted as a third space if Include in metric = 1</x:v>
      </x:c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1" t="str">
        <x:v>Museo Fuego Nuevo</x:v>
      </x:c>
      <x:c r="B51" s="41" t="str">
        <x:v>Museum</x:v>
      </x:c>
      <x:c r="C51" s="41" t="str">
        <x:v>Iztapalapa</x:v>
      </x:c>
      <x:c r="D51" s="50" t="n">
        <x:v>1998</x:v>
      </x:c>
      <x:c r="E51" s="50" t="n">
        <x:v>1990</x:v>
      </x:c>
      <x:c r="F51" s="41" t="str">
        <x:v>https://sic.gob.mx/ficha.php?table=museo&amp;table_id=674</x:v>
      </x:c>
      <x:c r="G51" s="41" t="str">
        <x:v>Opened in 1998 on Cerro de la Estrella</x:v>
      </x:c>
      <x:c r="H51" s="41" t="str">
        <x:v>Medium</x:v>
      </x:c>
      <x:c r="I51" s="50" t="n">
        <x:v>1</x:v>
      </x:c>
      <x:c r="J51" s="41" t="str">
        <x:v>Counted as a third space if Include in metric = 1</x:v>
      </x:c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1" t="str">
        <x:v>Biblioteca Pública Central Iztapalapa</x:v>
      </x:c>
      <x:c r="B52" s="41" t="str">
        <x:v>Library</x:v>
      </x:c>
      <x:c r="C52" s="41" t="str">
        <x:v>Iztapalapa</x:v>
      </x:c>
      <x:c r="D52" s="50" t="n">
        <x:v>1980</x:v>
      </x:c>
      <x:c r="E52" s="50" t="n">
        <x:v>1980</x:v>
      </x:c>
      <x:c r="F52" s="41" t="str">
        <x:v>https://sic.gob.mx/resultado.php?table=biblioteca&amp;estado_id=9</x:v>
      </x:c>
      <x:c r="G52" s="41" t="str">
        <x:v>Approximate public-library proxy pending exact opening date</x:v>
      </x:c>
      <x:c r="H52" s="41" t="str">
        <x:v>Low</x:v>
      </x:c>
      <x:c r="I52" s="50" t="n">
        <x:v>1</x:v>
      </x:c>
      <x:c r="J52" s="41" t="str">
        <x:v>Counted as a third space if Include in metric = 1</x:v>
      </x:c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1" t="str">
        <x:v>Museo de las Culturas Pasión por Iztapalapa</x:v>
      </x:c>
      <x:c r="B53" s="41" t="str">
        <x:v>Museum</x:v>
      </x:c>
      <x:c r="C53" s="41" t="str">
        <x:v>Iztapalapa</x:v>
      </x:c>
      <x:c r="D53" s="50" t="n">
        <x:v>2012</x:v>
      </x:c>
      <x:c r="E53" s="50" t="n">
        <x:v>2010</x:v>
      </x:c>
      <x:c r="F53" s="41" t="str">
        <x:v>https://sic.gob.mx/resultado.php?table=museo&amp;estado_id=9</x:v>
      </x:c>
      <x:c r="G53" s="41" t="str">
        <x:v>Approximate local museum proxy; verify exact date</x:v>
      </x:c>
      <x:c r="H53" s="41" t="str">
        <x:v>Low</x:v>
      </x:c>
      <x:c r="I53" s="50" t="n">
        <x:v>1</x:v>
      </x:c>
      <x:c r="J53" s="41" t="str">
        <x:v>Counted as a third space if Include in metric = 1</x:v>
      </x:c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1" t="str">
        <x:v>Museo Yancuic</x:v>
      </x:c>
      <x:c r="B54" s="41" t="str">
        <x:v>Museum</x:v>
      </x:c>
      <x:c r="C54" s="41" t="str">
        <x:v>Iztapalapa</x:v>
      </x:c>
      <x:c r="D54" s="50" t="n">
        <x:v>2024</x:v>
      </x:c>
      <x:c r="E54" s="50" t="n">
        <x:v>2020</x:v>
      </x:c>
      <x:c r="F54" s="41" t="str">
        <x:v>https://sic.gob.mx/fichab.php?c=+De+&amp;table=museo&amp;table_id=2385</x:v>
      </x:c>
      <x:c r="G54" s="41" t="str">
        <x:v>SIC says inaugurated Feb. 24, 2024</x:v>
      </x:c>
      <x:c r="H54" s="41" t="str">
        <x:v>High</x:v>
      </x:c>
      <x:c r="I54" s="50" t="n">
        <x:v>1</x:v>
      </x:c>
      <x:c r="J54" s="41" t="str">
        <x:v>Counted as a third space if Include in metric = 1</x:v>
      </x:c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1" t="str">
        <x:v>Foro Cultural Magdalena</x:v>
      </x:c>
      <x:c r="B55" s="41" t="str">
        <x:v>Library</x:v>
      </x:c>
      <x:c r="C55" s="41" t="str">
        <x:v>La Magdalena Contreras</x:v>
      </x:c>
      <x:c r="D55" s="50" t="n">
        <x:v>1979</x:v>
      </x:c>
      <x:c r="E55" s="50" t="n">
        <x:v>1970</x:v>
      </x:c>
      <x:c r="F55" s="41" t="str">
        <x:v>https://sic.gob.mx/fichab.php?c=+El+&amp;table=centro_cultural&amp;table_id=3019</x:v>
      </x:c>
      <x:c r="G55" s="41" t="str">
        <x:v>Cultural center founded Jan. 1, 1979; included as proxy because library/museum data sparse</x:v>
      </x:c>
      <x:c r="H55" s="41" t="str">
        <x:v>Low</x:v>
      </x:c>
      <x:c r="I55" s="50" t="n">
        <x:v>1</x:v>
      </x:c>
      <x:c r="J55" s="41" t="str">
        <x:v>Counted as a third space if Include in metric = 1</x:v>
      </x:c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1" t="str">
        <x:v>Biblioteca Pública La Magdalena Contreras</x:v>
      </x:c>
      <x:c r="B56" s="41" t="str">
        <x:v>Library</x:v>
      </x:c>
      <x:c r="C56" s="41" t="str">
        <x:v>La Magdalena Contreras</x:v>
      </x:c>
      <x:c r="D56" s="50" t="n">
        <x:v>1980</x:v>
      </x:c>
      <x:c r="E56" s="50" t="n">
        <x:v>1980</x:v>
      </x:c>
      <x:c r="F56" s="41" t="str">
        <x:v>https://sic.gob.mx/resultado.php?table=biblioteca&amp;estado_id=9</x:v>
      </x:c>
      <x:c r="G56" s="41" t="str">
        <x:v>Approximate public-library proxy pending exact opening date</x:v>
      </x:c>
      <x:c r="H56" s="41" t="str">
        <x:v>Low</x:v>
      </x:c>
      <x:c r="I56" s="50" t="n">
        <x:v>1</x:v>
      </x:c>
      <x:c r="J56" s="41" t="str">
        <x:v>Counted as a third space if Include in metric = 1</x:v>
      </x:c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1" t="str">
        <x:v>Museo Nacional de Historia, Castillo de Chapultepec</x:v>
      </x:c>
      <x:c r="B57" s="41" t="str">
        <x:v>Museum</x:v>
      </x:c>
      <x:c r="C57" s="41" t="str">
        <x:v>Miguel Hidalgo</x:v>
      </x:c>
      <x:c r="D57" s="50" t="n">
        <x:v>1944</x:v>
      </x:c>
      <x:c r="E57" s="50" t="n">
        <x:v>1940</x:v>
      </x:c>
      <x:c r="F57" s="41" t="str">
        <x:v>https://www.inah.gob.mx/boletines/el-museo-nacional-de-historia-castillo-de-chapultepec-celebra-80-anos-de-su-apertura</x:v>
      </x:c>
      <x:c r="G57" s="41" t="str">
        <x:v>INAH: opened to public Sept. 27, 1944</x:v>
      </x:c>
      <x:c r="H57" s="41" t="str">
        <x:v>High</x:v>
      </x:c>
      <x:c r="I57" s="50" t="n">
        <x:v>1</x:v>
      </x:c>
      <x:c r="J57" s="41" t="str">
        <x:v>Counted as a third space if Include in metric = 1</x:v>
      </x:c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1" t="str">
        <x:v>Museo Nacional de Antropología</x:v>
      </x:c>
      <x:c r="B58" s="41" t="str">
        <x:v>Museum</x:v>
      </x:c>
      <x:c r="C58" s="41" t="str">
        <x:v>Miguel Hidalgo</x:v>
      </x:c>
      <x:c r="D58" s="50" t="n">
        <x:v>1964</x:v>
      </x:c>
      <x:c r="E58" s="50" t="n">
        <x:v>1960</x:v>
      </x:c>
      <x:c r="F58" s="41" t="str">
        <x:v>https://es.wikipedia.org/wiki/Museo_Nacional_de_Antropolog%C3%ADa_%28M%C3%A9xico%29</x:v>
      </x:c>
      <x:c r="G58" s="41" t="str">
        <x:v>Opened Sept. 17, 1964</x:v>
      </x:c>
      <x:c r="H58" s="41" t="str">
        <x:v>High</x:v>
      </x:c>
      <x:c r="I58" s="50" t="n">
        <x:v>1</x:v>
      </x:c>
      <x:c r="J58" s="41" t="str">
        <x:v>Counted as a third space if Include in metric = 1</x:v>
      </x:c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1" t="str">
        <x:v>Museo de Arte Moderno</x:v>
      </x:c>
      <x:c r="B59" s="41" t="str">
        <x:v>Museum</x:v>
      </x:c>
      <x:c r="C59" s="41" t="str">
        <x:v>Miguel Hidalgo</x:v>
      </x:c>
      <x:c r="D59" s="50" t="n">
        <x:v>1964</x:v>
      </x:c>
      <x:c r="E59" s="50" t="n">
        <x:v>1960</x:v>
      </x:c>
      <x:c r="F59" s="41" t="str">
        <x:v>https://mam.inba.gob.mx/</x:v>
      </x:c>
      <x:c r="G59" s="41" t="str">
        <x:v>Opened in 1964</x:v>
      </x:c>
      <x:c r="H59" s="41" t="str">
        <x:v>High</x:v>
      </x:c>
      <x:c r="I59" s="50" t="n">
        <x:v>1</x:v>
      </x:c>
      <x:c r="J59" s="41" t="str">
        <x:v>Counted as a third space if Include in metric = 1</x:v>
      </x:c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1" t="str">
        <x:v>Museo Tamayo Arte Contemporáneo</x:v>
      </x:c>
      <x:c r="B60" s="41" t="str">
        <x:v>Museum</x:v>
      </x:c>
      <x:c r="C60" s="41" t="str">
        <x:v>Miguel Hidalgo</x:v>
      </x:c>
      <x:c r="D60" s="50" t="n">
        <x:v>1981</x:v>
      </x:c>
      <x:c r="E60" s="50" t="n">
        <x:v>1980</x:v>
      </x:c>
      <x:c r="F60" s="41" t="str">
        <x:v>https://www.museotamayo.org/acerca</x:v>
      </x:c>
      <x:c r="G60" s="41" t="str">
        <x:v>Official page says founded in 1981</x:v>
      </x:c>
      <x:c r="H60" s="41" t="str">
        <x:v>High</x:v>
      </x:c>
      <x:c r="I60" s="50" t="n">
        <x:v>1</x:v>
      </x:c>
      <x:c r="J60" s="41" t="str">
        <x:v>Counted as a third space if Include in metric = 1</x:v>
      </x:c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1" t="str">
        <x:v>Papalote Museo del Niño</x:v>
      </x:c>
      <x:c r="B61" s="41" t="str">
        <x:v>Museum</x:v>
      </x:c>
      <x:c r="C61" s="41" t="str">
        <x:v>Miguel Hidalgo</x:v>
      </x:c>
      <x:c r="D61" s="50" t="n">
        <x:v>1993</x:v>
      </x:c>
      <x:c r="E61" s="50" t="n">
        <x:v>1990</x:v>
      </x:c>
      <x:c r="F61" s="41" t="str">
        <x:v>https://papalote.org.mx/</x:v>
      </x:c>
      <x:c r="G61" s="41" t="str">
        <x:v>Opened in 1993</x:v>
      </x:c>
      <x:c r="H61" s="41" t="str">
        <x:v>Medium</x:v>
      </x:c>
      <x:c r="I61" s="50" t="n">
        <x:v>1</x:v>
      </x:c>
      <x:c r="J61" s="41" t="str">
        <x:v>Counted as a third space if Include in metric = 1</x:v>
      </x:c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1" t="str">
        <x:v>Museo Soumaya Plaza Carso</x:v>
      </x:c>
      <x:c r="B62" s="41" t="str">
        <x:v>Museum</x:v>
      </x:c>
      <x:c r="C62" s="41" t="str">
        <x:v>Miguel Hidalgo</x:v>
      </x:c>
      <x:c r="D62" s="50" t="n">
        <x:v>2011</x:v>
      </x:c>
      <x:c r="E62" s="50" t="n">
        <x:v>2010</x:v>
      </x:c>
      <x:c r="F62" s="41" t="str">
        <x:v>https://es.wikipedia.org/wiki/Museo_Soumaya</x:v>
      </x:c>
      <x:c r="G62" s="41" t="str">
        <x:v>Plaza Carso inaugurated Mar. 29, 2011</x:v>
      </x:c>
      <x:c r="H62" s="41" t="str">
        <x:v>High</x:v>
      </x:c>
      <x:c r="I62" s="50" t="n">
        <x:v>1</x:v>
      </x:c>
      <x:c r="J62" s="41" t="str">
        <x:v>Counted as a third space if Include in metric = 1</x:v>
      </x:c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1" t="str">
        <x:v>Museo Jumex</x:v>
      </x:c>
      <x:c r="B63" s="41" t="str">
        <x:v>Museum</x:v>
      </x:c>
      <x:c r="C63" s="41" t="str">
        <x:v>Miguel Hidalgo</x:v>
      </x:c>
      <x:c r="D63" s="50" t="n">
        <x:v>2013</x:v>
      </x:c>
      <x:c r="E63" s="50" t="n">
        <x:v>2010</x:v>
      </x:c>
      <x:c r="F63" s="41" t="str">
        <x:v>https://www.fundacionjumex.org/es/fundacion/</x:v>
      </x:c>
      <x:c r="G63" s="41" t="str">
        <x:v>Opened in 2013</x:v>
      </x:c>
      <x:c r="H63" s="41" t="str">
        <x:v>High</x:v>
      </x:c>
      <x:c r="I63" s="50" t="n">
        <x:v>1</x:v>
      </x:c>
      <x:c r="J63" s="41" t="str">
        <x:v>Counted as a third space if Include in metric = 1</x:v>
      </x:c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1" t="str">
        <x:v>Museo Regional Altepepialcalli</x:v>
      </x:c>
      <x:c r="B64" s="41" t="str">
        <x:v>Museum</x:v>
      </x:c>
      <x:c r="C64" s="41" t="str">
        <x:v>Milpa Alta</x:v>
      </x:c>
      <x:c r="D64" s="50" t="n">
        <x:v>1992</x:v>
      </x:c>
      <x:c r="E64" s="50" t="n">
        <x:v>1990</x:v>
      </x:c>
      <x:c r="F64" s="41" t="str">
        <x:v>https://sic.gob.mx/ficha.php?table=museo&amp;table_id=690</x:v>
      </x:c>
      <x:c r="G64" s="41" t="str">
        <x:v>Regional/community museum; verify exact date</x:v>
      </x:c>
      <x:c r="H64" s="41" t="str">
        <x:v>Low</x:v>
      </x:c>
      <x:c r="I64" s="50" t="n">
        <x:v>1</x:v>
      </x:c>
      <x:c r="J64" s="41" t="str">
        <x:v>Counted as a third space if Include in metric = 1</x:v>
      </x:c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1" t="str">
        <x:v>Biblioteca Pública Milpa Alta</x:v>
      </x:c>
      <x:c r="B65" s="41" t="str">
        <x:v>Library</x:v>
      </x:c>
      <x:c r="C65" s="41" t="str">
        <x:v>Milpa Alta</x:v>
      </x:c>
      <x:c r="D65" s="50" t="n">
        <x:v>1980</x:v>
      </x:c>
      <x:c r="E65" s="50" t="n">
        <x:v>1980</x:v>
      </x:c>
      <x:c r="F65" s="41" t="str">
        <x:v>https://sic.gob.mx/resultado.php?table=biblioteca&amp;estado_id=9</x:v>
      </x:c>
      <x:c r="G65" s="41" t="str">
        <x:v>Approximate public-library proxy pending exact opening date</x:v>
      </x:c>
      <x:c r="H65" s="41" t="str">
        <x:v>Low</x:v>
      </x:c>
      <x:c r="I65" s="50" t="n">
        <x:v>1</x:v>
      </x:c>
      <x:c r="J65" s="41" t="str">
        <x:v>Counted as a third space if Include in metric = 1</x:v>
      </x:c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1" t="str">
        <x:v>Museo Regional Comunitario Cuitláhuac</x:v>
      </x:c>
      <x:c r="B66" s="41" t="str">
        <x:v>Museum</x:v>
      </x:c>
      <x:c r="C66" s="41" t="str">
        <x:v>Tláhuac</x:v>
      </x:c>
      <x:c r="D66" s="50" t="n">
        <x:v>1986</x:v>
      </x:c>
      <x:c r="E66" s="50" t="n">
        <x:v>1980</x:v>
      </x:c>
      <x:c r="F66" s="41" t="str">
        <x:v>https://sic.gob.mx/ficha.php?table=museo&amp;table_id=696</x:v>
      </x:c>
      <x:c r="G66" s="41" t="str">
        <x:v>Community/regional museum; opening year needs verification</x:v>
      </x:c>
      <x:c r="H66" s="41" t="str">
        <x:v>Low</x:v>
      </x:c>
      <x:c r="I66" s="50" t="n">
        <x:v>1</x:v>
      </x:c>
      <x:c r="J66" s="41" t="str">
        <x:v>Counted as a third space if Include in metric = 1</x:v>
      </x:c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1" t="str">
        <x:v>Museo de Tláhuac</x:v>
      </x:c>
      <x:c r="B67" s="41" t="str">
        <x:v>Museum</x:v>
      </x:c>
      <x:c r="C67" s="41" t="str">
        <x:v>Tláhuac</x:v>
      </x:c>
      <x:c r="D67" s="50" t="n">
        <x:v>2020</x:v>
      </x:c>
      <x:c r="E67" s="50" t="n">
        <x:v>2020</x:v>
      </x:c>
      <x:c r="F67" s="41" t="str">
        <x:v>https://sic.gob.mx/resultado.php?table=museo&amp;estado_id=9</x:v>
      </x:c>
      <x:c r="G67" s="41" t="str">
        <x:v>Approximate; verify exact public opening date</x:v>
      </x:c>
      <x:c r="H67" s="41" t="str">
        <x:v>Low</x:v>
      </x:c>
      <x:c r="I67" s="50" t="n">
        <x:v>1</x:v>
      </x:c>
      <x:c r="J67" s="41" t="str">
        <x:v>Counted as a third space if Include in metric = 1</x:v>
      </x:c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1" t="str">
        <x:v>Biblioteca Pública Tláhuac</x:v>
      </x:c>
      <x:c r="B68" s="41" t="str">
        <x:v>Library</x:v>
      </x:c>
      <x:c r="C68" s="41" t="str">
        <x:v>Tláhuac</x:v>
      </x:c>
      <x:c r="D68" s="50" t="n">
        <x:v>1980</x:v>
      </x:c>
      <x:c r="E68" s="50" t="n">
        <x:v>1980</x:v>
      </x:c>
      <x:c r="F68" s="41" t="str">
        <x:v>https://sic.gob.mx/resultado.php?table=biblioteca&amp;estado_id=9</x:v>
      </x:c>
      <x:c r="G68" s="41" t="str">
        <x:v>Approximate public-library proxy pending exact opening date</x:v>
      </x:c>
      <x:c r="H68" s="41" t="str">
        <x:v>Low</x:v>
      </x:c>
      <x:c r="I68" s="50" t="n">
        <x:v>1</x:v>
      </x:c>
      <x:c r="J68" s="41" t="str">
        <x:v>Counted as a third space if Include in metric = 1</x:v>
      </x:c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1" t="str">
        <x:v>Museo del Tiempo Tlalpan</x:v>
      </x:c>
      <x:c r="B69" s="41" t="str">
        <x:v>Museum</x:v>
      </x:c>
      <x:c r="C69" s="41" t="str">
        <x:v>Tlalpan</x:v>
      </x:c>
      <x:c r="D69" s="50" t="n">
        <x:v>2006</x:v>
      </x:c>
      <x:c r="E69" s="50" t="n">
        <x:v>2000</x:v>
      </x:c>
      <x:c r="F69" s="41" t="str">
        <x:v>https://sic.gob.mx/ficha.php?table=museo&amp;table_id=688</x:v>
      </x:c>
      <x:c r="G69" s="41" t="str">
        <x:v>Opened in 2006; verify exact day</x:v>
      </x:c>
      <x:c r="H69" s="41" t="str">
        <x:v>Medium</x:v>
      </x:c>
      <x:c r="I69" s="50" t="n">
        <x:v>1</x:v>
      </x:c>
      <x:c r="J69" s="41" t="str">
        <x:v>Counted as a third space if Include in metric = 1</x:v>
      </x:c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1" t="str">
        <x:v>Museo de Historia de Tlalpan</x:v>
      </x:c>
      <x:c r="B70" s="41" t="str">
        <x:v>Museum</x:v>
      </x:c>
      <x:c r="C70" s="41" t="str">
        <x:v>Tlalpan</x:v>
      </x:c>
      <x:c r="D70" s="50" t="n">
        <x:v>2003</x:v>
      </x:c>
      <x:c r="E70" s="50" t="n">
        <x:v>2000</x:v>
      </x:c>
      <x:c r="F70" s="41" t="str">
        <x:v>https://sic.gob.mx/ficha.php?table=museo&amp;table_id=705</x:v>
      </x:c>
      <x:c r="G70" s="41" t="str">
        <x:v>Opened around 2003; verify exact date</x:v>
      </x:c>
      <x:c r="H70" s="41" t="str">
        <x:v>Low</x:v>
      </x:c>
      <x:c r="I70" s="50" t="n">
        <x:v>1</x:v>
      </x:c>
      <x:c r="J70" s="41" t="str">
        <x:v>Counted as a third space if Include in metric = 1</x:v>
      </x:c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1" t="str">
        <x:v>Biblioteca Pública Tlalpan</x:v>
      </x:c>
      <x:c r="B71" s="41" t="str">
        <x:v>Library</x:v>
      </x:c>
      <x:c r="C71" s="41" t="str">
        <x:v>Tlalpan</x:v>
      </x:c>
      <x:c r="D71" s="50" t="n">
        <x:v>1980</x:v>
      </x:c>
      <x:c r="E71" s="50" t="n">
        <x:v>1980</x:v>
      </x:c>
      <x:c r="F71" s="41" t="str">
        <x:v>https://sic.gob.mx/resultado.php?table=biblioteca&amp;estado_id=9</x:v>
      </x:c>
      <x:c r="G71" s="41" t="str">
        <x:v>Approximate public-library proxy pending exact opening date</x:v>
      </x:c>
      <x:c r="H71" s="41" t="str">
        <x:v>Low</x:v>
      </x:c>
      <x:c r="I71" s="50" t="n">
        <x:v>1</x:v>
      </x:c>
      <x:c r="J71" s="41" t="str">
        <x:v>Counted as a third space if Include in metric = 1</x:v>
      </x:c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1" t="str">
        <x:v>Archivo General de la Nación / Lecumberri public research space</x:v>
      </x:c>
      <x:c r="B72" s="41" t="str">
        <x:v>Library</x:v>
      </x:c>
      <x:c r="C72" s="41" t="str">
        <x:v>Venustiano Carranza</x:v>
      </x:c>
      <x:c r="D72" s="50" t="n">
        <x:v>1982</x:v>
      </x:c>
      <x:c r="E72" s="50" t="n">
        <x:v>1980</x:v>
      </x:c>
      <x:c r="F72" s="41" t="str">
        <x:v>https://www.gob.mx/agn</x:v>
      </x:c>
      <x:c r="G72" s="41" t="str">
        <x:v>AGN moved to Lecumberri in 1982; archival-library public research space proxy</x:v>
      </x:c>
      <x:c r="H72" s="41" t="str">
        <x:v>Medium</x:v>
      </x:c>
      <x:c r="I72" s="50" t="n">
        <x:v>1</x:v>
      </x:c>
      <x:c r="J72" s="41" t="str">
        <x:v>Counted as a third space if Include in metric = 1</x:v>
      </x:c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1" t="str">
        <x:v>Museo Legislativo Sentimientos de la Nación</x:v>
      </x:c>
      <x:c r="B73" s="41" t="str">
        <x:v>Museum</x:v>
      </x:c>
      <x:c r="C73" s="41" t="str">
        <x:v>Venustiano Carranza</x:v>
      </x:c>
      <x:c r="D73" s="50" t="n">
        <x:v>1994</x:v>
      </x:c>
      <x:c r="E73" s="50" t="n">
        <x:v>1990</x:v>
      </x:c>
      <x:c r="F73" s="41" t="str">
        <x:v>https://sic.gob.mx/fichab.php?c=+%C3%A9l+&amp;table=museo&amp;table_id=975</x:v>
      </x:c>
      <x:c r="G73" s="41" t="str">
        <x:v>Opened originally in 1994; re-inaugurated in 2019</x:v>
      </x:c>
      <x:c r="H73" s="41" t="str">
        <x:v>High</x:v>
      </x:c>
      <x:c r="I73" s="50" t="n">
        <x:v>1</x:v>
      </x:c>
      <x:c r="J73" s="41" t="str">
        <x:v>Counted as a third space if Include in metric = 1</x:v>
      </x:c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1" t="str">
        <x:v>Biblioteca Pública Venustiano Carranza</x:v>
      </x:c>
      <x:c r="B74" s="41" t="str">
        <x:v>Library</x:v>
      </x:c>
      <x:c r="C74" s="41" t="str">
        <x:v>Venustiano Carranza</x:v>
      </x:c>
      <x:c r="D74" s="50" t="n">
        <x:v>1980</x:v>
      </x:c>
      <x:c r="E74" s="50" t="n">
        <x:v>1980</x:v>
      </x:c>
      <x:c r="F74" s="41" t="str">
        <x:v>https://sic.gob.mx/resultado.php?table=biblioteca&amp;estado_id=9</x:v>
      </x:c>
      <x:c r="G74" s="41" t="str">
        <x:v>Approximate public-library proxy pending exact opening date</x:v>
      </x:c>
      <x:c r="H74" s="41" t="str">
        <x:v>Low</x:v>
      </x:c>
      <x:c r="I74" s="50" t="n">
        <x:v>1</x:v>
      </x:c>
      <x:c r="J74" s="41" t="str">
        <x:v>Counted as a third space if Include in metric = 1</x:v>
      </x:c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1" t="str">
        <x:v>Museo Dolores Olmedo</x:v>
      </x:c>
      <x:c r="B75" s="41" t="str">
        <x:v>Museum</x:v>
      </x:c>
      <x:c r="C75" s="41" t="str">
        <x:v>Xochimilco</x:v>
      </x:c>
      <x:c r="D75" s="50" t="n">
        <x:v>1994</x:v>
      </x:c>
      <x:c r="E75" s="50" t="n">
        <x:v>1990</x:v>
      </x:c>
      <x:c r="F75" s="41" t="str">
        <x:v>https://sic.gob.mx/ficha.php?table=museo&amp;table_id=683</x:v>
      </x:c>
      <x:c r="G75" s="41" t="str">
        <x:v>Opened in 1994 at La Noria, Xochimilco</x:v>
      </x:c>
      <x:c r="H75" s="41" t="str">
        <x:v>High</x:v>
      </x:c>
      <x:c r="I75" s="50" t="n">
        <x:v>1</x:v>
      </x:c>
      <x:c r="J75" s="41" t="str">
        <x:v>Counted as a third space if Include in metric = 1</x:v>
      </x:c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1" t="str">
        <x:v>Museo Arqueológico de Xochimilco</x:v>
      </x:c>
      <x:c r="B76" s="41" t="str">
        <x:v>Museum</x:v>
      </x:c>
      <x:c r="C76" s="41" t="str">
        <x:v>Xochimilco</x:v>
      </x:c>
      <x:c r="D76" s="50" t="n">
        <x:v>1984</x:v>
      </x:c>
      <x:c r="E76" s="50" t="n">
        <x:v>1980</x:v>
      </x:c>
      <x:c r="F76" s="41" t="str">
        <x:v>https://sic.gob.mx/ficha.php?table=museo&amp;table_id=684</x:v>
      </x:c>
      <x:c r="G76" s="41" t="str">
        <x:v>Opened around 1984; verify exact date</x:v>
      </x:c>
      <x:c r="H76" s="41" t="str">
        <x:v>Medium</x:v>
      </x:c>
      <x:c r="I76" s="50" t="n">
        <x:v>1</x:v>
      </x:c>
      <x:c r="J76" s="41" t="str">
        <x:v>Counted as a third space if Include in metric = 1</x:v>
      </x:c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1" t="str">
        <x:v>Biblioteca Pública Xochimilco</x:v>
      </x:c>
      <x:c r="B77" s="41" t="str">
        <x:v>Library</x:v>
      </x:c>
      <x:c r="C77" s="41" t="str">
        <x:v>Xochimilco</x:v>
      </x:c>
      <x:c r="D77" s="50" t="n">
        <x:v>1980</x:v>
      </x:c>
      <x:c r="E77" s="50" t="n">
        <x:v>1980</x:v>
      </x:c>
      <x:c r="F77" s="41" t="str">
        <x:v>https://sic.gob.mx/resultado.php?table=biblioteca&amp;estado_id=9</x:v>
      </x:c>
      <x:c r="G77" s="41" t="str">
        <x:v>Approximate public-library proxy pending exact opening date</x:v>
      </x:c>
      <x:c r="H77" s="41" t="str">
        <x:v>Low</x:v>
      </x:c>
      <x:c r="I77" s="50" t="n">
        <x:v>1</x:v>
      </x:c>
      <x:c r="J77" s="41" t="str">
        <x:v>Counted as a third space if Include in metric = 1</x:v>
      </x:c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</x:row>
  </x:sheetData>
  <x:conditionalFormatting sqref="H2:H77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971befd9fd49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45" hidden="0" customWidth="1"/>
  </x:cols>
  <x:sheetData>
    <x:row r="1">
      <x:c r="A1" s="42" t="str">
        <x:v>Alcaldía</x:v>
      </x:c>
      <x:c r="B1" s="42" t="str">
        <x:v>Decade</x:v>
      </x:c>
      <x:c r="C1" s="42" t="str">
        <x:v>Population</x:v>
      </x:c>
      <x:c r="D1" s="42" t="str">
        <x:v>Cumulative Museums</x:v>
      </x:c>
      <x:c r="E1" s="42" t="str">
        <x:v>Cumulative Libraries</x:v>
      </x:c>
      <x:c r="F1" s="42" t="str">
        <x:v>Cumulative Third Spaces</x:v>
      </x:c>
      <x:c r="G1" s="42" t="str">
        <x:v>Third Spaces per 100k residents</x:v>
      </x:c>
      <x:c r="H1" s="42" t="str">
        <x:v>Museums per 100k</x:v>
      </x:c>
      <x:c r="I1" s="42" t="str">
        <x:v>Libraries per 100k</x:v>
      </x:c>
      <x:c r="J1" s="42" t="str">
        <x:v>Formula Notes</x:v>
      </x:c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str">
        <x:v>Álvaro Obregón</x:v>
      </x:c>
      <x:c r="B2" s="41" t="n">
        <x:v>1860</x:v>
      </x:c>
      <x:c r="C2" s="52" t="n">
        <x:f>INDEX(Population!$B$5:$R$20,MATCH(A2,Population!$A$5:$A$20,0),MATCH(B2,Population!$B$4:$R$4,0))</x:f>
        <x:v>5363</x:v>
      </x:c>
      <x:c r="D2" s="50" t="n">
        <x:f>COUNTIFS('Third Space Catalog'!$C:$C,A2,'Third Space Catalog'!$B:$B,"Museum",'Third Space Catalog'!$D:$D,"&lt;="&amp;B2,'Third Space Catalog'!$I:$I,1)</x:f>
        <x:v>0</x:v>
      </x:c>
      <x:c r="E2" s="50" t="n">
        <x:f>COUNTIFS('Third Space Catalog'!$C:$C,A2,'Third Space Catalog'!$B:$B,"Library",'Third Space Catalog'!$D:$D,"&lt;="&amp;B2,'Third Space Catalog'!$I:$I,1)</x:f>
        <x:v>0</x:v>
      </x:c>
      <x:c r="F2" s="50" t="n">
        <x:f>D2+E2</x:f>
        <x:v>0</x:v>
      </x:c>
      <x:c r="G2" s="53" t="n">
        <x:f>IFERROR(F2/C2*100000,0)</x:f>
        <x:v>0</x:v>
      </x:c>
      <x:c r="H2" s="53" t="n">
        <x:f>IFERROR(D2/C2*100000,0)</x:f>
        <x:v>0</x:v>
      </x:c>
      <x:c r="I2" s="53" t="n">
        <x:f>IFERROR(E2/C2*100000,0)</x:f>
        <x:v>0</x:v>
      </x:c>
      <x:c r="J2" s="41" t="str">
        <x:v>Count where opening year &lt;= decade and Include in metric = 1</x:v>
      </x:c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Álvaro Obregón</x:v>
      </x:c>
      <x:c r="B3" s="41" t="n">
        <x:v>1870</x:v>
      </x:c>
      <x:c r="C3" s="52" t="n">
        <x:f>INDEX(Population!$B$5:$R$20,MATCH(A3,Population!$A$5:$A$20,0),MATCH(B3,Population!$B$4:$R$4,0))</x:f>
        <x:v>5850</x:v>
      </x:c>
      <x:c r="D3" s="50" t="n">
        <x:f>COUNTIFS('Third Space Catalog'!$C:$C,A3,'Third Space Catalog'!$B:$B,"Museum",'Third Space Catalog'!$D:$D,"&lt;="&amp;B3,'Third Space Catalog'!$I:$I,1)</x:f>
        <x:v>0</x:v>
      </x:c>
      <x:c r="E3" s="50" t="n">
        <x:f>COUNTIFS('Third Space Catalog'!$C:$C,A3,'Third Space Catalog'!$B:$B,"Library",'Third Space Catalog'!$D:$D,"&lt;="&amp;B3,'Third Space Catalog'!$I:$I,1)</x:f>
        <x:v>0</x:v>
      </x:c>
      <x:c r="F3" s="50" t="n">
        <x:f>D3+E3</x:f>
        <x:v>0</x:v>
      </x:c>
      <x:c r="G3" s="53" t="n">
        <x:f>IFERROR(F3/C3*100000,0)</x:f>
        <x:v>0</x:v>
      </x:c>
      <x:c r="H3" s="53" t="n">
        <x:f>IFERROR(D3/C3*100000,0)</x:f>
        <x:v>0</x:v>
      </x:c>
      <x:c r="I3" s="53" t="n">
        <x:f>IFERROR(E3/C3*100000,0)</x:f>
        <x:v>0</x:v>
      </x:c>
      <x:c r="J3" s="41" t="str">
        <x:v>Count where opening year &lt;= decade and Include in metric = 1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Álvaro Obregón</x:v>
      </x:c>
      <x:c r="B4" s="41" t="n">
        <x:v>1880</x:v>
      </x:c>
      <x:c r="C4" s="52" t="n">
        <x:f>INDEX(Population!$B$5:$R$20,MATCH(A4,Population!$A$5:$A$20,0),MATCH(B4,Population!$B$4:$R$4,0))</x:f>
        <x:v>7069</x:v>
      </x:c>
      <x:c r="D4" s="50" t="n">
        <x:f>COUNTIFS('Third Space Catalog'!$C:$C,A4,'Third Space Catalog'!$B:$B,"Museum",'Third Space Catalog'!$D:$D,"&lt;="&amp;B4,'Third Space Catalog'!$I:$I,1)</x:f>
        <x:v>0</x:v>
      </x:c>
      <x:c r="E4" s="50" t="n">
        <x:f>COUNTIFS('Third Space Catalog'!$C:$C,A4,'Third Space Catalog'!$B:$B,"Library",'Third Space Catalog'!$D:$D,"&lt;="&amp;B4,'Third Space Catalog'!$I:$I,1)</x:f>
        <x:v>0</x:v>
      </x:c>
      <x:c r="F4" s="50" t="n">
        <x:f>D4+E4</x:f>
        <x:v>0</x:v>
      </x:c>
      <x:c r="G4" s="53" t="n">
        <x:f>IFERROR(F4/C4*100000,0)</x:f>
        <x:v>0</x:v>
      </x:c>
      <x:c r="H4" s="53" t="n">
        <x:f>IFERROR(D4/C4*100000,0)</x:f>
        <x:v>0</x:v>
      </x:c>
      <x:c r="I4" s="53" t="n">
        <x:f>IFERROR(E4/C4*100000,0)</x:f>
        <x:v>0</x:v>
      </x:c>
      <x:c r="J4" s="41" t="str">
        <x:v>Count where opening year &lt;= decade and Include in metric = 1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Álvaro Obregón</x:v>
      </x:c>
      <x:c r="B5" s="41" t="n">
        <x:v>1890</x:v>
      </x:c>
      <x:c r="C5" s="52" t="n">
        <x:f>INDEX(Population!$B$5:$R$20,MATCH(A5,Population!$A$5:$A$20,0),MATCH(B5,Population!$B$4:$R$4,0))</x:f>
        <x:v>9750</x:v>
      </x:c>
      <x:c r="D5" s="50" t="n">
        <x:f>COUNTIFS('Third Space Catalog'!$C:$C,A5,'Third Space Catalog'!$B:$B,"Museum",'Third Space Catalog'!$D:$D,"&lt;="&amp;B5,'Third Space Catalog'!$I:$I,1)</x:f>
        <x:v>0</x:v>
      </x:c>
      <x:c r="E5" s="50" t="n">
        <x:f>COUNTIFS('Third Space Catalog'!$C:$C,A5,'Third Space Catalog'!$B:$B,"Library",'Third Space Catalog'!$D:$D,"&lt;="&amp;B5,'Third Space Catalog'!$I:$I,1)</x:f>
        <x:v>0</x:v>
      </x:c>
      <x:c r="F5" s="50" t="n">
        <x:f>D5+E5</x:f>
        <x:v>0</x:v>
      </x:c>
      <x:c r="G5" s="53" t="n">
        <x:f>IFERROR(F5/C5*100000,0)</x:f>
        <x:v>0</x:v>
      </x:c>
      <x:c r="H5" s="53" t="n">
        <x:f>IFERROR(D5/C5*100000,0)</x:f>
        <x:v>0</x:v>
      </x:c>
      <x:c r="I5" s="53" t="n">
        <x:f>IFERROR(E5/C5*100000,0)</x:f>
        <x:v>0</x:v>
      </x:c>
      <x:c r="J5" s="41" t="str">
        <x:v>Count where opening year &lt;= decade and Include in metric = 1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Álvaro Obregón</x:v>
      </x:c>
      <x:c r="B6" s="41" t="n">
        <x:v>1900</x:v>
      </x:c>
      <x:c r="C6" s="52" t="n">
        <x:f>INDEX(Population!$B$5:$R$20,MATCH(A6,Population!$A$5:$A$20,0),MATCH(B6,Population!$B$4:$R$4,0))</x:f>
        <x:v>13194</x:v>
      </x:c>
      <x:c r="D6" s="50" t="n">
        <x:f>COUNTIFS('Third Space Catalog'!$C:$C,A6,'Third Space Catalog'!$B:$B,"Museum",'Third Space Catalog'!$D:$D,"&lt;="&amp;B6,'Third Space Catalog'!$I:$I,1)</x:f>
        <x:v>0</x:v>
      </x:c>
      <x:c r="E6" s="50" t="n">
        <x:f>COUNTIFS('Third Space Catalog'!$C:$C,A6,'Third Space Catalog'!$B:$B,"Library",'Third Space Catalog'!$D:$D,"&lt;="&amp;B6,'Third Space Catalog'!$I:$I,1)</x:f>
        <x:v>0</x:v>
      </x:c>
      <x:c r="F6" s="50" t="n">
        <x:f>D6+E6</x:f>
        <x:v>0</x:v>
      </x:c>
      <x:c r="G6" s="53" t="n">
        <x:f>IFERROR(F6/C6*100000,0)</x:f>
        <x:v>0</x:v>
      </x:c>
      <x:c r="H6" s="53" t="n">
        <x:f>IFERROR(D6/C6*100000,0)</x:f>
        <x:v>0</x:v>
      </x:c>
      <x:c r="I6" s="53" t="n">
        <x:f>IFERROR(E6/C6*100000,0)</x:f>
        <x:v>0</x:v>
      </x:c>
      <x:c r="J6" s="41" t="str">
        <x:v>Count where opening year &lt;= decade and Include in metric = 1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Álvaro Obregón</x:v>
      </x:c>
      <x:c r="B7" s="41" t="n">
        <x:v>1910</x:v>
      </x:c>
      <x:c r="C7" s="52" t="n">
        <x:f>INDEX(Population!$B$5:$R$20,MATCH(A7,Population!$A$5:$A$20,0),MATCH(B7,Population!$B$4:$R$4,0))</x:f>
        <x:v>20166</x:v>
      </x:c>
      <x:c r="D7" s="50" t="n">
        <x:f>COUNTIFS('Third Space Catalog'!$C:$C,A7,'Third Space Catalog'!$B:$B,"Museum",'Third Space Catalog'!$D:$D,"&lt;="&amp;B7,'Third Space Catalog'!$I:$I,1)</x:f>
        <x:v>0</x:v>
      </x:c>
      <x:c r="E7" s="50" t="n">
        <x:f>COUNTIFS('Third Space Catalog'!$C:$C,A7,'Third Space Catalog'!$B:$B,"Library",'Third Space Catalog'!$D:$D,"&lt;="&amp;B7,'Third Space Catalog'!$I:$I,1)</x:f>
        <x:v>0</x:v>
      </x:c>
      <x:c r="F7" s="50" t="n">
        <x:f>D7+E7</x:f>
        <x:v>0</x:v>
      </x:c>
      <x:c r="G7" s="53" t="n">
        <x:f>IFERROR(F7/C7*100000,0)</x:f>
        <x:v>0</x:v>
      </x:c>
      <x:c r="H7" s="53" t="n">
        <x:f>IFERROR(D7/C7*100000,0)</x:f>
        <x:v>0</x:v>
      </x:c>
      <x:c r="I7" s="53" t="n">
        <x:f>IFERROR(E7/C7*100000,0)</x:f>
        <x:v>0</x:v>
      </x:c>
      <x:c r="J7" s="41" t="str">
        <x:v>Count where opening year &lt;= decade and Include in metric = 1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Álvaro Obregón</x:v>
      </x:c>
      <x:c r="B8" s="41" t="n">
        <x:v>1920</x:v>
      </x:c>
      <x:c r="C8" s="52" t="n">
        <x:f>INDEX(Population!$B$5:$R$20,MATCH(A8,Population!$A$5:$A$20,0),MATCH(B8,Population!$B$4:$R$4,0))</x:f>
        <x:v>26498</x:v>
      </x:c>
      <x:c r="D8" s="50" t="n">
        <x:f>COUNTIFS('Third Space Catalog'!$C:$C,A8,'Third Space Catalog'!$B:$B,"Museum",'Third Space Catalog'!$D:$D,"&lt;="&amp;B8,'Third Space Catalog'!$I:$I,1)</x:f>
        <x:v>0</x:v>
      </x:c>
      <x:c r="E8" s="50" t="n">
        <x:f>COUNTIFS('Third Space Catalog'!$C:$C,A8,'Third Space Catalog'!$B:$B,"Library",'Third Space Catalog'!$D:$D,"&lt;="&amp;B8,'Third Space Catalog'!$I:$I,1)</x:f>
        <x:v>0</x:v>
      </x:c>
      <x:c r="F8" s="50" t="n">
        <x:f>D8+E8</x:f>
        <x:v>0</x:v>
      </x:c>
      <x:c r="G8" s="53" t="n">
        <x:f>IFERROR(F8/C8*100000,0)</x:f>
        <x:v>0</x:v>
      </x:c>
      <x:c r="H8" s="53" t="n">
        <x:f>IFERROR(D8/C8*100000,0)</x:f>
        <x:v>0</x:v>
      </x:c>
      <x:c r="I8" s="53" t="n">
        <x:f>IFERROR(E8/C8*100000,0)</x:f>
        <x:v>0</x:v>
      </x:c>
      <x:c r="J8" s="41" t="str">
        <x:v>Count where opening year &lt;= decade and Include in metric = 1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Álvaro Obregón</x:v>
      </x:c>
      <x:c r="B9" s="41" t="n">
        <x:v>1930</x:v>
      </x:c>
      <x:c r="C9" s="52" t="n">
        <x:f>INDEX(Population!$B$5:$R$20,MATCH(A9,Population!$A$5:$A$20,0),MATCH(B9,Population!$B$4:$R$4,0))</x:f>
        <x:v>36753</x:v>
      </x:c>
      <x:c r="D9" s="50" t="n">
        <x:f>COUNTIFS('Third Space Catalog'!$C:$C,A9,'Third Space Catalog'!$B:$B,"Museum",'Third Space Catalog'!$D:$D,"&lt;="&amp;B9,'Third Space Catalog'!$I:$I,1)</x:f>
        <x:v>1</x:v>
      </x:c>
      <x:c r="E9" s="50" t="n">
        <x:f>COUNTIFS('Third Space Catalog'!$C:$C,A9,'Third Space Catalog'!$B:$B,"Library",'Third Space Catalog'!$D:$D,"&lt;="&amp;B9,'Third Space Catalog'!$I:$I,1)</x:f>
        <x:v>0</x:v>
      </x:c>
      <x:c r="F9" s="50" t="n">
        <x:f>D9+E9</x:f>
        <x:v>1</x:v>
      </x:c>
      <x:c r="G9" s="53" t="n">
        <x:f>IFERROR(F9/C9*100000,0)</x:f>
        <x:v>2.72086632383751</x:v>
      </x:c>
      <x:c r="H9" s="53" t="n">
        <x:f>IFERROR(D9/C9*100000,0)</x:f>
        <x:v>2.72086632383751</x:v>
      </x:c>
      <x:c r="I9" s="53" t="n">
        <x:f>IFERROR(E9/C9*100000,0)</x:f>
        <x:v>0</x:v>
      </x:c>
      <x:c r="J9" s="41" t="str">
        <x:v>Count where opening year &lt;= decade and Include in metric = 1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str">
        <x:v>Álvaro Obregón</x:v>
      </x:c>
      <x:c r="B10" s="41" t="n">
        <x:v>1940</x:v>
      </x:c>
      <x:c r="C10" s="52" t="n">
        <x:f>INDEX(Population!$B$5:$R$20,MATCH(A10,Population!$A$5:$A$20,0),MATCH(B10,Population!$B$4:$R$4,0))</x:f>
        <x:v>53222</x:v>
      </x:c>
      <x:c r="D10" s="50" t="n">
        <x:f>COUNTIFS('Third Space Catalog'!$C:$C,A10,'Third Space Catalog'!$B:$B,"Museum",'Third Space Catalog'!$D:$D,"&lt;="&amp;B10,'Third Space Catalog'!$I:$I,1)</x:f>
        <x:v>1</x:v>
      </x:c>
      <x:c r="E10" s="50" t="n">
        <x:f>COUNTIFS('Third Space Catalog'!$C:$C,A10,'Third Space Catalog'!$B:$B,"Library",'Third Space Catalog'!$D:$D,"&lt;="&amp;B10,'Third Space Catalog'!$I:$I,1)</x:f>
        <x:v>0</x:v>
      </x:c>
      <x:c r="F10" s="50" t="n">
        <x:f>D10+E10</x:f>
        <x:v>1</x:v>
      </x:c>
      <x:c r="G10" s="53" t="n">
        <x:f>IFERROR(F10/C10*100000,0)</x:f>
        <x:v>1.8789222501972869</x:v>
      </x:c>
      <x:c r="H10" s="53" t="n">
        <x:f>IFERROR(D10/C10*100000,0)</x:f>
        <x:v>1.8789222501972869</x:v>
      </x:c>
      <x:c r="I10" s="53" t="n">
        <x:f>IFERROR(E10/C10*100000,0)</x:f>
        <x:v>0</x:v>
      </x:c>
      <x:c r="J10" s="41" t="str">
        <x:v>Count where opening year &lt;= decade and Include in metric = 1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1" t="str">
        <x:v>Álvaro Obregón</x:v>
      </x:c>
      <x:c r="B11" s="41" t="n">
        <x:v>1950</x:v>
      </x:c>
      <x:c r="C11" s="52" t="n">
        <x:f>INDEX(Population!$B$5:$R$20,MATCH(A11,Population!$A$5:$A$20,0),MATCH(B11,Population!$B$4:$R$4,0))</x:f>
        <x:v>93176</x:v>
      </x:c>
      <x:c r="D11" s="50" t="n">
        <x:f>COUNTIFS('Third Space Catalog'!$C:$C,A11,'Third Space Catalog'!$B:$B,"Museum",'Third Space Catalog'!$D:$D,"&lt;="&amp;B11,'Third Space Catalog'!$I:$I,1)</x:f>
        <x:v>1</x:v>
      </x:c>
      <x:c r="E11" s="50" t="n">
        <x:f>COUNTIFS('Third Space Catalog'!$C:$C,A11,'Third Space Catalog'!$B:$B,"Library",'Third Space Catalog'!$D:$D,"&lt;="&amp;B11,'Third Space Catalog'!$I:$I,1)</x:f>
        <x:v>0</x:v>
      </x:c>
      <x:c r="F11" s="50" t="n">
        <x:f>D11+E11</x:f>
        <x:v>1</x:v>
      </x:c>
      <x:c r="G11" s="53" t="n">
        <x:f>IFERROR(F11/C11*100000,0)</x:f>
        <x:v>1.0732377436249678</x:v>
      </x:c>
      <x:c r="H11" s="53" t="n">
        <x:f>IFERROR(D11/C11*100000,0)</x:f>
        <x:v>1.0732377436249678</x:v>
      </x:c>
      <x:c r="I11" s="53" t="n">
        <x:f>IFERROR(E11/C11*100000,0)</x:f>
        <x:v>0</x:v>
      </x:c>
      <x:c r="J11" s="41" t="str">
        <x:v>Count where opening year &lt;= decade and Include in metric = 1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1" t="str">
        <x:v>Álvaro Obregón</x:v>
      </x:c>
      <x:c r="B12" s="41" t="n">
        <x:v>1960</x:v>
      </x:c>
      <x:c r="C12" s="52" t="n">
        <x:f>INDEX(Population!$B$5:$R$20,MATCH(A12,Population!$A$5:$A$20,0),MATCH(B12,Population!$B$4:$R$4,0))</x:f>
        <x:v>220011</x:v>
      </x:c>
      <x:c r="D12" s="50" t="n">
        <x:f>COUNTIFS('Third Space Catalog'!$C:$C,A12,'Third Space Catalog'!$B:$B,"Museum",'Third Space Catalog'!$D:$D,"&lt;="&amp;B12,'Third Space Catalog'!$I:$I,1)</x:f>
        <x:v>2</x:v>
      </x:c>
      <x:c r="E12" s="50" t="n">
        <x:f>COUNTIFS('Third Space Catalog'!$C:$C,A12,'Third Space Catalog'!$B:$B,"Library",'Third Space Catalog'!$D:$D,"&lt;="&amp;B12,'Third Space Catalog'!$I:$I,1)</x:f>
        <x:v>0</x:v>
      </x:c>
      <x:c r="F12" s="50" t="n">
        <x:f>D12+E12</x:f>
        <x:v>2</x:v>
      </x:c>
      <x:c r="G12" s="53" t="n">
        <x:f>IFERROR(F12/C12*100000,0)</x:f>
        <x:v>0.9090454568180681</x:v>
      </x:c>
      <x:c r="H12" s="53" t="n">
        <x:f>IFERROR(D12/C12*100000,0)</x:f>
        <x:v>0.9090454568180681</x:v>
      </x:c>
      <x:c r="I12" s="53" t="n">
        <x:f>IFERROR(E12/C12*100000,0)</x:f>
        <x:v>0</x:v>
      </x:c>
      <x:c r="J12" s="41" t="str">
        <x:v>Count where opening year &lt;= decade and Include in metric = 1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1" t="str">
        <x:v>Álvaro Obregón</x:v>
      </x:c>
      <x:c r="B13" s="41" t="n">
        <x:v>1970</x:v>
      </x:c>
      <x:c r="C13" s="52" t="n">
        <x:f>INDEX(Population!$B$5:$R$20,MATCH(A13,Population!$A$5:$A$20,0),MATCH(B13,Population!$B$4:$R$4,0))</x:f>
        <x:v>456709</x:v>
      </x:c>
      <x:c r="D13" s="50" t="n">
        <x:f>COUNTIFS('Third Space Catalog'!$C:$C,A13,'Third Space Catalog'!$B:$B,"Museum",'Third Space Catalog'!$D:$D,"&lt;="&amp;B13,'Third Space Catalog'!$I:$I,1)</x:f>
        <x:v>2</x:v>
      </x:c>
      <x:c r="E13" s="50" t="n">
        <x:f>COUNTIFS('Third Space Catalog'!$C:$C,A13,'Third Space Catalog'!$B:$B,"Library",'Third Space Catalog'!$D:$D,"&lt;="&amp;B13,'Third Space Catalog'!$I:$I,1)</x:f>
        <x:v>0</x:v>
      </x:c>
      <x:c r="F13" s="50" t="n">
        <x:f>D13+E13</x:f>
        <x:v>2</x:v>
      </x:c>
      <x:c r="G13" s="53" t="n">
        <x:f>IFERROR(F13/C13*100000,0)</x:f>
        <x:v>0.4379156092829351</x:v>
      </x:c>
      <x:c r="H13" s="53" t="n">
        <x:f>IFERROR(D13/C13*100000,0)</x:f>
        <x:v>0.4379156092829351</x:v>
      </x:c>
      <x:c r="I13" s="53" t="n">
        <x:f>IFERROR(E13/C13*100000,0)</x:f>
        <x:v>0</x:v>
      </x:c>
      <x:c r="J13" s="41" t="str">
        <x:v>Count where opening year &lt;= decade and Include in metric = 1</x:v>
      </x:c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1" t="str">
        <x:v>Álvaro Obregón</x:v>
      </x:c>
      <x:c r="B14" s="41" t="n">
        <x:v>1980</x:v>
      </x:c>
      <x:c r="C14" s="52" t="n">
        <x:f>INDEX(Population!$B$5:$R$20,MATCH(A14,Population!$A$5:$A$20,0),MATCH(B14,Population!$B$4:$R$4,0))</x:f>
        <x:v>639213</x:v>
      </x:c>
      <x:c r="D14" s="50" t="n">
        <x:f>COUNTIFS('Third Space Catalog'!$C:$C,A14,'Third Space Catalog'!$B:$B,"Museum",'Third Space Catalog'!$D:$D,"&lt;="&amp;B14,'Third Space Catalog'!$I:$I,1)</x:f>
        <x:v>3</x:v>
      </x:c>
      <x:c r="E14" s="50" t="n">
        <x:f>COUNTIFS('Third Space Catalog'!$C:$C,A14,'Third Space Catalog'!$B:$B,"Library",'Third Space Catalog'!$D:$D,"&lt;="&amp;B14,'Third Space Catalog'!$I:$I,1)</x:f>
        <x:v>0</x:v>
      </x:c>
      <x:c r="F14" s="50" t="n">
        <x:f>D14+E14</x:f>
        <x:v>3</x:v>
      </x:c>
      <x:c r="G14" s="53" t="n">
        <x:f>IFERROR(F14/C14*100000,0)</x:f>
        <x:v>0.4693271256998841</x:v>
      </x:c>
      <x:c r="H14" s="53" t="n">
        <x:f>IFERROR(D14/C14*100000,0)</x:f>
        <x:v>0.4693271256998841</x:v>
      </x:c>
      <x:c r="I14" s="53" t="n">
        <x:f>IFERROR(E14/C14*100000,0)</x:f>
        <x:v>0</x:v>
      </x:c>
      <x:c r="J14" s="41" t="str">
        <x:v>Count where opening year &lt;= decade and Include in metric = 1</x:v>
      </x:c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1" t="str">
        <x:v>Álvaro Obregón</x:v>
      </x:c>
      <x:c r="B15" s="41" t="n">
        <x:v>1990</x:v>
      </x:c>
      <x:c r="C15" s="52" t="n">
        <x:f>INDEX(Population!$B$5:$R$20,MATCH(A15,Population!$A$5:$A$20,0),MATCH(B15,Population!$B$4:$R$4,0))</x:f>
        <x:v>642753</x:v>
      </x:c>
      <x:c r="D15" s="50" t="n">
        <x:f>COUNTIFS('Third Space Catalog'!$C:$C,A15,'Third Space Catalog'!$B:$B,"Museum",'Third Space Catalog'!$D:$D,"&lt;="&amp;B15,'Third Space Catalog'!$I:$I,1)</x:f>
        <x:v>4</x:v>
      </x:c>
      <x:c r="E15" s="50" t="n">
        <x:f>COUNTIFS('Third Space Catalog'!$C:$C,A15,'Third Space Catalog'!$B:$B,"Library",'Third Space Catalog'!$D:$D,"&lt;="&amp;B15,'Third Space Catalog'!$I:$I,1)</x:f>
        <x:v>0</x:v>
      </x:c>
      <x:c r="F15" s="50" t="n">
        <x:f>D15+E15</x:f>
        <x:v>4</x:v>
      </x:c>
      <x:c r="G15" s="53" t="n">
        <x:f>IFERROR(F15/C15*100000,0)</x:f>
        <x:v>0.622323038554468</x:v>
      </x:c>
      <x:c r="H15" s="53" t="n">
        <x:f>IFERROR(D15/C15*100000,0)</x:f>
        <x:v>0.622323038554468</x:v>
      </x:c>
      <x:c r="I15" s="53" t="n">
        <x:f>IFERROR(E15/C15*100000,0)</x:f>
        <x:v>0</x:v>
      </x:c>
      <x:c r="J15" s="41" t="str">
        <x:v>Count where opening year &lt;= decade and Include in metric = 1</x:v>
      </x:c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1" t="str">
        <x:v>Álvaro Obregón</x:v>
      </x:c>
      <x:c r="B16" s="41" t="n">
        <x:v>2000</x:v>
      </x:c>
      <x:c r="C16" s="52" t="n">
        <x:f>INDEX(Population!$B$5:$R$20,MATCH(A16,Population!$A$5:$A$20,0),MATCH(B16,Population!$B$4:$R$4,0))</x:f>
        <x:v>687020</x:v>
      </x:c>
      <x:c r="D16" s="50" t="n">
        <x:f>COUNTIFS('Third Space Catalog'!$C:$C,A16,'Third Space Catalog'!$B:$B,"Museum",'Third Space Catalog'!$D:$D,"&lt;="&amp;B16,'Third Space Catalog'!$I:$I,1)</x:f>
        <x:v>5</x:v>
      </x:c>
      <x:c r="E16" s="50" t="n">
        <x:f>COUNTIFS('Third Space Catalog'!$C:$C,A16,'Third Space Catalog'!$B:$B,"Library",'Third Space Catalog'!$D:$D,"&lt;="&amp;B16,'Third Space Catalog'!$I:$I,1)</x:f>
        <x:v>0</x:v>
      </x:c>
      <x:c r="F16" s="50" t="n">
        <x:f>D16+E16</x:f>
        <x:v>5</x:v>
      </x:c>
      <x:c r="G16" s="53" t="n">
        <x:f>IFERROR(F16/C16*100000,0)</x:f>
        <x:v>0.7277808506302582</x:v>
      </x:c>
      <x:c r="H16" s="53" t="n">
        <x:f>IFERROR(D16/C16*100000,0)</x:f>
        <x:v>0.7277808506302582</x:v>
      </x:c>
      <x:c r="I16" s="53" t="n">
        <x:f>IFERROR(E16/C16*100000,0)</x:f>
        <x:v>0</x:v>
      </x:c>
      <x:c r="J16" s="41" t="str">
        <x:v>Count where opening year &lt;= decade and Include in metric = 1</x:v>
      </x:c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1" t="str">
        <x:v>Álvaro Obregón</x:v>
      </x:c>
      <x:c r="B17" s="41" t="n">
        <x:v>2010</x:v>
      </x:c>
      <x:c r="C17" s="52" t="n">
        <x:f>INDEX(Population!$B$5:$R$20,MATCH(A17,Population!$A$5:$A$20,0),MATCH(B17,Population!$B$4:$R$4,0))</x:f>
        <x:v>727034</x:v>
      </x:c>
      <x:c r="D17" s="50" t="n">
        <x:f>COUNTIFS('Third Space Catalog'!$C:$C,A17,'Third Space Catalog'!$B:$B,"Museum",'Third Space Catalog'!$D:$D,"&lt;="&amp;B17,'Third Space Catalog'!$I:$I,1)</x:f>
        <x:v>5</x:v>
      </x:c>
      <x:c r="E17" s="50" t="n">
        <x:f>COUNTIFS('Third Space Catalog'!$C:$C,A17,'Third Space Catalog'!$B:$B,"Library",'Third Space Catalog'!$D:$D,"&lt;="&amp;B17,'Third Space Catalog'!$I:$I,1)</x:f>
        <x:v>0</x:v>
      </x:c>
      <x:c r="F17" s="50" t="n">
        <x:f>D17+E17</x:f>
        <x:v>5</x:v>
      </x:c>
      <x:c r="G17" s="53" t="n">
        <x:f>IFERROR(F17/C17*100000,0)</x:f>
        <x:v>0.6877257459761167</x:v>
      </x:c>
      <x:c r="H17" s="53" t="n">
        <x:f>IFERROR(D17/C17*100000,0)</x:f>
        <x:v>0.6877257459761167</x:v>
      </x:c>
      <x:c r="I17" s="53" t="n">
        <x:f>IFERROR(E17/C17*100000,0)</x:f>
        <x:v>0</x:v>
      </x:c>
      <x:c r="J17" s="41" t="str">
        <x:v>Count where opening year &lt;= decade and Include in metric = 1</x:v>
      </x:c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1" t="str">
        <x:v>Álvaro Obregón</x:v>
      </x:c>
      <x:c r="B18" s="41" t="n">
        <x:v>2020</x:v>
      </x:c>
      <x:c r="C18" s="52" t="n">
        <x:f>INDEX(Population!$B$5:$R$20,MATCH(A18,Population!$A$5:$A$20,0),MATCH(B18,Population!$B$4:$R$4,0))</x:f>
        <x:v>759137</x:v>
      </x:c>
      <x:c r="D18" s="50" t="n">
        <x:f>COUNTIFS('Third Space Catalog'!$C:$C,A18,'Third Space Catalog'!$B:$B,"Museum",'Third Space Catalog'!$D:$D,"&lt;="&amp;B18,'Third Space Catalog'!$I:$I,1)</x:f>
        <x:v>5</x:v>
      </x:c>
      <x:c r="E18" s="50" t="n">
        <x:f>COUNTIFS('Third Space Catalog'!$C:$C,A18,'Third Space Catalog'!$B:$B,"Library",'Third Space Catalog'!$D:$D,"&lt;="&amp;B18,'Third Space Catalog'!$I:$I,1)</x:f>
        <x:v>0</x:v>
      </x:c>
      <x:c r="F18" s="50" t="n">
        <x:f>D18+E18</x:f>
        <x:v>5</x:v>
      </x:c>
      <x:c r="G18" s="53" t="n">
        <x:f>IFERROR(F18/C18*100000,0)</x:f>
        <x:v>0.6586426428958145</x:v>
      </x:c>
      <x:c r="H18" s="53" t="n">
        <x:f>IFERROR(D18/C18*100000,0)</x:f>
        <x:v>0.6586426428958145</x:v>
      </x:c>
      <x:c r="I18" s="53" t="n">
        <x:f>IFERROR(E18/C18*100000,0)</x:f>
        <x:v>0</x:v>
      </x:c>
      <x:c r="J18" s="41" t="str">
        <x:v>Count where opening year &lt;= decade and Include in metric = 1</x:v>
      </x:c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1" t="str">
        <x:v>Azcapotzalco</x:v>
      </x:c>
      <x:c r="B19" s="41" t="n">
        <x:v>1860</x:v>
      </x:c>
      <x:c r="C19" s="52" t="n">
        <x:f>INDEX(Population!$B$5:$R$20,MATCH(A19,Population!$A$5:$A$20,0),MATCH(B19,Population!$B$4:$R$4,0))</x:f>
        <x:v>4916</x:v>
      </x:c>
      <x:c r="D19" s="50" t="n">
        <x:f>COUNTIFS('Third Space Catalog'!$C:$C,A19,'Third Space Catalog'!$B:$B,"Museum",'Third Space Catalog'!$D:$D,"&lt;="&amp;B19,'Third Space Catalog'!$I:$I,1)</x:f>
        <x:v>0</x:v>
      </x:c>
      <x:c r="E19" s="50" t="n">
        <x:f>COUNTIFS('Third Space Catalog'!$C:$C,A19,'Third Space Catalog'!$B:$B,"Library",'Third Space Catalog'!$D:$D,"&lt;="&amp;B19,'Third Space Catalog'!$I:$I,1)</x:f>
        <x:v>0</x:v>
      </x:c>
      <x:c r="F19" s="50" t="n">
        <x:f>D19+E19</x:f>
        <x:v>0</x:v>
      </x:c>
      <x:c r="G19" s="53" t="n">
        <x:f>IFERROR(F19/C19*100000,0)</x:f>
        <x:v>0</x:v>
      </x:c>
      <x:c r="H19" s="53" t="n">
        <x:f>IFERROR(D19/C19*100000,0)</x:f>
        <x:v>0</x:v>
      </x:c>
      <x:c r="I19" s="53" t="n">
        <x:f>IFERROR(E19/C19*100000,0)</x:f>
        <x:v>0</x:v>
      </x:c>
      <x:c r="J19" s="41" t="str">
        <x:v>Count where opening year &lt;= decade and Include in metric = 1</x:v>
      </x:c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1" t="str">
        <x:v>Azcapotzalco</x:v>
      </x:c>
      <x:c r="B20" s="41" t="n">
        <x:v>1870</x:v>
      </x:c>
      <x:c r="C20" s="52" t="n">
        <x:f>INDEX(Population!$B$5:$R$20,MATCH(A20,Population!$A$5:$A$20,0),MATCH(B20,Population!$B$4:$R$4,0))</x:f>
        <x:v>5363</x:v>
      </x:c>
      <x:c r="D20" s="50" t="n">
        <x:f>COUNTIFS('Third Space Catalog'!$C:$C,A20,'Third Space Catalog'!$B:$B,"Museum",'Third Space Catalog'!$D:$D,"&lt;="&amp;B20,'Third Space Catalog'!$I:$I,1)</x:f>
        <x:v>0</x:v>
      </x:c>
      <x:c r="E20" s="50" t="n">
        <x:f>COUNTIFS('Third Space Catalog'!$C:$C,A20,'Third Space Catalog'!$B:$B,"Library",'Third Space Catalog'!$D:$D,"&lt;="&amp;B20,'Third Space Catalog'!$I:$I,1)</x:f>
        <x:v>0</x:v>
      </x:c>
      <x:c r="F20" s="50" t="n">
        <x:f>D20+E20</x:f>
        <x:v>0</x:v>
      </x:c>
      <x:c r="G20" s="53" t="n">
        <x:f>IFERROR(F20/C20*100000,0)</x:f>
        <x:v>0</x:v>
      </x:c>
      <x:c r="H20" s="53" t="n">
        <x:f>IFERROR(D20/C20*100000,0)</x:f>
        <x:v>0</x:v>
      </x:c>
      <x:c r="I20" s="53" t="n">
        <x:f>IFERROR(E20/C20*100000,0)</x:f>
        <x:v>0</x:v>
      </x:c>
      <x:c r="J20" s="41" t="str">
        <x:v>Count where opening year &lt;= decade and Include in metric = 1</x:v>
      </x:c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1" t="str">
        <x:v>Azcapotzalco</x:v>
      </x:c>
      <x:c r="B21" s="41" t="n">
        <x:v>1880</x:v>
      </x:c>
      <x:c r="C21" s="52" t="n">
        <x:f>INDEX(Population!$B$5:$R$20,MATCH(A21,Population!$A$5:$A$20,0),MATCH(B21,Population!$B$4:$R$4,0))</x:f>
        <x:v>6480</x:v>
      </x:c>
      <x:c r="D21" s="50" t="n">
        <x:f>COUNTIFS('Third Space Catalog'!$C:$C,A21,'Third Space Catalog'!$B:$B,"Museum",'Third Space Catalog'!$D:$D,"&lt;="&amp;B21,'Third Space Catalog'!$I:$I,1)</x:f>
        <x:v>0</x:v>
      </x:c>
      <x:c r="E21" s="50" t="n">
        <x:f>COUNTIFS('Third Space Catalog'!$C:$C,A21,'Third Space Catalog'!$B:$B,"Library",'Third Space Catalog'!$D:$D,"&lt;="&amp;B21,'Third Space Catalog'!$I:$I,1)</x:f>
        <x:v>0</x:v>
      </x:c>
      <x:c r="F21" s="50" t="n">
        <x:f>D21+E21</x:f>
        <x:v>0</x:v>
      </x:c>
      <x:c r="G21" s="53" t="n">
        <x:f>IFERROR(F21/C21*100000,0)</x:f>
        <x:v>0</x:v>
      </x:c>
      <x:c r="H21" s="53" t="n">
        <x:f>IFERROR(D21/C21*100000,0)</x:f>
        <x:v>0</x:v>
      </x:c>
      <x:c r="I21" s="53" t="n">
        <x:f>IFERROR(E21/C21*100000,0)</x:f>
        <x:v>0</x:v>
      </x:c>
      <x:c r="J21" s="41" t="str">
        <x:v>Count where opening year &lt;= decade and Include in metric = 1</x:v>
      </x:c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1" t="str">
        <x:v>Azcapotzalco</x:v>
      </x:c>
      <x:c r="B22" s="41" t="n">
        <x:v>1890</x:v>
      </x:c>
      <x:c r="C22" s="52" t="n">
        <x:f>INDEX(Population!$B$5:$R$20,MATCH(A22,Population!$A$5:$A$20,0),MATCH(B22,Population!$B$4:$R$4,0))</x:f>
        <x:v>8938</x:v>
      </x:c>
      <x:c r="D22" s="50" t="n">
        <x:f>COUNTIFS('Third Space Catalog'!$C:$C,A22,'Third Space Catalog'!$B:$B,"Museum",'Third Space Catalog'!$D:$D,"&lt;="&amp;B22,'Third Space Catalog'!$I:$I,1)</x:f>
        <x:v>0</x:v>
      </x:c>
      <x:c r="E22" s="50" t="n">
        <x:f>COUNTIFS('Third Space Catalog'!$C:$C,A22,'Third Space Catalog'!$B:$B,"Library",'Third Space Catalog'!$D:$D,"&lt;="&amp;B22,'Third Space Catalog'!$I:$I,1)</x:f>
        <x:v>0</x:v>
      </x:c>
      <x:c r="F22" s="50" t="n">
        <x:f>D22+E22</x:f>
        <x:v>0</x:v>
      </x:c>
      <x:c r="G22" s="53" t="n">
        <x:f>IFERROR(F22/C22*100000,0)</x:f>
        <x:v>0</x:v>
      </x:c>
      <x:c r="H22" s="53" t="n">
        <x:f>IFERROR(D22/C22*100000,0)</x:f>
        <x:v>0</x:v>
      </x:c>
      <x:c r="I22" s="53" t="n">
        <x:f>IFERROR(E22/C22*100000,0)</x:f>
        <x:v>0</x:v>
      </x:c>
      <x:c r="J22" s="41" t="str">
        <x:v>Count where opening year &lt;= decade and Include in metric = 1</x:v>
      </x:c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1" t="str">
        <x:v>Azcapotzalco</x:v>
      </x:c>
      <x:c r="B23" s="41" t="n">
        <x:v>1900</x:v>
      </x:c>
      <x:c r="C23" s="52" t="n">
        <x:f>INDEX(Population!$B$5:$R$20,MATCH(A23,Population!$A$5:$A$20,0),MATCH(B23,Population!$B$4:$R$4,0))</x:f>
        <x:v>12095</x:v>
      </x:c>
      <x:c r="D23" s="50" t="n">
        <x:f>COUNTIFS('Third Space Catalog'!$C:$C,A23,'Third Space Catalog'!$B:$B,"Museum",'Third Space Catalog'!$D:$D,"&lt;="&amp;B23,'Third Space Catalog'!$I:$I,1)</x:f>
        <x:v>0</x:v>
      </x:c>
      <x:c r="E23" s="50" t="n">
        <x:f>COUNTIFS('Third Space Catalog'!$C:$C,A23,'Third Space Catalog'!$B:$B,"Library",'Third Space Catalog'!$D:$D,"&lt;="&amp;B23,'Third Space Catalog'!$I:$I,1)</x:f>
        <x:v>0</x:v>
      </x:c>
      <x:c r="F23" s="50" t="n">
        <x:f>D23+E23</x:f>
        <x:v>0</x:v>
      </x:c>
      <x:c r="G23" s="53" t="n">
        <x:f>IFERROR(F23/C23*100000,0)</x:f>
        <x:v>0</x:v>
      </x:c>
      <x:c r="H23" s="53" t="n">
        <x:f>IFERROR(D23/C23*100000,0)</x:f>
        <x:v>0</x:v>
      </x:c>
      <x:c r="I23" s="53" t="n">
        <x:f>IFERROR(E23/C23*100000,0)</x:f>
        <x:v>0</x:v>
      </x:c>
      <x:c r="J23" s="41" t="str">
        <x:v>Count where opening year &lt;= decade and Include in metric = 1</x:v>
      </x:c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1" t="str">
        <x:v>Azcapotzalco</x:v>
      </x:c>
      <x:c r="B24" s="41" t="n">
        <x:v>1910</x:v>
      </x:c>
      <x:c r="C24" s="52" t="n">
        <x:f>INDEX(Population!$B$5:$R$20,MATCH(A24,Population!$A$5:$A$20,0),MATCH(B24,Population!$B$4:$R$4,0))</x:f>
        <x:v>32638</x:v>
      </x:c>
      <x:c r="D24" s="50" t="n">
        <x:f>COUNTIFS('Third Space Catalog'!$C:$C,A24,'Third Space Catalog'!$B:$B,"Museum",'Third Space Catalog'!$D:$D,"&lt;="&amp;B24,'Third Space Catalog'!$I:$I,1)</x:f>
        <x:v>0</x:v>
      </x:c>
      <x:c r="E24" s="50" t="n">
        <x:f>COUNTIFS('Third Space Catalog'!$C:$C,A24,'Third Space Catalog'!$B:$B,"Library",'Third Space Catalog'!$D:$D,"&lt;="&amp;B24,'Third Space Catalog'!$I:$I,1)</x:f>
        <x:v>0</x:v>
      </x:c>
      <x:c r="F24" s="50" t="n">
        <x:f>D24+E24</x:f>
        <x:v>0</x:v>
      </x:c>
      <x:c r="G24" s="53" t="n">
        <x:f>IFERROR(F24/C24*100000,0)</x:f>
        <x:v>0</x:v>
      </x:c>
      <x:c r="H24" s="53" t="n">
        <x:f>IFERROR(D24/C24*100000,0)</x:f>
        <x:v>0</x:v>
      </x:c>
      <x:c r="I24" s="53" t="n">
        <x:f>IFERROR(E24/C24*100000,0)</x:f>
        <x:v>0</x:v>
      </x:c>
      <x:c r="J24" s="41" t="str">
        <x:v>Count where opening year &lt;= decade and Include in metric = 1</x:v>
      </x:c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1" t="str">
        <x:v>Azcapotzalco</x:v>
      </x:c>
      <x:c r="B25" s="41" t="n">
        <x:v>1920</x:v>
      </x:c>
      <x:c r="C25" s="52" t="n">
        <x:f>INDEX(Population!$B$5:$R$20,MATCH(A25,Population!$A$5:$A$20,0),MATCH(B25,Population!$B$4:$R$4,0))</x:f>
        <x:v>48320</x:v>
      </x:c>
      <x:c r="D25" s="50" t="n">
        <x:f>COUNTIFS('Third Space Catalog'!$C:$C,A25,'Third Space Catalog'!$B:$B,"Museum",'Third Space Catalog'!$D:$D,"&lt;="&amp;B25,'Third Space Catalog'!$I:$I,1)</x:f>
        <x:v>0</x:v>
      </x:c>
      <x:c r="E25" s="50" t="n">
        <x:f>COUNTIFS('Third Space Catalog'!$C:$C,A25,'Third Space Catalog'!$B:$B,"Library",'Third Space Catalog'!$D:$D,"&lt;="&amp;B25,'Third Space Catalog'!$I:$I,1)</x:f>
        <x:v>0</x:v>
      </x:c>
      <x:c r="F25" s="50" t="n">
        <x:f>D25+E25</x:f>
        <x:v>0</x:v>
      </x:c>
      <x:c r="G25" s="53" t="n">
        <x:f>IFERROR(F25/C25*100000,0)</x:f>
        <x:v>0</x:v>
      </x:c>
      <x:c r="H25" s="53" t="n">
        <x:f>IFERROR(D25/C25*100000,0)</x:f>
        <x:v>0</x:v>
      </x:c>
      <x:c r="I25" s="53" t="n">
        <x:f>IFERROR(E25/C25*100000,0)</x:f>
        <x:v>0</x:v>
      </x:c>
      <x:c r="J25" s="41" t="str">
        <x:v>Count where opening year &lt;= decade and Include in metric = 1</x:v>
      </x:c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1" t="str">
        <x:v>Azcapotzalco</x:v>
      </x:c>
      <x:c r="B26" s="41" t="n">
        <x:v>1930</x:v>
      </x:c>
      <x:c r="C26" s="52" t="n">
        <x:f>INDEX(Population!$B$5:$R$20,MATCH(A26,Population!$A$5:$A$20,0),MATCH(B26,Population!$B$4:$R$4,0))</x:f>
        <x:v>70615</x:v>
      </x:c>
      <x:c r="D26" s="50" t="n">
        <x:f>COUNTIFS('Third Space Catalog'!$C:$C,A26,'Third Space Catalog'!$B:$B,"Museum",'Third Space Catalog'!$D:$D,"&lt;="&amp;B26,'Third Space Catalog'!$I:$I,1)</x:f>
        <x:v>0</x:v>
      </x:c>
      <x:c r="E26" s="50" t="n">
        <x:f>COUNTIFS('Third Space Catalog'!$C:$C,A26,'Third Space Catalog'!$B:$B,"Library",'Third Space Catalog'!$D:$D,"&lt;="&amp;B26,'Third Space Catalog'!$I:$I,1)</x:f>
        <x:v>0</x:v>
      </x:c>
      <x:c r="F26" s="50" t="n">
        <x:f>D26+E26</x:f>
        <x:v>0</x:v>
      </x:c>
      <x:c r="G26" s="53" t="n">
        <x:f>IFERROR(F26/C26*100000,0)</x:f>
        <x:v>0</x:v>
      </x:c>
      <x:c r="H26" s="53" t="n">
        <x:f>IFERROR(D26/C26*100000,0)</x:f>
        <x:v>0</x:v>
      </x:c>
      <x:c r="I26" s="53" t="n">
        <x:f>IFERROR(E26/C26*100000,0)</x:f>
        <x:v>0</x:v>
      </x:c>
      <x:c r="J26" s="41" t="str">
        <x:v>Count where opening year &lt;= decade and Include in metric = 1</x:v>
      </x:c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1" t="str">
        <x:v>Azcapotzalco</x:v>
      </x:c>
      <x:c r="B27" s="41" t="n">
        <x:v>1940</x:v>
      </x:c>
      <x:c r="C27" s="52" t="n">
        <x:f>INDEX(Population!$B$5:$R$20,MATCH(A27,Population!$A$5:$A$20,0),MATCH(B27,Population!$B$4:$R$4,0))</x:f>
        <x:v>105306</x:v>
      </x:c>
      <x:c r="D27" s="50" t="n">
        <x:f>COUNTIFS('Third Space Catalog'!$C:$C,A27,'Third Space Catalog'!$B:$B,"Museum",'Third Space Catalog'!$D:$D,"&lt;="&amp;B27,'Third Space Catalog'!$I:$I,1)</x:f>
        <x:v>0</x:v>
      </x:c>
      <x:c r="E27" s="50" t="n">
        <x:f>COUNTIFS('Third Space Catalog'!$C:$C,A27,'Third Space Catalog'!$B:$B,"Library",'Third Space Catalog'!$D:$D,"&lt;="&amp;B27,'Third Space Catalog'!$I:$I,1)</x:f>
        <x:v>0</x:v>
      </x:c>
      <x:c r="F27" s="50" t="n">
        <x:f>D27+E27</x:f>
        <x:v>0</x:v>
      </x:c>
      <x:c r="G27" s="53" t="n">
        <x:f>IFERROR(F27/C27*100000,0)</x:f>
        <x:v>0</x:v>
      </x:c>
      <x:c r="H27" s="53" t="n">
        <x:f>IFERROR(D27/C27*100000,0)</x:f>
        <x:v>0</x:v>
      </x:c>
      <x:c r="I27" s="53" t="n">
        <x:f>IFERROR(E27/C27*100000,0)</x:f>
        <x:v>0</x:v>
      </x:c>
      <x:c r="J27" s="41" t="str">
        <x:v>Count where opening year &lt;= decade and Include in metric = 1</x:v>
      </x:c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1" t="str">
        <x:v>Azcapotzalco</x:v>
      </x:c>
      <x:c r="B28" s="41" t="n">
        <x:v>1950</x:v>
      </x:c>
      <x:c r="C28" s="52" t="n">
        <x:f>INDEX(Population!$B$5:$R$20,MATCH(A28,Population!$A$5:$A$20,0),MATCH(B28,Population!$B$4:$R$4,0))</x:f>
        <x:v>187864</x:v>
      </x:c>
      <x:c r="D28" s="50" t="n">
        <x:f>COUNTIFS('Third Space Catalog'!$C:$C,A28,'Third Space Catalog'!$B:$B,"Museum",'Third Space Catalog'!$D:$D,"&lt;="&amp;B28,'Third Space Catalog'!$I:$I,1)</x:f>
        <x:v>0</x:v>
      </x:c>
      <x:c r="E28" s="50" t="n">
        <x:f>COUNTIFS('Third Space Catalog'!$C:$C,A28,'Third Space Catalog'!$B:$B,"Library",'Third Space Catalog'!$D:$D,"&lt;="&amp;B28,'Third Space Catalog'!$I:$I,1)</x:f>
        <x:v>0</x:v>
      </x:c>
      <x:c r="F28" s="50" t="n">
        <x:f>D28+E28</x:f>
        <x:v>0</x:v>
      </x:c>
      <x:c r="G28" s="53" t="n">
        <x:f>IFERROR(F28/C28*100000,0)</x:f>
        <x:v>0</x:v>
      </x:c>
      <x:c r="H28" s="53" t="n">
        <x:f>IFERROR(D28/C28*100000,0)</x:f>
        <x:v>0</x:v>
      </x:c>
      <x:c r="I28" s="53" t="n">
        <x:f>IFERROR(E28/C28*100000,0)</x:f>
        <x:v>0</x:v>
      </x:c>
      <x:c r="J28" s="41" t="str">
        <x:v>Count where opening year &lt;= decade and Include in metric = 1</x:v>
      </x:c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1" t="str">
        <x:v>Azcapotzalco</x:v>
      </x:c>
      <x:c r="B29" s="41" t="n">
        <x:v>1960</x:v>
      </x:c>
      <x:c r="C29" s="52" t="n">
        <x:f>INDEX(Population!$B$5:$R$20,MATCH(A29,Population!$A$5:$A$20,0),MATCH(B29,Population!$B$4:$R$4,0))</x:f>
        <x:v>370724</x:v>
      </x:c>
      <x:c r="D29" s="50" t="n">
        <x:f>COUNTIFS('Third Space Catalog'!$C:$C,A29,'Third Space Catalog'!$B:$B,"Museum",'Third Space Catalog'!$D:$D,"&lt;="&amp;B29,'Third Space Catalog'!$I:$I,1)</x:f>
        <x:v>0</x:v>
      </x:c>
      <x:c r="E29" s="50" t="n">
        <x:f>COUNTIFS('Third Space Catalog'!$C:$C,A29,'Third Space Catalog'!$B:$B,"Library",'Third Space Catalog'!$D:$D,"&lt;="&amp;B29,'Third Space Catalog'!$I:$I,1)</x:f>
        <x:v>0</x:v>
      </x:c>
      <x:c r="F29" s="50" t="n">
        <x:f>D29+E29</x:f>
        <x:v>0</x:v>
      </x:c>
      <x:c r="G29" s="53" t="n">
        <x:f>IFERROR(F29/C29*100000,0)</x:f>
        <x:v>0</x:v>
      </x:c>
      <x:c r="H29" s="53" t="n">
        <x:f>IFERROR(D29/C29*100000,0)</x:f>
        <x:v>0</x:v>
      </x:c>
      <x:c r="I29" s="53" t="n">
        <x:f>IFERROR(E29/C29*100000,0)</x:f>
        <x:v>0</x:v>
      </x:c>
      <x:c r="J29" s="41" t="str">
        <x:v>Count where opening year &lt;= decade and Include in metric = 1</x:v>
      </x:c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1" t="str">
        <x:v>Azcapotzalco</x:v>
      </x:c>
      <x:c r="B30" s="41" t="n">
        <x:v>1970</x:v>
      </x:c>
      <x:c r="C30" s="52" t="n">
        <x:f>INDEX(Population!$B$5:$R$20,MATCH(A30,Population!$A$5:$A$20,0),MATCH(B30,Population!$B$4:$R$4,0))</x:f>
        <x:v>534554</x:v>
      </x:c>
      <x:c r="D30" s="50" t="n">
        <x:f>COUNTIFS('Third Space Catalog'!$C:$C,A30,'Third Space Catalog'!$B:$B,"Museum",'Third Space Catalog'!$D:$D,"&lt;="&amp;B30,'Third Space Catalog'!$I:$I,1)</x:f>
        <x:v>0</x:v>
      </x:c>
      <x:c r="E30" s="50" t="n">
        <x:f>COUNTIFS('Third Space Catalog'!$C:$C,A30,'Third Space Catalog'!$B:$B,"Library",'Third Space Catalog'!$D:$D,"&lt;="&amp;B30,'Third Space Catalog'!$I:$I,1)</x:f>
        <x:v>0</x:v>
      </x:c>
      <x:c r="F30" s="50" t="n">
        <x:f>D30+E30</x:f>
        <x:v>0</x:v>
      </x:c>
      <x:c r="G30" s="53" t="n">
        <x:f>IFERROR(F30/C30*100000,0)</x:f>
        <x:v>0</x:v>
      </x:c>
      <x:c r="H30" s="53" t="n">
        <x:f>IFERROR(D30/C30*100000,0)</x:f>
        <x:v>0</x:v>
      </x:c>
      <x:c r="I30" s="53" t="n">
        <x:f>IFERROR(E30/C30*100000,0)</x:f>
        <x:v>0</x:v>
      </x:c>
      <x:c r="J30" s="41" t="str">
        <x:v>Count where opening year &lt;= decade and Include in metric = 1</x:v>
      </x:c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1" t="str">
        <x:v>Azcapotzalco</x:v>
      </x:c>
      <x:c r="B31" s="41" t="n">
        <x:v>1980</x:v>
      </x:c>
      <x:c r="C31" s="52" t="n">
        <x:f>INDEX(Population!$B$5:$R$20,MATCH(A31,Population!$A$5:$A$20,0),MATCH(B31,Population!$B$4:$R$4,0))</x:f>
        <x:v>601524</x:v>
      </x:c>
      <x:c r="D31" s="50" t="n">
        <x:f>COUNTIFS('Third Space Catalog'!$C:$C,A31,'Third Space Catalog'!$B:$B,"Museum",'Third Space Catalog'!$D:$D,"&lt;="&amp;B31,'Third Space Catalog'!$I:$I,1)</x:f>
        <x:v>0</x:v>
      </x:c>
      <x:c r="E31" s="50" t="n">
        <x:f>COUNTIFS('Third Space Catalog'!$C:$C,A31,'Third Space Catalog'!$B:$B,"Library",'Third Space Catalog'!$D:$D,"&lt;="&amp;B31,'Third Space Catalog'!$I:$I,1)</x:f>
        <x:v>2</x:v>
      </x:c>
      <x:c r="F31" s="50" t="n">
        <x:f>D31+E31</x:f>
        <x:v>2</x:v>
      </x:c>
      <x:c r="G31" s="53" t="n">
        <x:f>IFERROR(F31/C31*100000,0)</x:f>
        <x:v>0.3324888117514846</x:v>
      </x:c>
      <x:c r="H31" s="53" t="n">
        <x:f>IFERROR(D31/C31*100000,0)</x:f>
        <x:v>0</x:v>
      </x:c>
      <x:c r="I31" s="53" t="n">
        <x:f>IFERROR(E31/C31*100000,0)</x:f>
        <x:v>0.3324888117514846</x:v>
      </x:c>
      <x:c r="J31" s="41" t="str">
        <x:v>Count where opening year &lt;= decade and Include in metric = 1</x:v>
      </x:c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1" t="str">
        <x:v>Azcapotzalco</x:v>
      </x:c>
      <x:c r="B32" s="41" t="n">
        <x:v>1990</x:v>
      </x:c>
      <x:c r="C32" s="52" t="n">
        <x:f>INDEX(Population!$B$5:$R$20,MATCH(A32,Population!$A$5:$A$20,0),MATCH(B32,Population!$B$4:$R$4,0))</x:f>
        <x:v>474688</x:v>
      </x:c>
      <x:c r="D32" s="50" t="n">
        <x:f>COUNTIFS('Third Space Catalog'!$C:$C,A32,'Third Space Catalog'!$B:$B,"Museum",'Third Space Catalog'!$D:$D,"&lt;="&amp;B32,'Third Space Catalog'!$I:$I,1)</x:f>
        <x:v>0</x:v>
      </x:c>
      <x:c r="E32" s="50" t="n">
        <x:f>COUNTIFS('Third Space Catalog'!$C:$C,A32,'Third Space Catalog'!$B:$B,"Library",'Third Space Catalog'!$D:$D,"&lt;="&amp;B32,'Third Space Catalog'!$I:$I,1)</x:f>
        <x:v>2</x:v>
      </x:c>
      <x:c r="F32" s="50" t="n">
        <x:f>D32+E32</x:f>
        <x:v>2</x:v>
      </x:c>
      <x:c r="G32" s="53" t="n">
        <x:f>IFERROR(F32/C32*100000,0)</x:f>
        <x:v>0.42132937845490087</x:v>
      </x:c>
      <x:c r="H32" s="53" t="n">
        <x:f>IFERROR(D32/C32*100000,0)</x:f>
        <x:v>0</x:v>
      </x:c>
      <x:c r="I32" s="53" t="n">
        <x:f>IFERROR(E32/C32*100000,0)</x:f>
        <x:v>0.42132937845490087</x:v>
      </x:c>
      <x:c r="J32" s="41" t="str">
        <x:v>Count where opening year &lt;= decade and Include in metric = 1</x:v>
      </x:c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1" t="str">
        <x:v>Azcapotzalco</x:v>
      </x:c>
      <x:c r="B33" s="41" t="n">
        <x:v>2000</x:v>
      </x:c>
      <x:c r="C33" s="52" t="n">
        <x:f>INDEX(Population!$B$5:$R$20,MATCH(A33,Population!$A$5:$A$20,0),MATCH(B33,Population!$B$4:$R$4,0))</x:f>
        <x:v>441008</x:v>
      </x:c>
      <x:c r="D33" s="50" t="n">
        <x:f>COUNTIFS('Third Space Catalog'!$C:$C,A33,'Third Space Catalog'!$B:$B,"Museum",'Third Space Catalog'!$D:$D,"&lt;="&amp;B33,'Third Space Catalog'!$I:$I,1)</x:f>
        <x:v>2</x:v>
      </x:c>
      <x:c r="E33" s="50" t="n">
        <x:f>COUNTIFS('Third Space Catalog'!$C:$C,A33,'Third Space Catalog'!$B:$B,"Library",'Third Space Catalog'!$D:$D,"&lt;="&amp;B33,'Third Space Catalog'!$I:$I,1)</x:f>
        <x:v>2</x:v>
      </x:c>
      <x:c r="F33" s="50" t="n">
        <x:f>D33+E33</x:f>
        <x:v>4</x:v>
      </x:c>
      <x:c r="G33" s="53" t="n">
        <x:f>IFERROR(F33/C33*100000,0)</x:f>
        <x:v>0.9070130247070348</x:v>
      </x:c>
      <x:c r="H33" s="53" t="n">
        <x:f>IFERROR(D33/C33*100000,0)</x:f>
        <x:v>0.4535065123535174</x:v>
      </x:c>
      <x:c r="I33" s="53" t="n">
        <x:f>IFERROR(E33/C33*100000,0)</x:f>
        <x:v>0.4535065123535174</x:v>
      </x:c>
      <x:c r="J33" s="41" t="str">
        <x:v>Count where opening year &lt;= decade and Include in metric = 1</x:v>
      </x:c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1" t="str">
        <x:v>Azcapotzalco</x:v>
      </x:c>
      <x:c r="B34" s="41" t="n">
        <x:v>2010</x:v>
      </x:c>
      <x:c r="C34" s="52" t="n">
        <x:f>INDEX(Population!$B$5:$R$20,MATCH(A34,Population!$A$5:$A$20,0),MATCH(B34,Population!$B$4:$R$4,0))</x:f>
        <x:v>414711</x:v>
      </x:c>
      <x:c r="D34" s="50" t="n">
        <x:f>COUNTIFS('Third Space Catalog'!$C:$C,A34,'Third Space Catalog'!$B:$B,"Museum",'Third Space Catalog'!$D:$D,"&lt;="&amp;B34,'Third Space Catalog'!$I:$I,1)</x:f>
        <x:v>2</x:v>
      </x:c>
      <x:c r="E34" s="50" t="n">
        <x:f>COUNTIFS('Third Space Catalog'!$C:$C,A34,'Third Space Catalog'!$B:$B,"Library",'Third Space Catalog'!$D:$D,"&lt;="&amp;B34,'Third Space Catalog'!$I:$I,1)</x:f>
        <x:v>2</x:v>
      </x:c>
      <x:c r="F34" s="50" t="n">
        <x:f>D34+E34</x:f>
        <x:v>4</x:v>
      </x:c>
      <x:c r="G34" s="53" t="n">
        <x:f>IFERROR(F34/C34*100000,0)</x:f>
        <x:v>0.9645271044172931</x:v>
      </x:c>
      <x:c r="H34" s="53" t="n">
        <x:f>IFERROR(D34/C34*100000,0)</x:f>
        <x:v>0.48226355220864653</x:v>
      </x:c>
      <x:c r="I34" s="53" t="n">
        <x:f>IFERROR(E34/C34*100000,0)</x:f>
        <x:v>0.48226355220864653</x:v>
      </x:c>
      <x:c r="J34" s="41" t="str">
        <x:v>Count where opening year &lt;= decade and Include in metric = 1</x:v>
      </x:c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1" t="str">
        <x:v>Azcapotzalco</x:v>
      </x:c>
      <x:c r="B35" s="41" t="n">
        <x:v>2020</x:v>
      </x:c>
      <x:c r="C35" s="52" t="n">
        <x:f>INDEX(Population!$B$5:$R$20,MATCH(A35,Population!$A$5:$A$20,0),MATCH(B35,Population!$B$4:$R$4,0))</x:f>
        <x:v>432205</x:v>
      </x:c>
      <x:c r="D35" s="50" t="n">
        <x:f>COUNTIFS('Third Space Catalog'!$C:$C,A35,'Third Space Catalog'!$B:$B,"Museum",'Third Space Catalog'!$D:$D,"&lt;="&amp;B35,'Third Space Catalog'!$I:$I,1)</x:f>
        <x:v>2</x:v>
      </x:c>
      <x:c r="E35" s="50" t="n">
        <x:f>COUNTIFS('Third Space Catalog'!$C:$C,A35,'Third Space Catalog'!$B:$B,"Library",'Third Space Catalog'!$D:$D,"&lt;="&amp;B35,'Third Space Catalog'!$I:$I,1)</x:f>
        <x:v>2</x:v>
      </x:c>
      <x:c r="F35" s="50" t="n">
        <x:f>D35+E35</x:f>
        <x:v>4</x:v>
      </x:c>
      <x:c r="G35" s="53" t="n">
        <x:f>IFERROR(F35/C35*100000,0)</x:f>
        <x:v>0.9254867481866244</x:v>
      </x:c>
      <x:c r="H35" s="53" t="n">
        <x:f>IFERROR(D35/C35*100000,0)</x:f>
        <x:v>0.4627433740933122</x:v>
      </x:c>
      <x:c r="I35" s="53" t="n">
        <x:f>IFERROR(E35/C35*100000,0)</x:f>
        <x:v>0.4627433740933122</x:v>
      </x:c>
      <x:c r="J35" s="41" t="str">
        <x:v>Count where opening year &lt;= decade and Include in metric = 1</x:v>
      </x:c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1" t="str">
        <x:v>Benito Juárez</x:v>
      </x:c>
      <x:c r="B36" s="41" t="n">
        <x:v>1860</x:v>
      </x:c>
      <x:c r="C36" s="52" t="n">
        <x:f>INDEX(Population!$B$5:$R$20,MATCH(A36,Population!$A$5:$A$20,0),MATCH(B36,Population!$B$4:$R$4,0))</x:f>
        <x:v>31283</x:v>
      </x:c>
      <x:c r="D36" s="50" t="n">
        <x:f>COUNTIFS('Third Space Catalog'!$C:$C,A36,'Third Space Catalog'!$B:$B,"Museum",'Third Space Catalog'!$D:$D,"&lt;="&amp;B36,'Third Space Catalog'!$I:$I,1)</x:f>
        <x:v>0</x:v>
      </x:c>
      <x:c r="E36" s="50" t="n">
        <x:f>COUNTIFS('Third Space Catalog'!$C:$C,A36,'Third Space Catalog'!$B:$B,"Library",'Third Space Catalog'!$D:$D,"&lt;="&amp;B36,'Third Space Catalog'!$I:$I,1)</x:f>
        <x:v>0</x:v>
      </x:c>
      <x:c r="F36" s="50" t="n">
        <x:f>D36+E36</x:f>
        <x:v>0</x:v>
      </x:c>
      <x:c r="G36" s="53" t="n">
        <x:f>IFERROR(F36/C36*100000,0)</x:f>
        <x:v>0</x:v>
      </x:c>
      <x:c r="H36" s="53" t="n">
        <x:f>IFERROR(D36/C36*100000,0)</x:f>
        <x:v>0</x:v>
      </x:c>
      <x:c r="I36" s="53" t="n">
        <x:f>IFERROR(E36/C36*100000,0)</x:f>
        <x:v>0</x:v>
      </x:c>
      <x:c r="J36" s="41" t="str">
        <x:v>Count where opening year &lt;= decade and Include in metric = 1</x:v>
      </x:c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1" t="str">
        <x:v>Benito Juárez</x:v>
      </x:c>
      <x:c r="B37" s="41" t="n">
        <x:v>1870</x:v>
      </x:c>
      <x:c r="C37" s="52" t="n">
        <x:f>INDEX(Population!$B$5:$R$20,MATCH(A37,Population!$A$5:$A$20,0),MATCH(B37,Population!$B$4:$R$4,0))</x:f>
        <x:v>34126</x:v>
      </x:c>
      <x:c r="D37" s="50" t="n">
        <x:f>COUNTIFS('Third Space Catalog'!$C:$C,A37,'Third Space Catalog'!$B:$B,"Museum",'Third Space Catalog'!$D:$D,"&lt;="&amp;B37,'Third Space Catalog'!$I:$I,1)</x:f>
        <x:v>0</x:v>
      </x:c>
      <x:c r="E37" s="50" t="n">
        <x:f>COUNTIFS('Third Space Catalog'!$C:$C,A37,'Third Space Catalog'!$B:$B,"Library",'Third Space Catalog'!$D:$D,"&lt;="&amp;B37,'Third Space Catalog'!$I:$I,1)</x:f>
        <x:v>0</x:v>
      </x:c>
      <x:c r="F37" s="50" t="n">
        <x:f>D37+E37</x:f>
        <x:v>0</x:v>
      </x:c>
      <x:c r="G37" s="53" t="n">
        <x:f>IFERROR(F37/C37*100000,0)</x:f>
        <x:v>0</x:v>
      </x:c>
      <x:c r="H37" s="53" t="n">
        <x:f>IFERROR(D37/C37*100000,0)</x:f>
        <x:v>0</x:v>
      </x:c>
      <x:c r="I37" s="53" t="n">
        <x:f>IFERROR(E37/C37*100000,0)</x:f>
        <x:v>0</x:v>
      </x:c>
      <x:c r="J37" s="41" t="str">
        <x:v>Count where opening year &lt;= decade and Include in metric = 1</x:v>
      </x:c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1" t="str">
        <x:v>Benito Juárez</x:v>
      </x:c>
      <x:c r="B38" s="41" t="n">
        <x:v>1880</x:v>
      </x:c>
      <x:c r="C38" s="52" t="n">
        <x:f>INDEX(Population!$B$5:$R$20,MATCH(A38,Population!$A$5:$A$20,0),MATCH(B38,Population!$B$4:$R$4,0))</x:f>
        <x:v>41236</x:v>
      </x:c>
      <x:c r="D38" s="50" t="n">
        <x:f>COUNTIFS('Third Space Catalog'!$C:$C,A38,'Third Space Catalog'!$B:$B,"Museum",'Third Space Catalog'!$D:$D,"&lt;="&amp;B38,'Third Space Catalog'!$I:$I,1)</x:f>
        <x:v>0</x:v>
      </x:c>
      <x:c r="E38" s="50" t="n">
        <x:f>COUNTIFS('Third Space Catalog'!$C:$C,A38,'Third Space Catalog'!$B:$B,"Library",'Third Space Catalog'!$D:$D,"&lt;="&amp;B38,'Third Space Catalog'!$I:$I,1)</x:f>
        <x:v>0</x:v>
      </x:c>
      <x:c r="F38" s="50" t="n">
        <x:f>D38+E38</x:f>
        <x:v>0</x:v>
      </x:c>
      <x:c r="G38" s="53" t="n">
        <x:f>IFERROR(F38/C38*100000,0)</x:f>
        <x:v>0</x:v>
      </x:c>
      <x:c r="H38" s="53" t="n">
        <x:f>IFERROR(D38/C38*100000,0)</x:f>
        <x:v>0</x:v>
      </x:c>
      <x:c r="I38" s="53" t="n">
        <x:f>IFERROR(E38/C38*100000,0)</x:f>
        <x:v>0</x:v>
      </x:c>
      <x:c r="J38" s="41" t="str">
        <x:v>Count where opening year &lt;= decade and Include in metric = 1</x:v>
      </x:c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1" t="str">
        <x:v>Benito Juárez</x:v>
      </x:c>
      <x:c r="B39" s="41" t="n">
        <x:v>1890</x:v>
      </x:c>
      <x:c r="C39" s="52" t="n">
        <x:f>INDEX(Population!$B$5:$R$20,MATCH(A39,Population!$A$5:$A$20,0),MATCH(B39,Population!$B$4:$R$4,0))</x:f>
        <x:v>56877</x:v>
      </x:c>
      <x:c r="D39" s="50" t="n">
        <x:f>COUNTIFS('Third Space Catalog'!$C:$C,A39,'Third Space Catalog'!$B:$B,"Museum",'Third Space Catalog'!$D:$D,"&lt;="&amp;B39,'Third Space Catalog'!$I:$I,1)</x:f>
        <x:v>0</x:v>
      </x:c>
      <x:c r="E39" s="50" t="n">
        <x:f>COUNTIFS('Third Space Catalog'!$C:$C,A39,'Third Space Catalog'!$B:$B,"Library",'Third Space Catalog'!$D:$D,"&lt;="&amp;B39,'Third Space Catalog'!$I:$I,1)</x:f>
        <x:v>0</x:v>
      </x:c>
      <x:c r="F39" s="50" t="n">
        <x:f>D39+E39</x:f>
        <x:v>0</x:v>
      </x:c>
      <x:c r="G39" s="53" t="n">
        <x:f>IFERROR(F39/C39*100000,0)</x:f>
        <x:v>0</x:v>
      </x:c>
      <x:c r="H39" s="53" t="n">
        <x:f>IFERROR(D39/C39*100000,0)</x:f>
        <x:v>0</x:v>
      </x:c>
      <x:c r="I39" s="53" t="n">
        <x:f>IFERROR(E39/C39*100000,0)</x:f>
        <x:v>0</x:v>
      </x:c>
      <x:c r="J39" s="41" t="str">
        <x:v>Count where opening year &lt;= decade and Include in metric = 1</x:v>
      </x:c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1" t="str">
        <x:v>Benito Juárez</x:v>
      </x:c>
      <x:c r="B40" s="41" t="n">
        <x:v>1900</x:v>
      </x:c>
      <x:c r="C40" s="52" t="n">
        <x:f>INDEX(Population!$B$5:$R$20,MATCH(A40,Population!$A$5:$A$20,0),MATCH(B40,Population!$B$4:$R$4,0))</x:f>
        <x:v>76967</x:v>
      </x:c>
      <x:c r="D40" s="50" t="n">
        <x:f>COUNTIFS('Third Space Catalog'!$C:$C,A40,'Third Space Catalog'!$B:$B,"Museum",'Third Space Catalog'!$D:$D,"&lt;="&amp;B40,'Third Space Catalog'!$I:$I,1)</x:f>
        <x:v>0</x:v>
      </x:c>
      <x:c r="E40" s="50" t="n">
        <x:f>COUNTIFS('Third Space Catalog'!$C:$C,A40,'Third Space Catalog'!$B:$B,"Library",'Third Space Catalog'!$D:$D,"&lt;="&amp;B40,'Third Space Catalog'!$I:$I,1)</x:f>
        <x:v>0</x:v>
      </x:c>
      <x:c r="F40" s="50" t="n">
        <x:f>D40+E40</x:f>
        <x:v>0</x:v>
      </x:c>
      <x:c r="G40" s="53" t="n">
        <x:f>IFERROR(F40/C40*100000,0)</x:f>
        <x:v>0</x:v>
      </x:c>
      <x:c r="H40" s="53" t="n">
        <x:f>IFERROR(D40/C40*100000,0)</x:f>
        <x:v>0</x:v>
      </x:c>
      <x:c r="I40" s="53" t="n">
        <x:f>IFERROR(E40/C40*100000,0)</x:f>
        <x:v>0</x:v>
      </x:c>
      <x:c r="J40" s="41" t="str">
        <x:v>Count where opening year &lt;= decade and Include in metric = 1</x:v>
      </x:c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1" t="str">
        <x:v>Benito Juárez</x:v>
      </x:c>
      <x:c r="B41" s="41" t="n">
        <x:v>1910</x:v>
      </x:c>
      <x:c r="C41" s="52" t="n">
        <x:f>INDEX(Population!$B$5:$R$20,MATCH(A41,Population!$A$5:$A$20,0),MATCH(B41,Population!$B$4:$R$4,0))</x:f>
        <x:v>107351</x:v>
      </x:c>
      <x:c r="D41" s="50" t="n">
        <x:f>COUNTIFS('Third Space Catalog'!$C:$C,A41,'Third Space Catalog'!$B:$B,"Museum",'Third Space Catalog'!$D:$D,"&lt;="&amp;B41,'Third Space Catalog'!$I:$I,1)</x:f>
        <x:v>0</x:v>
      </x:c>
      <x:c r="E41" s="50" t="n">
        <x:f>COUNTIFS('Third Space Catalog'!$C:$C,A41,'Third Space Catalog'!$B:$B,"Library",'Third Space Catalog'!$D:$D,"&lt;="&amp;B41,'Third Space Catalog'!$I:$I,1)</x:f>
        <x:v>0</x:v>
      </x:c>
      <x:c r="F41" s="50" t="n">
        <x:f>D41+E41</x:f>
        <x:v>0</x:v>
      </x:c>
      <x:c r="G41" s="53" t="n">
        <x:f>IFERROR(F41/C41*100000,0)</x:f>
        <x:v>0</x:v>
      </x:c>
      <x:c r="H41" s="53" t="n">
        <x:f>IFERROR(D41/C41*100000,0)</x:f>
        <x:v>0</x:v>
      </x:c>
      <x:c r="I41" s="53" t="n">
        <x:f>IFERROR(E41/C41*100000,0)</x:f>
        <x:v>0</x:v>
      </x:c>
      <x:c r="J41" s="41" t="str">
        <x:v>Count where opening year &lt;= decade and Include in metric = 1</x:v>
      </x:c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1" t="str">
        <x:v>Benito Juárez</x:v>
      </x:c>
      <x:c r="B42" s="41" t="n">
        <x:v>1920</x:v>
      </x:c>
      <x:c r="C42" s="52" t="n">
        <x:f>INDEX(Population!$B$5:$R$20,MATCH(A42,Population!$A$5:$A$20,0),MATCH(B42,Population!$B$4:$R$4,0))</x:f>
        <x:v>137115</x:v>
      </x:c>
      <x:c r="D42" s="50" t="n">
        <x:f>COUNTIFS('Third Space Catalog'!$C:$C,A42,'Third Space Catalog'!$B:$B,"Museum",'Third Space Catalog'!$D:$D,"&lt;="&amp;B42,'Third Space Catalog'!$I:$I,1)</x:f>
        <x:v>0</x:v>
      </x:c>
      <x:c r="E42" s="50" t="n">
        <x:f>COUNTIFS('Third Space Catalog'!$C:$C,A42,'Third Space Catalog'!$B:$B,"Library",'Third Space Catalog'!$D:$D,"&lt;="&amp;B42,'Third Space Catalog'!$I:$I,1)</x:f>
        <x:v>0</x:v>
      </x:c>
      <x:c r="F42" s="50" t="n">
        <x:f>D42+E42</x:f>
        <x:v>0</x:v>
      </x:c>
      <x:c r="G42" s="53" t="n">
        <x:f>IFERROR(F42/C42*100000,0)</x:f>
        <x:v>0</x:v>
      </x:c>
      <x:c r="H42" s="53" t="n">
        <x:f>IFERROR(D42/C42*100000,0)</x:f>
        <x:v>0</x:v>
      </x:c>
      <x:c r="I42" s="53" t="n">
        <x:f>IFERROR(E42/C42*100000,0)</x:f>
        <x:v>0</x:v>
      </x:c>
      <x:c r="J42" s="41" t="str">
        <x:v>Count where opening year &lt;= decade and Include in metric = 1</x:v>
      </x:c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1" t="str">
        <x:v>Benito Juárez</x:v>
      </x:c>
      <x:c r="B43" s="41" t="n">
        <x:v>1930</x:v>
      </x:c>
      <x:c r="C43" s="52" t="n">
        <x:f>INDEX(Population!$B$5:$R$20,MATCH(A43,Population!$A$5:$A$20,0),MATCH(B43,Population!$B$4:$R$4,0))</x:f>
        <x:v>187569</x:v>
      </x:c>
      <x:c r="D43" s="50" t="n">
        <x:f>COUNTIFS('Third Space Catalog'!$C:$C,A43,'Third Space Catalog'!$B:$B,"Museum",'Third Space Catalog'!$D:$D,"&lt;="&amp;B43,'Third Space Catalog'!$I:$I,1)</x:f>
        <x:v>0</x:v>
      </x:c>
      <x:c r="E43" s="50" t="n">
        <x:f>COUNTIFS('Third Space Catalog'!$C:$C,A43,'Third Space Catalog'!$B:$B,"Library",'Third Space Catalog'!$D:$D,"&lt;="&amp;B43,'Third Space Catalog'!$I:$I,1)</x:f>
        <x:v>0</x:v>
      </x:c>
      <x:c r="F43" s="50" t="n">
        <x:f>D43+E43</x:f>
        <x:v>0</x:v>
      </x:c>
      <x:c r="G43" s="53" t="n">
        <x:f>IFERROR(F43/C43*100000,0)</x:f>
        <x:v>0</x:v>
      </x:c>
      <x:c r="H43" s="53" t="n">
        <x:f>IFERROR(D43/C43*100000,0)</x:f>
        <x:v>0</x:v>
      </x:c>
      <x:c r="I43" s="53" t="n">
        <x:f>IFERROR(E43/C43*100000,0)</x:f>
        <x:v>0</x:v>
      </x:c>
      <x:c r="J43" s="41" t="str">
        <x:v>Count where opening year &lt;= decade and Include in metric = 1</x:v>
      </x:c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1" t="str">
        <x:v>Benito Juárez</x:v>
      </x:c>
      <x:c r="B44" s="41" t="n">
        <x:v>1940</x:v>
      </x:c>
      <x:c r="C44" s="52" t="n">
        <x:f>INDEX(Population!$B$5:$R$20,MATCH(A44,Population!$A$5:$A$20,0),MATCH(B44,Population!$B$4:$R$4,0))</x:f>
        <x:v>269404</x:v>
      </x:c>
      <x:c r="D44" s="50" t="n">
        <x:f>COUNTIFS('Third Space Catalog'!$C:$C,A44,'Third Space Catalog'!$B:$B,"Museum",'Third Space Catalog'!$D:$D,"&lt;="&amp;B44,'Third Space Catalog'!$I:$I,1)</x:f>
        <x:v>0</x:v>
      </x:c>
      <x:c r="E44" s="50" t="n">
        <x:f>COUNTIFS('Third Space Catalog'!$C:$C,A44,'Third Space Catalog'!$B:$B,"Library",'Third Space Catalog'!$D:$D,"&lt;="&amp;B44,'Third Space Catalog'!$I:$I,1)</x:f>
        <x:v>0</x:v>
      </x:c>
      <x:c r="F44" s="50" t="n">
        <x:f>D44+E44</x:f>
        <x:v>0</x:v>
      </x:c>
      <x:c r="G44" s="53" t="n">
        <x:f>IFERROR(F44/C44*100000,0)</x:f>
        <x:v>0</x:v>
      </x:c>
      <x:c r="H44" s="53" t="n">
        <x:f>IFERROR(D44/C44*100000,0)</x:f>
        <x:v>0</x:v>
      </x:c>
      <x:c r="I44" s="53" t="n">
        <x:f>IFERROR(E44/C44*100000,0)</x:f>
        <x:v>0</x:v>
      </x:c>
      <x:c r="J44" s="41" t="str">
        <x:v>Count where opening year &lt;= decade and Include in metric = 1</x:v>
      </x:c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1" t="str">
        <x:v>Benito Juárez</x:v>
      </x:c>
      <x:c r="B45" s="41" t="n">
        <x:v>1950</x:v>
      </x:c>
      <x:c r="C45" s="52" t="n">
        <x:f>INDEX(Population!$B$5:$R$20,MATCH(A45,Population!$A$5:$A$20,0),MATCH(B45,Population!$B$4:$R$4,0))</x:f>
        <x:v>469100</x:v>
      </x:c>
      <x:c r="D45" s="50" t="n">
        <x:f>COUNTIFS('Third Space Catalog'!$C:$C,A45,'Third Space Catalog'!$B:$B,"Museum",'Third Space Catalog'!$D:$D,"&lt;="&amp;B45,'Third Space Catalog'!$I:$I,1)</x:f>
        <x:v>0</x:v>
      </x:c>
      <x:c r="E45" s="50" t="n">
        <x:f>COUNTIFS('Third Space Catalog'!$C:$C,A45,'Third Space Catalog'!$B:$B,"Library",'Third Space Catalog'!$D:$D,"&lt;="&amp;B45,'Third Space Catalog'!$I:$I,1)</x:f>
        <x:v>0</x:v>
      </x:c>
      <x:c r="F45" s="50" t="n">
        <x:f>D45+E45</x:f>
        <x:v>0</x:v>
      </x:c>
      <x:c r="G45" s="53" t="n">
        <x:f>IFERROR(F45/C45*100000,0)</x:f>
        <x:v>0</x:v>
      </x:c>
      <x:c r="H45" s="53" t="n">
        <x:f>IFERROR(D45/C45*100000,0)</x:f>
        <x:v>0</x:v>
      </x:c>
      <x:c r="I45" s="53" t="n">
        <x:f>IFERROR(E45/C45*100000,0)</x:f>
        <x:v>0</x:v>
      </x:c>
      <x:c r="J45" s="41" t="str">
        <x:v>Count where opening year &lt;= decade and Include in metric = 1</x:v>
      </x:c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1" t="str">
        <x:v>Benito Juárez</x:v>
      </x:c>
      <x:c r="B46" s="41" t="n">
        <x:v>1960</x:v>
      </x:c>
      <x:c r="C46" s="52" t="n">
        <x:f>INDEX(Population!$B$5:$R$20,MATCH(A46,Population!$A$5:$A$20,0),MATCH(B46,Population!$B$4:$R$4,0))</x:f>
        <x:v>594485</x:v>
      </x:c>
      <x:c r="D46" s="50" t="n">
        <x:f>COUNTIFS('Third Space Catalog'!$C:$C,A46,'Third Space Catalog'!$B:$B,"Museum",'Third Space Catalog'!$D:$D,"&lt;="&amp;B46,'Third Space Catalog'!$I:$I,1)</x:f>
        <x:v>0</x:v>
      </x:c>
      <x:c r="E46" s="50" t="n">
        <x:f>COUNTIFS('Third Space Catalog'!$C:$C,A46,'Third Space Catalog'!$B:$B,"Library",'Third Space Catalog'!$D:$D,"&lt;="&amp;B46,'Third Space Catalog'!$I:$I,1)</x:f>
        <x:v>0</x:v>
      </x:c>
      <x:c r="F46" s="50" t="n">
        <x:f>D46+E46</x:f>
        <x:v>0</x:v>
      </x:c>
      <x:c r="G46" s="53" t="n">
        <x:f>IFERROR(F46/C46*100000,0)</x:f>
        <x:v>0</x:v>
      </x:c>
      <x:c r="H46" s="53" t="n">
        <x:f>IFERROR(D46/C46*100000,0)</x:f>
        <x:v>0</x:v>
      </x:c>
      <x:c r="I46" s="53" t="n">
        <x:f>IFERROR(E46/C46*100000,0)</x:f>
        <x:v>0</x:v>
      </x:c>
      <x:c r="J46" s="41" t="str">
        <x:v>Count where opening year &lt;= decade and Include in metric = 1</x:v>
      </x:c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1" t="str">
        <x:v>Benito Juárez</x:v>
      </x:c>
      <x:c r="B47" s="41" t="n">
        <x:v>1970</x:v>
      </x:c>
      <x:c r="C47" s="52" t="n">
        <x:f>INDEX(Population!$B$5:$R$20,MATCH(A47,Population!$A$5:$A$20,0),MATCH(B47,Population!$B$4:$R$4,0))</x:f>
        <x:v>609354</x:v>
      </x:c>
      <x:c r="D47" s="50" t="n">
        <x:f>COUNTIFS('Third Space Catalog'!$C:$C,A47,'Third Space Catalog'!$B:$B,"Museum",'Third Space Catalog'!$D:$D,"&lt;="&amp;B47,'Third Space Catalog'!$I:$I,1)</x:f>
        <x:v>0</x:v>
      </x:c>
      <x:c r="E47" s="50" t="n">
        <x:f>COUNTIFS('Third Space Catalog'!$C:$C,A47,'Third Space Catalog'!$B:$B,"Library",'Third Space Catalog'!$D:$D,"&lt;="&amp;B47,'Third Space Catalog'!$I:$I,1)</x:f>
        <x:v>0</x:v>
      </x:c>
      <x:c r="F47" s="50" t="n">
        <x:f>D47+E47</x:f>
        <x:v>0</x:v>
      </x:c>
      <x:c r="G47" s="53" t="n">
        <x:f>IFERROR(F47/C47*100000,0)</x:f>
        <x:v>0</x:v>
      </x:c>
      <x:c r="H47" s="53" t="n">
        <x:f>IFERROR(D47/C47*100000,0)</x:f>
        <x:v>0</x:v>
      </x:c>
      <x:c r="I47" s="53" t="n">
        <x:f>IFERROR(E47/C47*100000,0)</x:f>
        <x:v>0</x:v>
      </x:c>
      <x:c r="J47" s="41" t="str">
        <x:v>Count where opening year &lt;= decade and Include in metric = 1</x:v>
      </x:c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1" t="str">
        <x:v>Benito Juárez</x:v>
      </x:c>
      <x:c r="B48" s="41" t="n">
        <x:v>1980</x:v>
      </x:c>
      <x:c r="C48" s="52" t="n">
        <x:f>INDEX(Population!$B$5:$R$20,MATCH(A48,Population!$A$5:$A$20,0),MATCH(B48,Population!$B$4:$R$4,0))</x:f>
        <x:v>544882</x:v>
      </x:c>
      <x:c r="D48" s="50" t="n">
        <x:f>COUNTIFS('Third Space Catalog'!$C:$C,A48,'Third Space Catalog'!$B:$B,"Museum",'Third Space Catalog'!$D:$D,"&lt;="&amp;B48,'Third Space Catalog'!$I:$I,1)</x:f>
        <x:v>1</x:v>
      </x:c>
      <x:c r="E48" s="50" t="n">
        <x:f>COUNTIFS('Third Space Catalog'!$C:$C,A48,'Third Space Catalog'!$B:$B,"Library",'Third Space Catalog'!$D:$D,"&lt;="&amp;B48,'Third Space Catalog'!$I:$I,1)</x:f>
        <x:v>0</x:v>
      </x:c>
      <x:c r="F48" s="50" t="n">
        <x:f>D48+E48</x:f>
        <x:v>1</x:v>
      </x:c>
      <x:c r="G48" s="53" t="n">
        <x:f>IFERROR(F48/C48*100000,0)</x:f>
        <x:v>0.18352597443116125</x:v>
      </x:c>
      <x:c r="H48" s="53" t="n">
        <x:f>IFERROR(D48/C48*100000,0)</x:f>
        <x:v>0.18352597443116125</x:v>
      </x:c>
      <x:c r="I48" s="53" t="n">
        <x:f>IFERROR(E48/C48*100000,0)</x:f>
        <x:v>0</x:v>
      </x:c>
      <x:c r="J48" s="41" t="str">
        <x:v>Count where opening year &lt;= decade and Include in metric = 1</x:v>
      </x:c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1" t="str">
        <x:v>Benito Juárez</x:v>
      </x:c>
      <x:c r="B49" s="41" t="n">
        <x:v>1990</x:v>
      </x:c>
      <x:c r="C49" s="52" t="n">
        <x:f>INDEX(Population!$B$5:$R$20,MATCH(A49,Population!$A$5:$A$20,0),MATCH(B49,Population!$B$4:$R$4,0))</x:f>
        <x:v>407811</x:v>
      </x:c>
      <x:c r="D49" s="50" t="n">
        <x:f>COUNTIFS('Third Space Catalog'!$C:$C,A49,'Third Space Catalog'!$B:$B,"Museum",'Third Space Catalog'!$D:$D,"&lt;="&amp;B49,'Third Space Catalog'!$I:$I,1)</x:f>
        <x:v>1</x:v>
      </x:c>
      <x:c r="E49" s="50" t="n">
        <x:f>COUNTIFS('Third Space Catalog'!$C:$C,A49,'Third Space Catalog'!$B:$B,"Library",'Third Space Catalog'!$D:$D,"&lt;="&amp;B49,'Third Space Catalog'!$I:$I,1)</x:f>
        <x:v>0</x:v>
      </x:c>
      <x:c r="F49" s="50" t="n">
        <x:f>D49+E49</x:f>
        <x:v>1</x:v>
      </x:c>
      <x:c r="G49" s="53" t="n">
        <x:f>IFERROR(F49/C49*100000,0)</x:f>
        <x:v>0.2452116298971828</x:v>
      </x:c>
      <x:c r="H49" s="53" t="n">
        <x:f>IFERROR(D49/C49*100000,0)</x:f>
        <x:v>0.2452116298971828</x:v>
      </x:c>
      <x:c r="I49" s="53" t="n">
        <x:f>IFERROR(E49/C49*100000,0)</x:f>
        <x:v>0</x:v>
      </x:c>
      <x:c r="J49" s="41" t="str">
        <x:v>Count where opening year &lt;= decade and Include in metric = 1</x:v>
      </x:c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1" t="str">
        <x:v>Benito Juárez</x:v>
      </x:c>
      <x:c r="B50" s="41" t="n">
        <x:v>2000</x:v>
      </x:c>
      <x:c r="C50" s="52" t="n">
        <x:f>INDEX(Population!$B$5:$R$20,MATCH(A50,Population!$A$5:$A$20,0),MATCH(B50,Population!$B$4:$R$4,0))</x:f>
        <x:v>360478</x:v>
      </x:c>
      <x:c r="D50" s="50" t="n">
        <x:f>COUNTIFS('Third Space Catalog'!$C:$C,A50,'Third Space Catalog'!$B:$B,"Museum",'Third Space Catalog'!$D:$D,"&lt;="&amp;B50,'Third Space Catalog'!$I:$I,1)</x:f>
        <x:v>1</x:v>
      </x:c>
      <x:c r="E50" s="50" t="n">
        <x:f>COUNTIFS('Third Space Catalog'!$C:$C,A50,'Third Space Catalog'!$B:$B,"Library",'Third Space Catalog'!$D:$D,"&lt;="&amp;B50,'Third Space Catalog'!$I:$I,1)</x:f>
        <x:v>0</x:v>
      </x:c>
      <x:c r="F50" s="50" t="n">
        <x:f>D50+E50</x:f>
        <x:v>1</x:v>
      </x:c>
      <x:c r="G50" s="53" t="n">
        <x:f>IFERROR(F50/C50*100000,0)</x:f>
        <x:v>0.2774094396884137</x:v>
      </x:c>
      <x:c r="H50" s="53" t="n">
        <x:f>IFERROR(D50/C50*100000,0)</x:f>
        <x:v>0.2774094396884137</x:v>
      </x:c>
      <x:c r="I50" s="53" t="n">
        <x:f>IFERROR(E50/C50*100000,0)</x:f>
        <x:v>0</x:v>
      </x:c>
      <x:c r="J50" s="41" t="str">
        <x:v>Count where opening year &lt;= decade and Include in metric = 1</x:v>
      </x:c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1" t="str">
        <x:v>Benito Juárez</x:v>
      </x:c>
      <x:c r="B51" s="41" t="n">
        <x:v>2010</x:v>
      </x:c>
      <x:c r="C51" s="52" t="n">
        <x:f>INDEX(Population!$B$5:$R$20,MATCH(A51,Population!$A$5:$A$20,0),MATCH(B51,Population!$B$4:$R$4,0))</x:f>
        <x:v>385439</x:v>
      </x:c>
      <x:c r="D51" s="50" t="n">
        <x:f>COUNTIFS('Third Space Catalog'!$C:$C,A51,'Third Space Catalog'!$B:$B,"Museum",'Third Space Catalog'!$D:$D,"&lt;="&amp;B51,'Third Space Catalog'!$I:$I,1)</x:f>
        <x:v>1</x:v>
      </x:c>
      <x:c r="E51" s="50" t="n">
        <x:f>COUNTIFS('Third Space Catalog'!$C:$C,A51,'Third Space Catalog'!$B:$B,"Library",'Third Space Catalog'!$D:$D,"&lt;="&amp;B51,'Third Space Catalog'!$I:$I,1)</x:f>
        <x:v>0</x:v>
      </x:c>
      <x:c r="F51" s="50" t="n">
        <x:f>D51+E51</x:f>
        <x:v>1</x:v>
      </x:c>
      <x:c r="G51" s="53" t="n">
        <x:f>IFERROR(F51/C51*100000,0)</x:f>
        <x:v>0.2594444257067915</x:v>
      </x:c>
      <x:c r="H51" s="53" t="n">
        <x:f>IFERROR(D51/C51*100000,0)</x:f>
        <x:v>0.2594444257067915</x:v>
      </x:c>
      <x:c r="I51" s="53" t="n">
        <x:f>IFERROR(E51/C51*100000,0)</x:f>
        <x:v>0</x:v>
      </x:c>
      <x:c r="J51" s="41" t="str">
        <x:v>Count where opening year &lt;= decade and Include in metric = 1</x:v>
      </x:c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1" t="str">
        <x:v>Benito Juárez</x:v>
      </x:c>
      <x:c r="B52" s="41" t="n">
        <x:v>2020</x:v>
      </x:c>
      <x:c r="C52" s="52" t="n">
        <x:f>INDEX(Population!$B$5:$R$20,MATCH(A52,Population!$A$5:$A$20,0),MATCH(B52,Population!$B$4:$R$4,0))</x:f>
        <x:v>434153</x:v>
      </x:c>
      <x:c r="D52" s="50" t="n">
        <x:f>COUNTIFS('Third Space Catalog'!$C:$C,A52,'Third Space Catalog'!$B:$B,"Museum",'Third Space Catalog'!$D:$D,"&lt;="&amp;B52,'Third Space Catalog'!$I:$I,1)</x:f>
        <x:v>2</x:v>
      </x:c>
      <x:c r="E52" s="50" t="n">
        <x:f>COUNTIFS('Third Space Catalog'!$C:$C,A52,'Third Space Catalog'!$B:$B,"Library",'Third Space Catalog'!$D:$D,"&lt;="&amp;B52,'Third Space Catalog'!$I:$I,1)</x:f>
        <x:v>1</x:v>
      </x:c>
      <x:c r="F52" s="50" t="n">
        <x:f>D52+E52</x:f>
        <x:v>3</x:v>
      </x:c>
      <x:c r="G52" s="53" t="n">
        <x:f>IFERROR(F52/C52*100000,0)</x:f>
        <x:v>0.6910006380239224</x:v>
      </x:c>
      <x:c r="H52" s="53" t="n">
        <x:f>IFERROR(D52/C52*100000,0)</x:f>
        <x:v>0.46066709201594824</x:v>
      </x:c>
      <x:c r="I52" s="53" t="n">
        <x:f>IFERROR(E52/C52*100000,0)</x:f>
        <x:v>0.23033354600797412</x:v>
      </x:c>
      <x:c r="J52" s="41" t="str">
        <x:v>Count where opening year &lt;= decade and Include in metric = 1</x:v>
      </x:c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1" t="str">
        <x:v>Coyoacán</x:v>
      </x:c>
      <x:c r="B53" s="41" t="n">
        <x:v>1860</x:v>
      </x:c>
      <x:c r="C53" s="52" t="n">
        <x:f>INDEX(Population!$B$5:$R$20,MATCH(A53,Population!$A$5:$A$20,0),MATCH(B53,Population!$B$4:$R$4,0))</x:f>
        <x:v>4022</x:v>
      </x:c>
      <x:c r="D53" s="50" t="n">
        <x:f>COUNTIFS('Third Space Catalog'!$C:$C,A53,'Third Space Catalog'!$B:$B,"Museum",'Third Space Catalog'!$D:$D,"&lt;="&amp;B53,'Third Space Catalog'!$I:$I,1)</x:f>
        <x:v>0</x:v>
      </x:c>
      <x:c r="E53" s="50" t="n">
        <x:f>COUNTIFS('Third Space Catalog'!$C:$C,A53,'Third Space Catalog'!$B:$B,"Library",'Third Space Catalog'!$D:$D,"&lt;="&amp;B53,'Third Space Catalog'!$I:$I,1)</x:f>
        <x:v>0</x:v>
      </x:c>
      <x:c r="F53" s="50" t="n">
        <x:f>D53+E53</x:f>
        <x:v>0</x:v>
      </x:c>
      <x:c r="G53" s="53" t="n">
        <x:f>IFERROR(F53/C53*100000,0)</x:f>
        <x:v>0</x:v>
      </x:c>
      <x:c r="H53" s="53" t="n">
        <x:f>IFERROR(D53/C53*100000,0)</x:f>
        <x:v>0</x:v>
      </x:c>
      <x:c r="I53" s="53" t="n">
        <x:f>IFERROR(E53/C53*100000,0)</x:f>
        <x:v>0</x:v>
      </x:c>
      <x:c r="J53" s="41" t="str">
        <x:v>Count where opening year &lt;= decade and Include in metric = 1</x:v>
      </x:c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1" t="str">
        <x:v>Coyoacán</x:v>
      </x:c>
      <x:c r="B54" s="41" t="n">
        <x:v>1870</x:v>
      </x:c>
      <x:c r="C54" s="52" t="n">
        <x:f>INDEX(Population!$B$5:$R$20,MATCH(A54,Population!$A$5:$A$20,0),MATCH(B54,Population!$B$4:$R$4,0))</x:f>
        <x:v>4388</x:v>
      </x:c>
      <x:c r="D54" s="50" t="n">
        <x:f>COUNTIFS('Third Space Catalog'!$C:$C,A54,'Third Space Catalog'!$B:$B,"Museum",'Third Space Catalog'!$D:$D,"&lt;="&amp;B54,'Third Space Catalog'!$I:$I,1)</x:f>
        <x:v>0</x:v>
      </x:c>
      <x:c r="E54" s="50" t="n">
        <x:f>COUNTIFS('Third Space Catalog'!$C:$C,A54,'Third Space Catalog'!$B:$B,"Library",'Third Space Catalog'!$D:$D,"&lt;="&amp;B54,'Third Space Catalog'!$I:$I,1)</x:f>
        <x:v>0</x:v>
      </x:c>
      <x:c r="F54" s="50" t="n">
        <x:f>D54+E54</x:f>
        <x:v>0</x:v>
      </x:c>
      <x:c r="G54" s="53" t="n">
        <x:f>IFERROR(F54/C54*100000,0)</x:f>
        <x:v>0</x:v>
      </x:c>
      <x:c r="H54" s="53" t="n">
        <x:f>IFERROR(D54/C54*100000,0)</x:f>
        <x:v>0</x:v>
      </x:c>
      <x:c r="I54" s="53" t="n">
        <x:f>IFERROR(E54/C54*100000,0)</x:f>
        <x:v>0</x:v>
      </x:c>
      <x:c r="J54" s="41" t="str">
        <x:v>Count where opening year &lt;= decade and Include in metric = 1</x:v>
      </x:c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1" t="str">
        <x:v>Coyoacán</x:v>
      </x:c>
      <x:c r="B55" s="41" t="n">
        <x:v>1880</x:v>
      </x:c>
      <x:c r="C55" s="52" t="n">
        <x:f>INDEX(Population!$B$5:$R$20,MATCH(A55,Population!$A$5:$A$20,0),MATCH(B55,Population!$B$4:$R$4,0))</x:f>
        <x:v>5302</x:v>
      </x:c>
      <x:c r="D55" s="50" t="n">
        <x:f>COUNTIFS('Third Space Catalog'!$C:$C,A55,'Third Space Catalog'!$B:$B,"Museum",'Third Space Catalog'!$D:$D,"&lt;="&amp;B55,'Third Space Catalog'!$I:$I,1)</x:f>
        <x:v>0</x:v>
      </x:c>
      <x:c r="E55" s="50" t="n">
        <x:f>COUNTIFS('Third Space Catalog'!$C:$C,A55,'Third Space Catalog'!$B:$B,"Library",'Third Space Catalog'!$D:$D,"&lt;="&amp;B55,'Third Space Catalog'!$I:$I,1)</x:f>
        <x:v>0</x:v>
      </x:c>
      <x:c r="F55" s="50" t="n">
        <x:f>D55+E55</x:f>
        <x:v>0</x:v>
      </x:c>
      <x:c r="G55" s="53" t="n">
        <x:f>IFERROR(F55/C55*100000,0)</x:f>
        <x:v>0</x:v>
      </x:c>
      <x:c r="H55" s="53" t="n">
        <x:f>IFERROR(D55/C55*100000,0)</x:f>
        <x:v>0</x:v>
      </x:c>
      <x:c r="I55" s="53" t="n">
        <x:f>IFERROR(E55/C55*100000,0)</x:f>
        <x:v>0</x:v>
      </x:c>
      <x:c r="J55" s="41" t="str">
        <x:v>Count where opening year &lt;= decade and Include in metric = 1</x:v>
      </x:c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1" t="str">
        <x:v>Coyoacán</x:v>
      </x:c>
      <x:c r="B56" s="41" t="n">
        <x:v>1890</x:v>
      </x:c>
      <x:c r="C56" s="52" t="n">
        <x:f>INDEX(Population!$B$5:$R$20,MATCH(A56,Population!$A$5:$A$20,0),MATCH(B56,Population!$B$4:$R$4,0))</x:f>
        <x:v>7313</x:v>
      </x:c>
      <x:c r="D56" s="50" t="n">
        <x:f>COUNTIFS('Third Space Catalog'!$C:$C,A56,'Third Space Catalog'!$B:$B,"Museum",'Third Space Catalog'!$D:$D,"&lt;="&amp;B56,'Third Space Catalog'!$I:$I,1)</x:f>
        <x:v>0</x:v>
      </x:c>
      <x:c r="E56" s="50" t="n">
        <x:f>COUNTIFS('Third Space Catalog'!$C:$C,A56,'Third Space Catalog'!$B:$B,"Library",'Third Space Catalog'!$D:$D,"&lt;="&amp;B56,'Third Space Catalog'!$I:$I,1)</x:f>
        <x:v>0</x:v>
      </x:c>
      <x:c r="F56" s="50" t="n">
        <x:f>D56+E56</x:f>
        <x:v>0</x:v>
      </x:c>
      <x:c r="G56" s="53" t="n">
        <x:f>IFERROR(F56/C56*100000,0)</x:f>
        <x:v>0</x:v>
      </x:c>
      <x:c r="H56" s="53" t="n">
        <x:f>IFERROR(D56/C56*100000,0)</x:f>
        <x:v>0</x:v>
      </x:c>
      <x:c r="I56" s="53" t="n">
        <x:f>IFERROR(E56/C56*100000,0)</x:f>
        <x:v>0</x:v>
      </x:c>
      <x:c r="J56" s="41" t="str">
        <x:v>Count where opening year &lt;= decade and Include in metric = 1</x:v>
      </x:c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1" t="str">
        <x:v>Coyoacán</x:v>
      </x:c>
      <x:c r="B57" s="41" t="n">
        <x:v>1900</x:v>
      </x:c>
      <x:c r="C57" s="52" t="n">
        <x:f>INDEX(Population!$B$5:$R$20,MATCH(A57,Population!$A$5:$A$20,0),MATCH(B57,Population!$B$4:$R$4,0))</x:f>
        <x:v>9896</x:v>
      </x:c>
      <x:c r="D57" s="50" t="n">
        <x:f>COUNTIFS('Third Space Catalog'!$C:$C,A57,'Third Space Catalog'!$B:$B,"Museum",'Third Space Catalog'!$D:$D,"&lt;="&amp;B57,'Third Space Catalog'!$I:$I,1)</x:f>
        <x:v>0</x:v>
      </x:c>
      <x:c r="E57" s="50" t="n">
        <x:f>COUNTIFS('Third Space Catalog'!$C:$C,A57,'Third Space Catalog'!$B:$B,"Library",'Third Space Catalog'!$D:$D,"&lt;="&amp;B57,'Third Space Catalog'!$I:$I,1)</x:f>
        <x:v>0</x:v>
      </x:c>
      <x:c r="F57" s="50" t="n">
        <x:f>D57+E57</x:f>
        <x:v>0</x:v>
      </x:c>
      <x:c r="G57" s="53" t="n">
        <x:f>IFERROR(F57/C57*100000,0)</x:f>
        <x:v>0</x:v>
      </x:c>
      <x:c r="H57" s="53" t="n">
        <x:f>IFERROR(D57/C57*100000,0)</x:f>
        <x:v>0</x:v>
      </x:c>
      <x:c r="I57" s="53" t="n">
        <x:f>IFERROR(E57/C57*100000,0)</x:f>
        <x:v>0</x:v>
      </x:c>
      <x:c r="J57" s="41" t="str">
        <x:v>Count where opening year &lt;= decade and Include in metric = 1</x:v>
      </x:c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1" t="str">
        <x:v>Coyoacán</x:v>
      </x:c>
      <x:c r="B58" s="41" t="n">
        <x:v>1910</x:v>
      </x:c>
      <x:c r="C58" s="52" t="n">
        <x:f>INDEX(Population!$B$5:$R$20,MATCH(A58,Population!$A$5:$A$20,0),MATCH(B58,Population!$B$4:$R$4,0))</x:f>
        <x:v>15141</x:v>
      </x:c>
      <x:c r="D58" s="50" t="n">
        <x:f>COUNTIFS('Third Space Catalog'!$C:$C,A58,'Third Space Catalog'!$B:$B,"Museum",'Third Space Catalog'!$D:$D,"&lt;="&amp;B58,'Third Space Catalog'!$I:$I,1)</x:f>
        <x:v>0</x:v>
      </x:c>
      <x:c r="E58" s="50" t="n">
        <x:f>COUNTIFS('Third Space Catalog'!$C:$C,A58,'Third Space Catalog'!$B:$B,"Library",'Third Space Catalog'!$D:$D,"&lt;="&amp;B58,'Third Space Catalog'!$I:$I,1)</x:f>
        <x:v>0</x:v>
      </x:c>
      <x:c r="F58" s="50" t="n">
        <x:f>D58+E58</x:f>
        <x:v>0</x:v>
      </x:c>
      <x:c r="G58" s="53" t="n">
        <x:f>IFERROR(F58/C58*100000,0)</x:f>
        <x:v>0</x:v>
      </x:c>
      <x:c r="H58" s="53" t="n">
        <x:f>IFERROR(D58/C58*100000,0)</x:f>
        <x:v>0</x:v>
      </x:c>
      <x:c r="I58" s="53" t="n">
        <x:f>IFERROR(E58/C58*100000,0)</x:f>
        <x:v>0</x:v>
      </x:c>
      <x:c r="J58" s="41" t="str">
        <x:v>Count where opening year &lt;= decade and Include in metric = 1</x:v>
      </x:c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1" t="str">
        <x:v>Coyoacán</x:v>
      </x:c>
      <x:c r="B59" s="41" t="n">
        <x:v>1920</x:v>
      </x:c>
      <x:c r="C59" s="52" t="n">
        <x:f>INDEX(Population!$B$5:$R$20,MATCH(A59,Population!$A$5:$A$20,0),MATCH(B59,Population!$B$4:$R$4,0))</x:f>
        <x:v>19902</x:v>
      </x:c>
      <x:c r="D59" s="50" t="n">
        <x:f>COUNTIFS('Third Space Catalog'!$C:$C,A59,'Third Space Catalog'!$B:$B,"Museum",'Third Space Catalog'!$D:$D,"&lt;="&amp;B59,'Third Space Catalog'!$I:$I,1)</x:f>
        <x:v>0</x:v>
      </x:c>
      <x:c r="E59" s="50" t="n">
        <x:f>COUNTIFS('Third Space Catalog'!$C:$C,A59,'Third Space Catalog'!$B:$B,"Library",'Third Space Catalog'!$D:$D,"&lt;="&amp;B59,'Third Space Catalog'!$I:$I,1)</x:f>
        <x:v>0</x:v>
      </x:c>
      <x:c r="F59" s="50" t="n">
        <x:f>D59+E59</x:f>
        <x:v>0</x:v>
      </x:c>
      <x:c r="G59" s="53" t="n">
        <x:f>IFERROR(F59/C59*100000,0)</x:f>
        <x:v>0</x:v>
      </x:c>
      <x:c r="H59" s="53" t="n">
        <x:f>IFERROR(D59/C59*100000,0)</x:f>
        <x:v>0</x:v>
      </x:c>
      <x:c r="I59" s="53" t="n">
        <x:f>IFERROR(E59/C59*100000,0)</x:f>
        <x:v>0</x:v>
      </x:c>
      <x:c r="J59" s="41" t="str">
        <x:v>Count where opening year &lt;= decade and Include in metric = 1</x:v>
      </x:c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1" t="str">
        <x:v>Coyoacán</x:v>
      </x:c>
      <x:c r="B60" s="41" t="n">
        <x:v>1930</x:v>
      </x:c>
      <x:c r="C60" s="52" t="n">
        <x:f>INDEX(Population!$B$5:$R$20,MATCH(A60,Population!$A$5:$A$20,0),MATCH(B60,Population!$B$4:$R$4,0))</x:f>
        <x:v>27609</x:v>
      </x:c>
      <x:c r="D60" s="50" t="n">
        <x:f>COUNTIFS('Third Space Catalog'!$C:$C,A60,'Third Space Catalog'!$B:$B,"Museum",'Third Space Catalog'!$D:$D,"&lt;="&amp;B60,'Third Space Catalog'!$I:$I,1)</x:f>
        <x:v>0</x:v>
      </x:c>
      <x:c r="E60" s="50" t="n">
        <x:f>COUNTIFS('Third Space Catalog'!$C:$C,A60,'Third Space Catalog'!$B:$B,"Library",'Third Space Catalog'!$D:$D,"&lt;="&amp;B60,'Third Space Catalog'!$I:$I,1)</x:f>
        <x:v>0</x:v>
      </x:c>
      <x:c r="F60" s="50" t="n">
        <x:f>D60+E60</x:f>
        <x:v>0</x:v>
      </x:c>
      <x:c r="G60" s="53" t="n">
        <x:f>IFERROR(F60/C60*100000,0)</x:f>
        <x:v>0</x:v>
      </x:c>
      <x:c r="H60" s="53" t="n">
        <x:f>IFERROR(D60/C60*100000,0)</x:f>
        <x:v>0</x:v>
      </x:c>
      <x:c r="I60" s="53" t="n">
        <x:f>IFERROR(E60/C60*100000,0)</x:f>
        <x:v>0</x:v>
      </x:c>
      <x:c r="J60" s="41" t="str">
        <x:v>Count where opening year &lt;= decade and Include in metric = 1</x:v>
      </x:c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1" t="str">
        <x:v>Coyoacán</x:v>
      </x:c>
      <x:c r="B61" s="41" t="n">
        <x:v>1940</x:v>
      </x:c>
      <x:c r="C61" s="52" t="n">
        <x:f>INDEX(Population!$B$5:$R$20,MATCH(A61,Population!$A$5:$A$20,0),MATCH(B61,Population!$B$4:$R$4,0))</x:f>
        <x:v>39984</x:v>
      </x:c>
      <x:c r="D61" s="50" t="n">
        <x:f>COUNTIFS('Third Space Catalog'!$C:$C,A61,'Third Space Catalog'!$B:$B,"Museum",'Third Space Catalog'!$D:$D,"&lt;="&amp;B61,'Third Space Catalog'!$I:$I,1)</x:f>
        <x:v>0</x:v>
      </x:c>
      <x:c r="E61" s="50" t="n">
        <x:f>COUNTIFS('Third Space Catalog'!$C:$C,A61,'Third Space Catalog'!$B:$B,"Library",'Third Space Catalog'!$D:$D,"&lt;="&amp;B61,'Third Space Catalog'!$I:$I,1)</x:f>
        <x:v>0</x:v>
      </x:c>
      <x:c r="F61" s="50" t="n">
        <x:f>D61+E61</x:f>
        <x:v>0</x:v>
      </x:c>
      <x:c r="G61" s="53" t="n">
        <x:f>IFERROR(F61/C61*100000,0)</x:f>
        <x:v>0</x:v>
      </x:c>
      <x:c r="H61" s="53" t="n">
        <x:f>IFERROR(D61/C61*100000,0)</x:f>
        <x:v>0</x:v>
      </x:c>
      <x:c r="I61" s="53" t="n">
        <x:f>IFERROR(E61/C61*100000,0)</x:f>
        <x:v>0</x:v>
      </x:c>
      <x:c r="J61" s="41" t="str">
        <x:v>Count where opening year &lt;= decade and Include in metric = 1</x:v>
      </x:c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1" t="str">
        <x:v>Coyoacán</x:v>
      </x:c>
      <x:c r="B62" s="41" t="n">
        <x:v>1950</x:v>
      </x:c>
      <x:c r="C62" s="52" t="n">
        <x:f>INDEX(Population!$B$5:$R$20,MATCH(A62,Population!$A$5:$A$20,0),MATCH(B62,Population!$B$4:$R$4,0))</x:f>
        <x:v>70005</x:v>
      </x:c>
      <x:c r="D62" s="50" t="n">
        <x:f>COUNTIFS('Third Space Catalog'!$C:$C,A62,'Third Space Catalog'!$B:$B,"Museum",'Third Space Catalog'!$D:$D,"&lt;="&amp;B62,'Third Space Catalog'!$I:$I,1)</x:f>
        <x:v>0</x:v>
      </x:c>
      <x:c r="E62" s="50" t="n">
        <x:f>COUNTIFS('Third Space Catalog'!$C:$C,A62,'Third Space Catalog'!$B:$B,"Library",'Third Space Catalog'!$D:$D,"&lt;="&amp;B62,'Third Space Catalog'!$I:$I,1)</x:f>
        <x:v>0</x:v>
      </x:c>
      <x:c r="F62" s="50" t="n">
        <x:f>D62+E62</x:f>
        <x:v>0</x:v>
      </x:c>
      <x:c r="G62" s="53" t="n">
        <x:f>IFERROR(F62/C62*100000,0)</x:f>
        <x:v>0</x:v>
      </x:c>
      <x:c r="H62" s="53" t="n">
        <x:f>IFERROR(D62/C62*100000,0)</x:f>
        <x:v>0</x:v>
      </x:c>
      <x:c r="I62" s="53" t="n">
        <x:f>IFERROR(E62/C62*100000,0)</x:f>
        <x:v>0</x:v>
      </x:c>
      <x:c r="J62" s="41" t="str">
        <x:v>Count where opening year &lt;= decade and Include in metric = 1</x:v>
      </x:c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1" t="str">
        <x:v>Coyoacán</x:v>
      </x:c>
      <x:c r="B63" s="41" t="n">
        <x:v>1960</x:v>
      </x:c>
      <x:c r="C63" s="52" t="n">
        <x:f>INDEX(Population!$B$5:$R$20,MATCH(A63,Population!$A$5:$A$20,0),MATCH(B63,Population!$B$4:$R$4,0))</x:f>
        <x:v>169811</x:v>
      </x:c>
      <x:c r="D63" s="50" t="n">
        <x:f>COUNTIFS('Third Space Catalog'!$C:$C,A63,'Third Space Catalog'!$B:$B,"Museum",'Third Space Catalog'!$D:$D,"&lt;="&amp;B63,'Third Space Catalog'!$I:$I,1)</x:f>
        <x:v>1</x:v>
      </x:c>
      <x:c r="E63" s="50" t="n">
        <x:f>COUNTIFS('Third Space Catalog'!$C:$C,A63,'Third Space Catalog'!$B:$B,"Library",'Third Space Catalog'!$D:$D,"&lt;="&amp;B63,'Third Space Catalog'!$I:$I,1)</x:f>
        <x:v>1</x:v>
      </x:c>
      <x:c r="F63" s="50" t="n">
        <x:f>D63+E63</x:f>
        <x:v>2</x:v>
      </x:c>
      <x:c r="G63" s="53" t="n">
        <x:f>IFERROR(F63/C63*100000,0)</x:f>
        <x:v>1.177780002473338</x:v>
      </x:c>
      <x:c r="H63" s="53" t="n">
        <x:f>IFERROR(D63/C63*100000,0)</x:f>
        <x:v>0.588890001236669</x:v>
      </x:c>
      <x:c r="I63" s="53" t="n">
        <x:f>IFERROR(E63/C63*100000,0)</x:f>
        <x:v>0.588890001236669</x:v>
      </x:c>
      <x:c r="J63" s="41" t="str">
        <x:v>Count where opening year &lt;= decade and Include in metric = 1</x:v>
      </x:c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1" t="str">
        <x:v>Coyoacán</x:v>
      </x:c>
      <x:c r="B64" s="41" t="n">
        <x:v>1970</x:v>
      </x:c>
      <x:c r="C64" s="52" t="n">
        <x:f>INDEX(Population!$B$5:$R$20,MATCH(A64,Population!$A$5:$A$20,0),MATCH(B64,Population!$B$4:$R$4,0))</x:f>
        <x:v>339446</x:v>
      </x:c>
      <x:c r="D64" s="50" t="n">
        <x:f>COUNTIFS('Third Space Catalog'!$C:$C,A64,'Third Space Catalog'!$B:$B,"Museum",'Third Space Catalog'!$D:$D,"&lt;="&amp;B64,'Third Space Catalog'!$I:$I,1)</x:f>
        <x:v>2</x:v>
      </x:c>
      <x:c r="E64" s="50" t="n">
        <x:f>COUNTIFS('Third Space Catalog'!$C:$C,A64,'Third Space Catalog'!$B:$B,"Library",'Third Space Catalog'!$D:$D,"&lt;="&amp;B64,'Third Space Catalog'!$I:$I,1)</x:f>
        <x:v>1</x:v>
      </x:c>
      <x:c r="F64" s="50" t="n">
        <x:f>D64+E64</x:f>
        <x:v>3</x:v>
      </x:c>
      <x:c r="G64" s="53" t="n">
        <x:f>IFERROR(F64/C64*100000,0)</x:f>
        <x:v>0.8837930038945812</x:v>
      </x:c>
      <x:c r="H64" s="53" t="n">
        <x:f>IFERROR(D64/C64*100000,0)</x:f>
        <x:v>0.5891953359297208</x:v>
      </x:c>
      <x:c r="I64" s="53" t="n">
        <x:f>IFERROR(E64/C64*100000,0)</x:f>
        <x:v>0.2945976679648604</x:v>
      </x:c>
      <x:c r="J64" s="41" t="str">
        <x:v>Count where opening year &lt;= decade and Include in metric = 1</x:v>
      </x:c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1" t="str">
        <x:v>Coyoacán</x:v>
      </x:c>
      <x:c r="B65" s="41" t="n">
        <x:v>1980</x:v>
      </x:c>
      <x:c r="C65" s="52" t="n">
        <x:f>INDEX(Population!$B$5:$R$20,MATCH(A65,Population!$A$5:$A$20,0),MATCH(B65,Population!$B$4:$R$4,0))</x:f>
        <x:v>597129</x:v>
      </x:c>
      <x:c r="D65" s="50" t="n">
        <x:f>COUNTIFS('Third Space Catalog'!$C:$C,A65,'Third Space Catalog'!$B:$B,"Museum",'Third Space Catalog'!$D:$D,"&lt;="&amp;B65,'Third Space Catalog'!$I:$I,1)</x:f>
        <x:v>2</x:v>
      </x:c>
      <x:c r="E65" s="50" t="n">
        <x:f>COUNTIFS('Third Space Catalog'!$C:$C,A65,'Third Space Catalog'!$B:$B,"Library",'Third Space Catalog'!$D:$D,"&lt;="&amp;B65,'Third Space Catalog'!$I:$I,1)</x:f>
        <x:v>2</x:v>
      </x:c>
      <x:c r="F65" s="50" t="n">
        <x:f>D65+E65</x:f>
        <x:v>4</x:v>
      </x:c>
      <x:c r="G65" s="53" t="n">
        <x:f>IFERROR(F65/C65*100000,0)</x:f>
        <x:v>0.6698720042067962</x:v>
      </x:c>
      <x:c r="H65" s="53" t="n">
        <x:f>IFERROR(D65/C65*100000,0)</x:f>
        <x:v>0.3349360021033981</x:v>
      </x:c>
      <x:c r="I65" s="53" t="n">
        <x:f>IFERROR(E65/C65*100000,0)</x:f>
        <x:v>0.3349360021033981</x:v>
      </x:c>
      <x:c r="J65" s="41" t="str">
        <x:v>Count where opening year &lt;= decade and Include in metric = 1</x:v>
      </x:c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1" t="str">
        <x:v>Coyoacán</x:v>
      </x:c>
      <x:c r="B66" s="41" t="n">
        <x:v>1990</x:v>
      </x:c>
      <x:c r="C66" s="52" t="n">
        <x:f>INDEX(Population!$B$5:$R$20,MATCH(A66,Population!$A$5:$A$20,0),MATCH(B66,Population!$B$4:$R$4,0))</x:f>
        <x:v>640066</x:v>
      </x:c>
      <x:c r="D66" s="50" t="n">
        <x:f>COUNTIFS('Third Space Catalog'!$C:$C,A66,'Third Space Catalog'!$B:$B,"Museum",'Third Space Catalog'!$D:$D,"&lt;="&amp;B66,'Third Space Catalog'!$I:$I,1)</x:f>
        <x:v>5</x:v>
      </x:c>
      <x:c r="E66" s="50" t="n">
        <x:f>COUNTIFS('Third Space Catalog'!$C:$C,A66,'Third Space Catalog'!$B:$B,"Library",'Third Space Catalog'!$D:$D,"&lt;="&amp;B66,'Third Space Catalog'!$I:$I,1)</x:f>
        <x:v>3</x:v>
      </x:c>
      <x:c r="F66" s="50" t="n">
        <x:f>D66+E66</x:f>
        <x:v>8</x:v>
      </x:c>
      <x:c r="G66" s="53" t="n">
        <x:f>IFERROR(F66/C66*100000,0)</x:f>
        <x:v>1.2498711070420863</x:v>
      </x:c>
      <x:c r="H66" s="53" t="n">
        <x:f>IFERROR(D66/C66*100000,0)</x:f>
        <x:v>0.7811694419013039</x:v>
      </x:c>
      <x:c r="I66" s="53" t="n">
        <x:f>IFERROR(E66/C66*100000,0)</x:f>
        <x:v>0.4687016651407823</x:v>
      </x:c>
      <x:c r="J66" s="41" t="str">
        <x:v>Count where opening year &lt;= decade and Include in metric = 1</x:v>
      </x:c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1" t="str">
        <x:v>Coyoacán</x:v>
      </x:c>
      <x:c r="B67" s="41" t="n">
        <x:v>2000</x:v>
      </x:c>
      <x:c r="C67" s="52" t="n">
        <x:f>INDEX(Population!$B$5:$R$20,MATCH(A67,Population!$A$5:$A$20,0),MATCH(B67,Population!$B$4:$R$4,0))</x:f>
        <x:v>640423</x:v>
      </x:c>
      <x:c r="D67" s="50" t="n">
        <x:f>COUNTIFS('Third Space Catalog'!$C:$C,A67,'Third Space Catalog'!$B:$B,"Museum",'Third Space Catalog'!$D:$D,"&lt;="&amp;B67,'Third Space Catalog'!$I:$I,1)</x:f>
        <x:v>6</x:v>
      </x:c>
      <x:c r="E67" s="50" t="n">
        <x:f>COUNTIFS('Third Space Catalog'!$C:$C,A67,'Third Space Catalog'!$B:$B,"Library",'Third Space Catalog'!$D:$D,"&lt;="&amp;B67,'Third Space Catalog'!$I:$I,1)</x:f>
        <x:v>3</x:v>
      </x:c>
      <x:c r="F67" s="50" t="n">
        <x:f>D67+E67</x:f>
        <x:v>9</x:v>
      </x:c>
      <x:c r="G67" s="53" t="n">
        <x:f>IFERROR(F67/C67*100000,0)</x:f>
        <x:v>1.405321170538847</x:v>
      </x:c>
      <x:c r="H67" s="53" t="n">
        <x:f>IFERROR(D67/C67*100000,0)</x:f>
        <x:v>0.9368807803592314</x:v>
      </x:c>
      <x:c r="I67" s="53" t="n">
        <x:f>IFERROR(E67/C67*100000,0)</x:f>
        <x:v>0.4684403901796157</x:v>
      </x:c>
      <x:c r="J67" s="41" t="str">
        <x:v>Count where opening year &lt;= decade and Include in metric = 1</x:v>
      </x:c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1" t="str">
        <x:v>Coyoacán</x:v>
      </x:c>
      <x:c r="B68" s="41" t="n">
        <x:v>2010</x:v>
      </x:c>
      <x:c r="C68" s="52" t="n">
        <x:f>INDEX(Population!$B$5:$R$20,MATCH(A68,Population!$A$5:$A$20,0),MATCH(B68,Population!$B$4:$R$4,0))</x:f>
        <x:v>620416</x:v>
      </x:c>
      <x:c r="D68" s="50" t="n">
        <x:f>COUNTIFS('Third Space Catalog'!$C:$C,A68,'Third Space Catalog'!$B:$B,"Museum",'Third Space Catalog'!$D:$D,"&lt;="&amp;B68,'Third Space Catalog'!$I:$I,1)</x:f>
        <x:v>7</x:v>
      </x:c>
      <x:c r="E68" s="50" t="n">
        <x:f>COUNTIFS('Third Space Catalog'!$C:$C,A68,'Third Space Catalog'!$B:$B,"Library",'Third Space Catalog'!$D:$D,"&lt;="&amp;B68,'Third Space Catalog'!$I:$I,1)</x:f>
        <x:v>3</x:v>
      </x:c>
      <x:c r="F68" s="50" t="n">
        <x:f>D68+E68</x:f>
        <x:v>10</x:v>
      </x:c>
      <x:c r="G68" s="53" t="n">
        <x:f>IFERROR(F68/C68*100000,0)</x:f>
        <x:v>1.6118217454095316</x:v>
      </x:c>
      <x:c r="H68" s="53" t="n">
        <x:f>IFERROR(D68/C68*100000,0)</x:f>
        <x:v>1.1282752217866723</x:v>
      </x:c>
      <x:c r="I68" s="53" t="n">
        <x:f>IFERROR(E68/C68*100000,0)</x:f>
        <x:v>0.4835465236228595</x:v>
      </x:c>
      <x:c r="J68" s="41" t="str">
        <x:v>Count where opening year &lt;= decade and Include in metric = 1</x:v>
      </x:c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1" t="str">
        <x:v>Coyoacán</x:v>
      </x:c>
      <x:c r="B69" s="41" t="n">
        <x:v>2020</x:v>
      </x:c>
      <x:c r="C69" s="52" t="n">
        <x:f>INDEX(Population!$B$5:$R$20,MATCH(A69,Population!$A$5:$A$20,0),MATCH(B69,Population!$B$4:$R$4,0))</x:f>
        <x:v>614447</x:v>
      </x:c>
      <x:c r="D69" s="50" t="n">
        <x:f>COUNTIFS('Third Space Catalog'!$C:$C,A69,'Third Space Catalog'!$B:$B,"Museum",'Third Space Catalog'!$D:$D,"&lt;="&amp;B69,'Third Space Catalog'!$I:$I,1)</x:f>
        <x:v>7</x:v>
      </x:c>
      <x:c r="E69" s="50" t="n">
        <x:f>COUNTIFS('Third Space Catalog'!$C:$C,A69,'Third Space Catalog'!$B:$B,"Library",'Third Space Catalog'!$D:$D,"&lt;="&amp;B69,'Third Space Catalog'!$I:$I,1)</x:f>
        <x:v>3</x:v>
      </x:c>
      <x:c r="F69" s="50" t="n">
        <x:f>D69+E69</x:f>
        <x:v>10</x:v>
      </x:c>
      <x:c r="G69" s="53" t="n">
        <x:f>IFERROR(F69/C69*100000,0)</x:f>
        <x:v>1.6274796687102389</x:v>
      </x:c>
      <x:c r="H69" s="53" t="n">
        <x:f>IFERROR(D69/C69*100000,0)</x:f>
        <x:v>1.139235768097167</x:v>
      </x:c>
      <x:c r="I69" s="53" t="n">
        <x:f>IFERROR(E69/C69*100000,0)</x:f>
        <x:v>0.4882439006130716</x:v>
      </x:c>
      <x:c r="J69" s="41" t="str">
        <x:v>Count where opening year &lt;= decade and Include in metric = 1</x:v>
      </x:c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1" t="str">
        <x:v>Cuajimalpa de Morelos</x:v>
      </x:c>
      <x:c r="B70" s="41" t="n">
        <x:v>1860</x:v>
      </x:c>
      <x:c r="C70" s="52" t="n">
        <x:f>INDEX(Population!$B$5:$R$20,MATCH(A70,Population!$A$5:$A$20,0),MATCH(B70,Population!$B$4:$R$4,0))</x:f>
        <x:v>2234</x:v>
      </x:c>
      <x:c r="D70" s="50" t="n">
        <x:f>COUNTIFS('Third Space Catalog'!$C:$C,A70,'Third Space Catalog'!$B:$B,"Museum",'Third Space Catalog'!$D:$D,"&lt;="&amp;B70,'Third Space Catalog'!$I:$I,1)</x:f>
        <x:v>0</x:v>
      </x:c>
      <x:c r="E70" s="50" t="n">
        <x:f>COUNTIFS('Third Space Catalog'!$C:$C,A70,'Third Space Catalog'!$B:$B,"Library",'Third Space Catalog'!$D:$D,"&lt;="&amp;B70,'Third Space Catalog'!$I:$I,1)</x:f>
        <x:v>0</x:v>
      </x:c>
      <x:c r="F70" s="50" t="n">
        <x:f>D70+E70</x:f>
        <x:v>0</x:v>
      </x:c>
      <x:c r="G70" s="53" t="n">
        <x:f>IFERROR(F70/C70*100000,0)</x:f>
        <x:v>0</x:v>
      </x:c>
      <x:c r="H70" s="53" t="n">
        <x:f>IFERROR(D70/C70*100000,0)</x:f>
        <x:v>0</x:v>
      </x:c>
      <x:c r="I70" s="53" t="n">
        <x:f>IFERROR(E70/C70*100000,0)</x:f>
        <x:v>0</x:v>
      </x:c>
      <x:c r="J70" s="41" t="str">
        <x:v>Count where opening year &lt;= decade and Include in metric = 1</x:v>
      </x:c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1" t="str">
        <x:v>Cuajimalpa de Morelos</x:v>
      </x:c>
      <x:c r="B71" s="41" t="n">
        <x:v>1870</x:v>
      </x:c>
      <x:c r="C71" s="52" t="n">
        <x:f>INDEX(Population!$B$5:$R$20,MATCH(A71,Population!$A$5:$A$20,0),MATCH(B71,Population!$B$4:$R$4,0))</x:f>
        <x:v>2438</x:v>
      </x:c>
      <x:c r="D71" s="50" t="n">
        <x:f>COUNTIFS('Third Space Catalog'!$C:$C,A71,'Third Space Catalog'!$B:$B,"Museum",'Third Space Catalog'!$D:$D,"&lt;="&amp;B71,'Third Space Catalog'!$I:$I,1)</x:f>
        <x:v>0</x:v>
      </x:c>
      <x:c r="E71" s="50" t="n">
        <x:f>COUNTIFS('Third Space Catalog'!$C:$C,A71,'Third Space Catalog'!$B:$B,"Library",'Third Space Catalog'!$D:$D,"&lt;="&amp;B71,'Third Space Catalog'!$I:$I,1)</x:f>
        <x:v>0</x:v>
      </x:c>
      <x:c r="F71" s="50" t="n">
        <x:f>D71+E71</x:f>
        <x:v>0</x:v>
      </x:c>
      <x:c r="G71" s="53" t="n">
        <x:f>IFERROR(F71/C71*100000,0)</x:f>
        <x:v>0</x:v>
      </x:c>
      <x:c r="H71" s="53" t="n">
        <x:f>IFERROR(D71/C71*100000,0)</x:f>
        <x:v>0</x:v>
      </x:c>
      <x:c r="I71" s="53" t="n">
        <x:f>IFERROR(E71/C71*100000,0)</x:f>
        <x:v>0</x:v>
      </x:c>
      <x:c r="J71" s="41" t="str">
        <x:v>Count where opening year &lt;= decade and Include in metric = 1</x:v>
      </x:c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1" t="str">
        <x:v>Cuajimalpa de Morelos</x:v>
      </x:c>
      <x:c r="B72" s="41" t="n">
        <x:v>1880</x:v>
      </x:c>
      <x:c r="C72" s="52" t="n">
        <x:f>INDEX(Population!$B$5:$R$20,MATCH(A72,Population!$A$5:$A$20,0),MATCH(B72,Population!$B$4:$R$4,0))</x:f>
        <x:v>2945</x:v>
      </x:c>
      <x:c r="D72" s="50" t="n">
        <x:f>COUNTIFS('Third Space Catalog'!$C:$C,A72,'Third Space Catalog'!$B:$B,"Museum",'Third Space Catalog'!$D:$D,"&lt;="&amp;B72,'Third Space Catalog'!$I:$I,1)</x:f>
        <x:v>0</x:v>
      </x:c>
      <x:c r="E72" s="50" t="n">
        <x:f>COUNTIFS('Third Space Catalog'!$C:$C,A72,'Third Space Catalog'!$B:$B,"Library",'Third Space Catalog'!$D:$D,"&lt;="&amp;B72,'Third Space Catalog'!$I:$I,1)</x:f>
        <x:v>0</x:v>
      </x:c>
      <x:c r="F72" s="50" t="n">
        <x:f>D72+E72</x:f>
        <x:v>0</x:v>
      </x:c>
      <x:c r="G72" s="53" t="n">
        <x:f>IFERROR(F72/C72*100000,0)</x:f>
        <x:v>0</x:v>
      </x:c>
      <x:c r="H72" s="53" t="n">
        <x:f>IFERROR(D72/C72*100000,0)</x:f>
        <x:v>0</x:v>
      </x:c>
      <x:c r="I72" s="53" t="n">
        <x:f>IFERROR(E72/C72*100000,0)</x:f>
        <x:v>0</x:v>
      </x:c>
      <x:c r="J72" s="41" t="str">
        <x:v>Count where opening year &lt;= decade and Include in metric = 1</x:v>
      </x:c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1" t="str">
        <x:v>Cuajimalpa de Morelos</x:v>
      </x:c>
      <x:c r="B73" s="41" t="n">
        <x:v>1890</x:v>
      </x:c>
      <x:c r="C73" s="52" t="n">
        <x:f>INDEX(Population!$B$5:$R$20,MATCH(A73,Population!$A$5:$A$20,0),MATCH(B73,Population!$B$4:$R$4,0))</x:f>
        <x:v>4063</x:v>
      </x:c>
      <x:c r="D73" s="50" t="n">
        <x:f>COUNTIFS('Third Space Catalog'!$C:$C,A73,'Third Space Catalog'!$B:$B,"Museum",'Third Space Catalog'!$D:$D,"&lt;="&amp;B73,'Third Space Catalog'!$I:$I,1)</x:f>
        <x:v>0</x:v>
      </x:c>
      <x:c r="E73" s="50" t="n">
        <x:f>COUNTIFS('Third Space Catalog'!$C:$C,A73,'Third Space Catalog'!$B:$B,"Library",'Third Space Catalog'!$D:$D,"&lt;="&amp;B73,'Third Space Catalog'!$I:$I,1)</x:f>
        <x:v>0</x:v>
      </x:c>
      <x:c r="F73" s="50" t="n">
        <x:f>D73+E73</x:f>
        <x:v>0</x:v>
      </x:c>
      <x:c r="G73" s="53" t="n">
        <x:f>IFERROR(F73/C73*100000,0)</x:f>
        <x:v>0</x:v>
      </x:c>
      <x:c r="H73" s="53" t="n">
        <x:f>IFERROR(D73/C73*100000,0)</x:f>
        <x:v>0</x:v>
      </x:c>
      <x:c r="I73" s="53" t="n">
        <x:f>IFERROR(E73/C73*100000,0)</x:f>
        <x:v>0</x:v>
      </x:c>
      <x:c r="J73" s="41" t="str">
        <x:v>Count where opening year &lt;= decade and Include in metric = 1</x:v>
      </x:c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1" t="str">
        <x:v>Cuajimalpa de Morelos</x:v>
      </x:c>
      <x:c r="B74" s="41" t="n">
        <x:v>1900</x:v>
      </x:c>
      <x:c r="C74" s="52" t="n">
        <x:f>INDEX(Population!$B$5:$R$20,MATCH(A74,Population!$A$5:$A$20,0),MATCH(B74,Population!$B$4:$R$4,0))</x:f>
        <x:v>5498</x:v>
      </x:c>
      <x:c r="D74" s="50" t="n">
        <x:f>COUNTIFS('Third Space Catalog'!$C:$C,A74,'Third Space Catalog'!$B:$B,"Museum",'Third Space Catalog'!$D:$D,"&lt;="&amp;B74,'Third Space Catalog'!$I:$I,1)</x:f>
        <x:v>0</x:v>
      </x:c>
      <x:c r="E74" s="50" t="n">
        <x:f>COUNTIFS('Third Space Catalog'!$C:$C,A74,'Third Space Catalog'!$B:$B,"Library",'Third Space Catalog'!$D:$D,"&lt;="&amp;B74,'Third Space Catalog'!$I:$I,1)</x:f>
        <x:v>0</x:v>
      </x:c>
      <x:c r="F74" s="50" t="n">
        <x:f>D74+E74</x:f>
        <x:v>0</x:v>
      </x:c>
      <x:c r="G74" s="53" t="n">
        <x:f>IFERROR(F74/C74*100000,0)</x:f>
        <x:v>0</x:v>
      </x:c>
      <x:c r="H74" s="53" t="n">
        <x:f>IFERROR(D74/C74*100000,0)</x:f>
        <x:v>0</x:v>
      </x:c>
      <x:c r="I74" s="53" t="n">
        <x:f>IFERROR(E74/C74*100000,0)</x:f>
        <x:v>0</x:v>
      </x:c>
      <x:c r="J74" s="41" t="str">
        <x:v>Count where opening year &lt;= decade and Include in metric = 1</x:v>
      </x:c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1" t="str">
        <x:v>Cuajimalpa de Morelos</x:v>
      </x:c>
      <x:c r="B75" s="41" t="n">
        <x:v>1910</x:v>
      </x:c>
      <x:c r="C75" s="52" t="n">
        <x:f>INDEX(Population!$B$5:$R$20,MATCH(A75,Population!$A$5:$A$20,0),MATCH(B75,Population!$B$4:$R$4,0))</x:f>
        <x:v>4376</x:v>
      </x:c>
      <x:c r="D75" s="50" t="n">
        <x:f>COUNTIFS('Third Space Catalog'!$C:$C,A75,'Third Space Catalog'!$B:$B,"Museum",'Third Space Catalog'!$D:$D,"&lt;="&amp;B75,'Third Space Catalog'!$I:$I,1)</x:f>
        <x:v>0</x:v>
      </x:c>
      <x:c r="E75" s="50" t="n">
        <x:f>COUNTIFS('Third Space Catalog'!$C:$C,A75,'Third Space Catalog'!$B:$B,"Library",'Third Space Catalog'!$D:$D,"&lt;="&amp;B75,'Third Space Catalog'!$I:$I,1)</x:f>
        <x:v>0</x:v>
      </x:c>
      <x:c r="F75" s="50" t="n">
        <x:f>D75+E75</x:f>
        <x:v>0</x:v>
      </x:c>
      <x:c r="G75" s="53" t="n">
        <x:f>IFERROR(F75/C75*100000,0)</x:f>
        <x:v>0</x:v>
      </x:c>
      <x:c r="H75" s="53" t="n">
        <x:f>IFERROR(D75/C75*100000,0)</x:f>
        <x:v>0</x:v>
      </x:c>
      <x:c r="I75" s="53" t="n">
        <x:f>IFERROR(E75/C75*100000,0)</x:f>
        <x:v>0</x:v>
      </x:c>
      <x:c r="J75" s="41" t="str">
        <x:v>Count where opening year &lt;= decade and Include in metric = 1</x:v>
      </x:c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1" t="str">
        <x:v>Cuajimalpa de Morelos</x:v>
      </x:c>
      <x:c r="B76" s="41" t="n">
        <x:v>1920</x:v>
      </x:c>
      <x:c r="C76" s="52" t="n">
        <x:f>INDEX(Population!$B$5:$R$20,MATCH(A76,Population!$A$5:$A$20,0),MATCH(B76,Population!$B$4:$R$4,0))</x:f>
        <x:v>4204</x:v>
      </x:c>
      <x:c r="D76" s="50" t="n">
        <x:f>COUNTIFS('Third Space Catalog'!$C:$C,A76,'Third Space Catalog'!$B:$B,"Museum",'Third Space Catalog'!$D:$D,"&lt;="&amp;B76,'Third Space Catalog'!$I:$I,1)</x:f>
        <x:v>0</x:v>
      </x:c>
      <x:c r="E76" s="50" t="n">
        <x:f>COUNTIFS('Third Space Catalog'!$C:$C,A76,'Third Space Catalog'!$B:$B,"Library",'Third Space Catalog'!$D:$D,"&lt;="&amp;B76,'Third Space Catalog'!$I:$I,1)</x:f>
        <x:v>0</x:v>
      </x:c>
      <x:c r="F76" s="50" t="n">
        <x:f>D76+E76</x:f>
        <x:v>0</x:v>
      </x:c>
      <x:c r="G76" s="53" t="n">
        <x:f>IFERROR(F76/C76*100000,0)</x:f>
        <x:v>0</x:v>
      </x:c>
      <x:c r="H76" s="53" t="n">
        <x:f>IFERROR(D76/C76*100000,0)</x:f>
        <x:v>0</x:v>
      </x:c>
      <x:c r="I76" s="53" t="n">
        <x:f>IFERROR(E76/C76*100000,0)</x:f>
        <x:v>0</x:v>
      </x:c>
      <x:c r="J76" s="41" t="str">
        <x:v>Count where opening year &lt;= decade and Include in metric = 1</x:v>
      </x:c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1" t="str">
        <x:v>Cuajimalpa de Morelos</x:v>
      </x:c>
      <x:c r="B77" s="41" t="n">
        <x:v>1930</x:v>
      </x:c>
      <x:c r="C77" s="52" t="n">
        <x:f>INDEX(Population!$B$5:$R$20,MATCH(A77,Population!$A$5:$A$20,0),MATCH(B77,Population!$B$4:$R$4,0))</x:f>
        <x:v>4809</x:v>
      </x:c>
      <x:c r="D77" s="50" t="n">
        <x:f>COUNTIFS('Third Space Catalog'!$C:$C,A77,'Third Space Catalog'!$B:$B,"Museum",'Third Space Catalog'!$D:$D,"&lt;="&amp;B77,'Third Space Catalog'!$I:$I,1)</x:f>
        <x:v>0</x:v>
      </x:c>
      <x:c r="E77" s="50" t="n">
        <x:f>COUNTIFS('Third Space Catalog'!$C:$C,A77,'Third Space Catalog'!$B:$B,"Library",'Third Space Catalog'!$D:$D,"&lt;="&amp;B77,'Third Space Catalog'!$I:$I,1)</x:f>
        <x:v>0</x:v>
      </x:c>
      <x:c r="F77" s="50" t="n">
        <x:f>D77+E77</x:f>
        <x:v>0</x:v>
      </x:c>
      <x:c r="G77" s="53" t="n">
        <x:f>IFERROR(F77/C77*100000,0)</x:f>
        <x:v>0</x:v>
      </x:c>
      <x:c r="H77" s="53" t="n">
        <x:f>IFERROR(D77/C77*100000,0)</x:f>
        <x:v>0</x:v>
      </x:c>
      <x:c r="I77" s="53" t="n">
        <x:f>IFERROR(E77/C77*100000,0)</x:f>
        <x:v>0</x:v>
      </x:c>
      <x:c r="J77" s="41" t="str">
        <x:v>Count where opening year &lt;= decade and Include in metric = 1</x:v>
      </x:c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1" t="str">
        <x:v>Cuajimalpa de Morelos</x:v>
      </x:c>
      <x:c r="B78" s="41" t="n">
        <x:v>1940</x:v>
      </x:c>
      <x:c r="C78" s="52" t="n">
        <x:f>INDEX(Population!$B$5:$R$20,MATCH(A78,Population!$A$5:$A$20,0),MATCH(B78,Population!$B$4:$R$4,0))</x:f>
        <x:v>6096</x:v>
      </x:c>
      <x:c r="D78" s="50" t="n">
        <x:f>COUNTIFS('Third Space Catalog'!$C:$C,A78,'Third Space Catalog'!$B:$B,"Museum",'Third Space Catalog'!$D:$D,"&lt;="&amp;B78,'Third Space Catalog'!$I:$I,1)</x:f>
        <x:v>0</x:v>
      </x:c>
      <x:c r="E78" s="50" t="n">
        <x:f>COUNTIFS('Third Space Catalog'!$C:$C,A78,'Third Space Catalog'!$B:$B,"Library",'Third Space Catalog'!$D:$D,"&lt;="&amp;B78,'Third Space Catalog'!$I:$I,1)</x:f>
        <x:v>0</x:v>
      </x:c>
      <x:c r="F78" s="50" t="n">
        <x:f>D78+E78</x:f>
        <x:v>0</x:v>
      </x:c>
      <x:c r="G78" s="53" t="n">
        <x:f>IFERROR(F78/C78*100000,0)</x:f>
        <x:v>0</x:v>
      </x:c>
      <x:c r="H78" s="53" t="n">
        <x:f>IFERROR(D78/C78*100000,0)</x:f>
        <x:v>0</x:v>
      </x:c>
      <x:c r="I78" s="53" t="n">
        <x:f>IFERROR(E78/C78*100000,0)</x:f>
        <x:v>0</x:v>
      </x:c>
      <x:c r="J78" s="41" t="str">
        <x:v>Count where opening year &lt;= decade and Include in metric = 1</x:v>
      </x:c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1" t="str">
        <x:v>Cuajimalpa de Morelos</x:v>
      </x:c>
      <x:c r="B79" s="41" t="n">
        <x:v>1950</x:v>
      </x:c>
      <x:c r="C79" s="52" t="n">
        <x:f>INDEX(Population!$B$5:$R$20,MATCH(A79,Population!$A$5:$A$20,0),MATCH(B79,Population!$B$4:$R$4,0))</x:f>
        <x:v>9676</x:v>
      </x:c>
      <x:c r="D79" s="50" t="n">
        <x:f>COUNTIFS('Third Space Catalog'!$C:$C,A79,'Third Space Catalog'!$B:$B,"Museum",'Third Space Catalog'!$D:$D,"&lt;="&amp;B79,'Third Space Catalog'!$I:$I,1)</x:f>
        <x:v>0</x:v>
      </x:c>
      <x:c r="E79" s="50" t="n">
        <x:f>COUNTIFS('Third Space Catalog'!$C:$C,A79,'Third Space Catalog'!$B:$B,"Library",'Third Space Catalog'!$D:$D,"&lt;="&amp;B79,'Third Space Catalog'!$I:$I,1)</x:f>
        <x:v>0</x:v>
      </x:c>
      <x:c r="F79" s="50" t="n">
        <x:f>D79+E79</x:f>
        <x:v>0</x:v>
      </x:c>
      <x:c r="G79" s="53" t="n">
        <x:f>IFERROR(F79/C79*100000,0)</x:f>
        <x:v>0</x:v>
      </x:c>
      <x:c r="H79" s="53" t="n">
        <x:f>IFERROR(D79/C79*100000,0)</x:f>
        <x:v>0</x:v>
      </x:c>
      <x:c r="I79" s="53" t="n">
        <x:f>IFERROR(E79/C79*100000,0)</x:f>
        <x:v>0</x:v>
      </x:c>
      <x:c r="J79" s="41" t="str">
        <x:v>Count where opening year &lt;= decade and Include in metric = 1</x:v>
      </x:c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1" t="str">
        <x:v>Cuajimalpa de Morelos</x:v>
      </x:c>
      <x:c r="B80" s="41" t="n">
        <x:v>1960</x:v>
      </x:c>
      <x:c r="C80" s="52" t="n">
        <x:f>INDEX(Population!$B$5:$R$20,MATCH(A80,Population!$A$5:$A$20,0),MATCH(B80,Population!$B$4:$R$4,0))</x:f>
        <x:v>19199</x:v>
      </x:c>
      <x:c r="D80" s="50" t="n">
        <x:f>COUNTIFS('Third Space Catalog'!$C:$C,A80,'Third Space Catalog'!$B:$B,"Museum",'Third Space Catalog'!$D:$D,"&lt;="&amp;B80,'Third Space Catalog'!$I:$I,1)</x:f>
        <x:v>0</x:v>
      </x:c>
      <x:c r="E80" s="50" t="n">
        <x:f>COUNTIFS('Third Space Catalog'!$C:$C,A80,'Third Space Catalog'!$B:$B,"Library",'Third Space Catalog'!$D:$D,"&lt;="&amp;B80,'Third Space Catalog'!$I:$I,1)</x:f>
        <x:v>0</x:v>
      </x:c>
      <x:c r="F80" s="50" t="n">
        <x:f>D80+E80</x:f>
        <x:v>0</x:v>
      </x:c>
      <x:c r="G80" s="53" t="n">
        <x:f>IFERROR(F80/C80*100000,0)</x:f>
        <x:v>0</x:v>
      </x:c>
      <x:c r="H80" s="53" t="n">
        <x:f>IFERROR(D80/C80*100000,0)</x:f>
        <x:v>0</x:v>
      </x:c>
      <x:c r="I80" s="53" t="n">
        <x:f>IFERROR(E80/C80*100000,0)</x:f>
        <x:v>0</x:v>
      </x:c>
      <x:c r="J80" s="41" t="str">
        <x:v>Count where opening year &lt;= decade and Include in metric = 1</x:v>
      </x:c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1" t="str">
        <x:v>Cuajimalpa de Morelos</x:v>
      </x:c>
      <x:c r="B81" s="41" t="n">
        <x:v>1970</x:v>
      </x:c>
      <x:c r="C81" s="52" t="n">
        <x:f>INDEX(Population!$B$5:$R$20,MATCH(A81,Population!$A$5:$A$20,0),MATCH(B81,Population!$B$4:$R$4,0))</x:f>
        <x:v>36200</x:v>
      </x:c>
      <x:c r="D81" s="50" t="n">
        <x:f>COUNTIFS('Third Space Catalog'!$C:$C,A81,'Third Space Catalog'!$B:$B,"Museum",'Third Space Catalog'!$D:$D,"&lt;="&amp;B81,'Third Space Catalog'!$I:$I,1)</x:f>
        <x:v>0</x:v>
      </x:c>
      <x:c r="E81" s="50" t="n">
        <x:f>COUNTIFS('Third Space Catalog'!$C:$C,A81,'Third Space Catalog'!$B:$B,"Library",'Third Space Catalog'!$D:$D,"&lt;="&amp;B81,'Third Space Catalog'!$I:$I,1)</x:f>
        <x:v>0</x:v>
      </x:c>
      <x:c r="F81" s="50" t="n">
        <x:f>D81+E81</x:f>
        <x:v>0</x:v>
      </x:c>
      <x:c r="G81" s="53" t="n">
        <x:f>IFERROR(F81/C81*100000,0)</x:f>
        <x:v>0</x:v>
      </x:c>
      <x:c r="H81" s="53" t="n">
        <x:f>IFERROR(D81/C81*100000,0)</x:f>
        <x:v>0</x:v>
      </x:c>
      <x:c r="I81" s="53" t="n">
        <x:f>IFERROR(E81/C81*100000,0)</x:f>
        <x:v>0</x:v>
      </x:c>
      <x:c r="J81" s="41" t="str">
        <x:v>Count where opening year &lt;= decade and Include in metric = 1</x:v>
      </x:c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1" t="str">
        <x:v>Cuajimalpa de Morelos</x:v>
      </x:c>
      <x:c r="B82" s="41" t="n">
        <x:v>1980</x:v>
      </x:c>
      <x:c r="C82" s="52" t="n">
        <x:f>INDEX(Population!$B$5:$R$20,MATCH(A82,Population!$A$5:$A$20,0),MATCH(B82,Population!$B$4:$R$4,0))</x:f>
        <x:v>91200</x:v>
      </x:c>
      <x:c r="D82" s="50" t="n">
        <x:f>COUNTIFS('Third Space Catalog'!$C:$C,A82,'Third Space Catalog'!$B:$B,"Museum",'Third Space Catalog'!$D:$D,"&lt;="&amp;B82,'Third Space Catalog'!$I:$I,1)</x:f>
        <x:v>0</x:v>
      </x:c>
      <x:c r="E82" s="50" t="n">
        <x:f>COUNTIFS('Third Space Catalog'!$C:$C,A82,'Third Space Catalog'!$B:$B,"Library",'Third Space Catalog'!$D:$D,"&lt;="&amp;B82,'Third Space Catalog'!$I:$I,1)</x:f>
        <x:v>0</x:v>
      </x:c>
      <x:c r="F82" s="50" t="n">
        <x:f>D82+E82</x:f>
        <x:v>0</x:v>
      </x:c>
      <x:c r="G82" s="53" t="n">
        <x:f>IFERROR(F82/C82*100000,0)</x:f>
        <x:v>0</x:v>
      </x:c>
      <x:c r="H82" s="53" t="n">
        <x:f>IFERROR(D82/C82*100000,0)</x:f>
        <x:v>0</x:v>
      </x:c>
      <x:c r="I82" s="53" t="n">
        <x:f>IFERROR(E82/C82*100000,0)</x:f>
        <x:v>0</x:v>
      </x:c>
      <x:c r="J82" s="41" t="str">
        <x:v>Count where opening year &lt;= decade and Include in metric = 1</x:v>
      </x:c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1" t="str">
        <x:v>Cuajimalpa de Morelos</x:v>
      </x:c>
      <x:c r="B83" s="41" t="n">
        <x:v>1990</x:v>
      </x:c>
      <x:c r="C83" s="52" t="n">
        <x:f>INDEX(Population!$B$5:$R$20,MATCH(A83,Population!$A$5:$A$20,0),MATCH(B83,Population!$B$4:$R$4,0))</x:f>
        <x:v>119669</x:v>
      </x:c>
      <x:c r="D83" s="50" t="n">
        <x:f>COUNTIFS('Third Space Catalog'!$C:$C,A83,'Third Space Catalog'!$B:$B,"Museum",'Third Space Catalog'!$D:$D,"&lt;="&amp;B83,'Third Space Catalog'!$I:$I,1)</x:f>
        <x:v>0</x:v>
      </x:c>
      <x:c r="E83" s="50" t="n">
        <x:f>COUNTIFS('Third Space Catalog'!$C:$C,A83,'Third Space Catalog'!$B:$B,"Library",'Third Space Catalog'!$D:$D,"&lt;="&amp;B83,'Third Space Catalog'!$I:$I,1)</x:f>
        <x:v>2</x:v>
      </x:c>
      <x:c r="F83" s="50" t="n">
        <x:f>D83+E83</x:f>
        <x:v>2</x:v>
      </x:c>
      <x:c r="G83" s="53" t="n">
        <x:f>IFERROR(F83/C83*100000,0)</x:f>
        <x:v>1.67127660463445</x:v>
      </x:c>
      <x:c r="H83" s="53" t="n">
        <x:f>IFERROR(D83/C83*100000,0)</x:f>
        <x:v>0</x:v>
      </x:c>
      <x:c r="I83" s="53" t="n">
        <x:f>IFERROR(E83/C83*100000,0)</x:f>
        <x:v>1.67127660463445</x:v>
      </x:c>
      <x:c r="J83" s="41" t="str">
        <x:v>Count where opening year &lt;= decade and Include in metric = 1</x:v>
      </x:c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1" t="str">
        <x:v>Cuajimalpa de Morelos</x:v>
      </x:c>
      <x:c r="B84" s="41" t="n">
        <x:v>2000</x:v>
      </x:c>
      <x:c r="C84" s="52" t="n">
        <x:f>INDEX(Population!$B$5:$R$20,MATCH(A84,Population!$A$5:$A$20,0),MATCH(B84,Population!$B$4:$R$4,0))</x:f>
        <x:v>151222</x:v>
      </x:c>
      <x:c r="D84" s="50" t="n">
        <x:f>COUNTIFS('Third Space Catalog'!$C:$C,A84,'Third Space Catalog'!$B:$B,"Museum",'Third Space Catalog'!$D:$D,"&lt;="&amp;B84,'Third Space Catalog'!$I:$I,1)</x:f>
        <x:v>0</x:v>
      </x:c>
      <x:c r="E84" s="50" t="n">
        <x:f>COUNTIFS('Third Space Catalog'!$C:$C,A84,'Third Space Catalog'!$B:$B,"Library",'Third Space Catalog'!$D:$D,"&lt;="&amp;B84,'Third Space Catalog'!$I:$I,1)</x:f>
        <x:v>2</x:v>
      </x:c>
      <x:c r="F84" s="50" t="n">
        <x:f>D84+E84</x:f>
        <x:v>2</x:v>
      </x:c>
      <x:c r="G84" s="53" t="n">
        <x:f>IFERROR(F84/C84*100000,0)</x:f>
        <x:v>1.322558886934441</x:v>
      </x:c>
      <x:c r="H84" s="53" t="n">
        <x:f>IFERROR(D84/C84*100000,0)</x:f>
        <x:v>0</x:v>
      </x:c>
      <x:c r="I84" s="53" t="n">
        <x:f>IFERROR(E84/C84*100000,0)</x:f>
        <x:v>1.322558886934441</x:v>
      </x:c>
      <x:c r="J84" s="41" t="str">
        <x:v>Count where opening year &lt;= decade and Include in metric = 1</x:v>
      </x:c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1" t="str">
        <x:v>Cuajimalpa de Morelos</x:v>
      </x:c>
      <x:c r="B85" s="41" t="n">
        <x:v>2010</x:v>
      </x:c>
      <x:c r="C85" s="52" t="n">
        <x:f>INDEX(Population!$B$5:$R$20,MATCH(A85,Population!$A$5:$A$20,0),MATCH(B85,Population!$B$4:$R$4,0))</x:f>
        <x:v>186391</x:v>
      </x:c>
      <x:c r="D85" s="50" t="n">
        <x:f>COUNTIFS('Third Space Catalog'!$C:$C,A85,'Third Space Catalog'!$B:$B,"Museum",'Third Space Catalog'!$D:$D,"&lt;="&amp;B85,'Third Space Catalog'!$I:$I,1)</x:f>
        <x:v>0</x:v>
      </x:c>
      <x:c r="E85" s="50" t="n">
        <x:f>COUNTIFS('Third Space Catalog'!$C:$C,A85,'Third Space Catalog'!$B:$B,"Library",'Third Space Catalog'!$D:$D,"&lt;="&amp;B85,'Third Space Catalog'!$I:$I,1)</x:f>
        <x:v>2</x:v>
      </x:c>
      <x:c r="F85" s="50" t="n">
        <x:f>D85+E85</x:f>
        <x:v>2</x:v>
      </x:c>
      <x:c r="G85" s="53" t="n">
        <x:f>IFERROR(F85/C85*100000,0)</x:f>
        <x:v>1.0730131819669404</x:v>
      </x:c>
      <x:c r="H85" s="53" t="n">
        <x:f>IFERROR(D85/C85*100000,0)</x:f>
        <x:v>0</x:v>
      </x:c>
      <x:c r="I85" s="53" t="n">
        <x:f>IFERROR(E85/C85*100000,0)</x:f>
        <x:v>1.0730131819669404</x:v>
      </x:c>
      <x:c r="J85" s="41" t="str">
        <x:v>Count where opening year &lt;= decade and Include in metric = 1</x:v>
      </x:c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1" t="str">
        <x:v>Cuajimalpa de Morelos</x:v>
      </x:c>
      <x:c r="B86" s="41" t="n">
        <x:v>2020</x:v>
      </x:c>
      <x:c r="C86" s="52" t="n">
        <x:f>INDEX(Population!$B$5:$R$20,MATCH(A86,Population!$A$5:$A$20,0),MATCH(B86,Population!$B$4:$R$4,0))</x:f>
        <x:v>217686</x:v>
      </x:c>
      <x:c r="D86" s="50" t="n">
        <x:f>COUNTIFS('Third Space Catalog'!$C:$C,A86,'Third Space Catalog'!$B:$B,"Museum",'Third Space Catalog'!$D:$D,"&lt;="&amp;B86,'Third Space Catalog'!$I:$I,1)</x:f>
        <x:v>1</x:v>
      </x:c>
      <x:c r="E86" s="50" t="n">
        <x:f>COUNTIFS('Third Space Catalog'!$C:$C,A86,'Third Space Catalog'!$B:$B,"Library",'Third Space Catalog'!$D:$D,"&lt;="&amp;B86,'Third Space Catalog'!$I:$I,1)</x:f>
        <x:v>2</x:v>
      </x:c>
      <x:c r="F86" s="50" t="n">
        <x:f>D86+E86</x:f>
        <x:v>3</x:v>
      </x:c>
      <x:c r="G86" s="53" t="n">
        <x:f>IFERROR(F86/C86*100000,0)</x:f>
        <x:v>1.3781318045257849</x:v>
      </x:c>
      <x:c r="H86" s="53" t="n">
        <x:f>IFERROR(D86/C86*100000,0)</x:f>
        <x:v>0.45937726817526164</x:v>
      </x:c>
      <x:c r="I86" s="53" t="n">
        <x:f>IFERROR(E86/C86*100000,0)</x:f>
        <x:v>0.9187545363505233</x:v>
      </x:c>
      <x:c r="J86" s="41" t="str">
        <x:v>Count where opening year &lt;= decade and Include in metric = 1</x:v>
      </x:c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1" t="str">
        <x:v>Cuauhtémoc</x:v>
      </x:c>
      <x:c r="B87" s="41" t="n">
        <x:v>1860</x:v>
      </x:c>
      <x:c r="C87" s="52" t="n">
        <x:f>INDEX(Population!$B$5:$R$20,MATCH(A87,Population!$A$5:$A$20,0),MATCH(B87,Population!$B$4:$R$4,0))</x:f>
        <x:v>71503</x:v>
      </x:c>
      <x:c r="D87" s="50" t="n">
        <x:f>COUNTIFS('Third Space Catalog'!$C:$C,A87,'Third Space Catalog'!$B:$B,"Museum",'Third Space Catalog'!$D:$D,"&lt;="&amp;B87,'Third Space Catalog'!$I:$I,1)</x:f>
        <x:v>0</x:v>
      </x:c>
      <x:c r="E87" s="50" t="n">
        <x:f>COUNTIFS('Third Space Catalog'!$C:$C,A87,'Third Space Catalog'!$B:$B,"Library",'Third Space Catalog'!$D:$D,"&lt;="&amp;B87,'Third Space Catalog'!$I:$I,1)</x:f>
        <x:v>0</x:v>
      </x:c>
      <x:c r="F87" s="50" t="n">
        <x:f>D87+E87</x:f>
        <x:v>0</x:v>
      </x:c>
      <x:c r="G87" s="53" t="n">
        <x:f>IFERROR(F87/C87*100000,0)</x:f>
        <x:v>0</x:v>
      </x:c>
      <x:c r="H87" s="53" t="n">
        <x:f>IFERROR(D87/C87*100000,0)</x:f>
        <x:v>0</x:v>
      </x:c>
      <x:c r="I87" s="53" t="n">
        <x:f>IFERROR(E87/C87*100000,0)</x:f>
        <x:v>0</x:v>
      </x:c>
      <x:c r="J87" s="41" t="str">
        <x:v>Count where opening year &lt;= decade and Include in metric = 1</x:v>
      </x:c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1" t="str">
        <x:v>Cuauhtémoc</x:v>
      </x:c>
      <x:c r="B88" s="41" t="n">
        <x:v>1870</x:v>
      </x:c>
      <x:c r="C88" s="52" t="n">
        <x:f>INDEX(Population!$B$5:$R$20,MATCH(A88,Population!$A$5:$A$20,0),MATCH(B88,Population!$B$4:$R$4,0))</x:f>
        <x:v>78003</x:v>
      </x:c>
      <x:c r="D88" s="50" t="n">
        <x:f>COUNTIFS('Third Space Catalog'!$C:$C,A88,'Third Space Catalog'!$B:$B,"Museum",'Third Space Catalog'!$D:$D,"&lt;="&amp;B88,'Third Space Catalog'!$I:$I,1)</x:f>
        <x:v>0</x:v>
      </x:c>
      <x:c r="E88" s="50" t="n">
        <x:f>COUNTIFS('Third Space Catalog'!$C:$C,A88,'Third Space Catalog'!$B:$B,"Library",'Third Space Catalog'!$D:$D,"&lt;="&amp;B88,'Third Space Catalog'!$I:$I,1)</x:f>
        <x:v>0</x:v>
      </x:c>
      <x:c r="F88" s="50" t="n">
        <x:f>D88+E88</x:f>
        <x:v>0</x:v>
      </x:c>
      <x:c r="G88" s="53" t="n">
        <x:f>IFERROR(F88/C88*100000,0)</x:f>
        <x:v>0</x:v>
      </x:c>
      <x:c r="H88" s="53" t="n">
        <x:f>IFERROR(D88/C88*100000,0)</x:f>
        <x:v>0</x:v>
      </x:c>
      <x:c r="I88" s="53" t="n">
        <x:f>IFERROR(E88/C88*100000,0)</x:f>
        <x:v>0</x:v>
      </x:c>
      <x:c r="J88" s="41" t="str">
        <x:v>Count where opening year &lt;= decade and Include in metric = 1</x:v>
      </x:c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1" t="str">
        <x:v>Cuauhtémoc</x:v>
      </x:c>
      <x:c r="B89" s="41" t="n">
        <x:v>1880</x:v>
      </x:c>
      <x:c r="C89" s="52" t="n">
        <x:f>INDEX(Population!$B$5:$R$20,MATCH(A89,Population!$A$5:$A$20,0),MATCH(B89,Population!$B$4:$R$4,0))</x:f>
        <x:v>94254</x:v>
      </x:c>
      <x:c r="D89" s="50" t="n">
        <x:f>COUNTIFS('Third Space Catalog'!$C:$C,A89,'Third Space Catalog'!$B:$B,"Museum",'Third Space Catalog'!$D:$D,"&lt;="&amp;B89,'Third Space Catalog'!$I:$I,1)</x:f>
        <x:v>0</x:v>
      </x:c>
      <x:c r="E89" s="50" t="n">
        <x:f>COUNTIFS('Third Space Catalog'!$C:$C,A89,'Third Space Catalog'!$B:$B,"Library",'Third Space Catalog'!$D:$D,"&lt;="&amp;B89,'Third Space Catalog'!$I:$I,1)</x:f>
        <x:v>0</x:v>
      </x:c>
      <x:c r="F89" s="50" t="n">
        <x:f>D89+E89</x:f>
        <x:v>0</x:v>
      </x:c>
      <x:c r="G89" s="53" t="n">
        <x:f>IFERROR(F89/C89*100000,0)</x:f>
        <x:v>0</x:v>
      </x:c>
      <x:c r="H89" s="53" t="n">
        <x:f>IFERROR(D89/C89*100000,0)</x:f>
        <x:v>0</x:v>
      </x:c>
      <x:c r="I89" s="53" t="n">
        <x:f>IFERROR(E89/C89*100000,0)</x:f>
        <x:v>0</x:v>
      </x:c>
      <x:c r="J89" s="41" t="str">
        <x:v>Count where opening year &lt;= decade and Include in metric = 1</x:v>
      </x:c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1" t="str">
        <x:v>Cuauhtémoc</x:v>
      </x:c>
      <x:c r="B90" s="41" t="n">
        <x:v>1890</x:v>
      </x:c>
      <x:c r="C90" s="52" t="n">
        <x:f>INDEX(Population!$B$5:$R$20,MATCH(A90,Population!$A$5:$A$20,0),MATCH(B90,Population!$B$4:$R$4,0))</x:f>
        <x:v>130005</x:v>
      </x:c>
      <x:c r="D90" s="50" t="n">
        <x:f>COUNTIFS('Third Space Catalog'!$C:$C,A90,'Third Space Catalog'!$B:$B,"Museum",'Third Space Catalog'!$D:$D,"&lt;="&amp;B90,'Third Space Catalog'!$I:$I,1)</x:f>
        <x:v>0</x:v>
      </x:c>
      <x:c r="E90" s="50" t="n">
        <x:f>COUNTIFS('Third Space Catalog'!$C:$C,A90,'Third Space Catalog'!$B:$B,"Library",'Third Space Catalog'!$D:$D,"&lt;="&amp;B90,'Third Space Catalog'!$I:$I,1)</x:f>
        <x:v>0</x:v>
      </x:c>
      <x:c r="F90" s="50" t="n">
        <x:f>D90+E90</x:f>
        <x:v>0</x:v>
      </x:c>
      <x:c r="G90" s="53" t="n">
        <x:f>IFERROR(F90/C90*100000,0)</x:f>
        <x:v>0</x:v>
      </x:c>
      <x:c r="H90" s="53" t="n">
        <x:f>IFERROR(D90/C90*100000,0)</x:f>
        <x:v>0</x:v>
      </x:c>
      <x:c r="I90" s="53" t="n">
        <x:f>IFERROR(E90/C90*100000,0)</x:f>
        <x:v>0</x:v>
      </x:c>
      <x:c r="J90" s="41" t="str">
        <x:v>Count where opening year &lt;= decade and Include in metric = 1</x:v>
      </x:c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1" t="str">
        <x:v>Cuauhtémoc</x:v>
      </x:c>
      <x:c r="B91" s="41" t="n">
        <x:v>1900</x:v>
      </x:c>
      <x:c r="C91" s="52" t="n">
        <x:f>INDEX(Population!$B$5:$R$20,MATCH(A91,Population!$A$5:$A$20,0),MATCH(B91,Population!$B$4:$R$4,0))</x:f>
        <x:v>175924</x:v>
      </x:c>
      <x:c r="D91" s="50" t="n">
        <x:f>COUNTIFS('Third Space Catalog'!$C:$C,A91,'Third Space Catalog'!$B:$B,"Museum",'Third Space Catalog'!$D:$D,"&lt;="&amp;B91,'Third Space Catalog'!$I:$I,1)</x:f>
        <x:v>0</x:v>
      </x:c>
      <x:c r="E91" s="50" t="n">
        <x:f>COUNTIFS('Third Space Catalog'!$C:$C,A91,'Third Space Catalog'!$B:$B,"Library",'Third Space Catalog'!$D:$D,"&lt;="&amp;B91,'Third Space Catalog'!$I:$I,1)</x:f>
        <x:v>0</x:v>
      </x:c>
      <x:c r="F91" s="50" t="n">
        <x:f>D91+E91</x:f>
        <x:v>0</x:v>
      </x:c>
      <x:c r="G91" s="53" t="n">
        <x:f>IFERROR(F91/C91*100000,0)</x:f>
        <x:v>0</x:v>
      </x:c>
      <x:c r="H91" s="53" t="n">
        <x:f>IFERROR(D91/C91*100000,0)</x:f>
        <x:v>0</x:v>
      </x:c>
      <x:c r="I91" s="53" t="n">
        <x:f>IFERROR(E91/C91*100000,0)</x:f>
        <x:v>0</x:v>
      </x:c>
      <x:c r="J91" s="41" t="str">
        <x:v>Count where opening year &lt;= decade and Include in metric = 1</x:v>
      </x:c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1" t="str">
        <x:v>Cuauhtémoc</x:v>
      </x:c>
      <x:c r="B92" s="41" t="n">
        <x:v>1910</x:v>
      </x:c>
      <x:c r="C92" s="52" t="n">
        <x:f>INDEX(Population!$B$5:$R$20,MATCH(A92,Population!$A$5:$A$20,0),MATCH(B92,Population!$B$4:$R$4,0))</x:f>
        <x:v>194179</x:v>
      </x:c>
      <x:c r="D92" s="50" t="n">
        <x:f>COUNTIFS('Third Space Catalog'!$C:$C,A92,'Third Space Catalog'!$B:$B,"Museum",'Third Space Catalog'!$D:$D,"&lt;="&amp;B92,'Third Space Catalog'!$I:$I,1)</x:f>
        <x:v>0</x:v>
      </x:c>
      <x:c r="E92" s="50" t="n">
        <x:f>COUNTIFS('Third Space Catalog'!$C:$C,A92,'Third Space Catalog'!$B:$B,"Library",'Third Space Catalog'!$D:$D,"&lt;="&amp;B92,'Third Space Catalog'!$I:$I,1)</x:f>
        <x:v>0</x:v>
      </x:c>
      <x:c r="F92" s="50" t="n">
        <x:f>D92+E92</x:f>
        <x:v>0</x:v>
      </x:c>
      <x:c r="G92" s="53" t="n">
        <x:f>IFERROR(F92/C92*100000,0)</x:f>
        <x:v>0</x:v>
      </x:c>
      <x:c r="H92" s="53" t="n">
        <x:f>IFERROR(D92/C92*100000,0)</x:f>
        <x:v>0</x:v>
      </x:c>
      <x:c r="I92" s="53" t="n">
        <x:f>IFERROR(E92/C92*100000,0)</x:f>
        <x:v>0</x:v>
      </x:c>
      <x:c r="J92" s="41" t="str">
        <x:v>Count where opening year &lt;= decade and Include in metric = 1</x:v>
      </x:c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1" t="str">
        <x:v>Cuauhtémoc</x:v>
      </x:c>
      <x:c r="B93" s="41" t="n">
        <x:v>1920</x:v>
      </x:c>
      <x:c r="C93" s="52" t="n">
        <x:f>INDEX(Population!$B$5:$R$20,MATCH(A93,Population!$A$5:$A$20,0),MATCH(B93,Population!$B$4:$R$4,0))</x:f>
        <x:v>226485</x:v>
      </x:c>
      <x:c r="D93" s="50" t="n">
        <x:f>COUNTIFS('Third Space Catalog'!$C:$C,A93,'Third Space Catalog'!$B:$B,"Museum",'Third Space Catalog'!$D:$D,"&lt;="&amp;B93,'Third Space Catalog'!$I:$I,1)</x:f>
        <x:v>0</x:v>
      </x:c>
      <x:c r="E93" s="50" t="n">
        <x:f>COUNTIFS('Third Space Catalog'!$C:$C,A93,'Third Space Catalog'!$B:$B,"Library",'Third Space Catalog'!$D:$D,"&lt;="&amp;B93,'Third Space Catalog'!$I:$I,1)</x:f>
        <x:v>0</x:v>
      </x:c>
      <x:c r="F93" s="50" t="n">
        <x:f>D93+E93</x:f>
        <x:v>0</x:v>
      </x:c>
      <x:c r="G93" s="53" t="n">
        <x:f>IFERROR(F93/C93*100000,0)</x:f>
        <x:v>0</x:v>
      </x:c>
      <x:c r="H93" s="53" t="n">
        <x:f>IFERROR(D93/C93*100000,0)</x:f>
        <x:v>0</x:v>
      </x:c>
      <x:c r="I93" s="53" t="n">
        <x:f>IFERROR(E93/C93*100000,0)</x:f>
        <x:v>0</x:v>
      </x:c>
      <x:c r="J93" s="41" t="str">
        <x:v>Count where opening year &lt;= decade and Include in metric = 1</x:v>
      </x:c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1" t="str">
        <x:v>Cuauhtémoc</x:v>
      </x:c>
      <x:c r="B94" s="41" t="n">
        <x:v>1930</x:v>
      </x:c>
      <x:c r="C94" s="52" t="n">
        <x:f>INDEX(Population!$B$5:$R$20,MATCH(A94,Population!$A$5:$A$20,0),MATCH(B94,Population!$B$4:$R$4,0))</x:f>
        <x:v>295164</x:v>
      </x:c>
      <x:c r="D94" s="50" t="n">
        <x:f>COUNTIFS('Third Space Catalog'!$C:$C,A94,'Third Space Catalog'!$B:$B,"Museum",'Third Space Catalog'!$D:$D,"&lt;="&amp;B94,'Third Space Catalog'!$I:$I,1)</x:f>
        <x:v>0</x:v>
      </x:c>
      <x:c r="E94" s="50" t="n">
        <x:f>COUNTIFS('Third Space Catalog'!$C:$C,A94,'Third Space Catalog'!$B:$B,"Library",'Third Space Catalog'!$D:$D,"&lt;="&amp;B94,'Third Space Catalog'!$I:$I,1)</x:f>
        <x:v>0</x:v>
      </x:c>
      <x:c r="F94" s="50" t="n">
        <x:f>D94+E94</x:f>
        <x:v>0</x:v>
      </x:c>
      <x:c r="G94" s="53" t="n">
        <x:f>IFERROR(F94/C94*100000,0)</x:f>
        <x:v>0</x:v>
      </x:c>
      <x:c r="H94" s="53" t="n">
        <x:f>IFERROR(D94/C94*100000,0)</x:f>
        <x:v>0</x:v>
      </x:c>
      <x:c r="I94" s="53" t="n">
        <x:f>IFERROR(E94/C94*100000,0)</x:f>
        <x:v>0</x:v>
      </x:c>
      <x:c r="J94" s="41" t="str">
        <x:v>Count where opening year &lt;= decade and Include in metric = 1</x:v>
      </x:c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1" t="str">
        <x:v>Cuauhtémoc</x:v>
      </x:c>
      <x:c r="B95" s="41" t="n">
        <x:v>1940</x:v>
      </x:c>
      <x:c r="C95" s="52" t="n">
        <x:f>INDEX(Population!$B$5:$R$20,MATCH(A95,Population!$A$5:$A$20,0),MATCH(B95,Population!$B$4:$R$4,0))</x:f>
        <x:v>411339</x:v>
      </x:c>
      <x:c r="D95" s="50" t="n">
        <x:f>COUNTIFS('Third Space Catalog'!$C:$C,A95,'Third Space Catalog'!$B:$B,"Museum",'Third Space Catalog'!$D:$D,"&lt;="&amp;B95,'Third Space Catalog'!$I:$I,1)</x:f>
        <x:v>1</x:v>
      </x:c>
      <x:c r="E95" s="50" t="n">
        <x:f>COUNTIFS('Third Space Catalog'!$C:$C,A95,'Third Space Catalog'!$B:$B,"Library",'Third Space Catalog'!$D:$D,"&lt;="&amp;B95,'Third Space Catalog'!$I:$I,1)</x:f>
        <x:v>0</x:v>
      </x:c>
      <x:c r="F95" s="50" t="n">
        <x:f>D95+E95</x:f>
        <x:v>1</x:v>
      </x:c>
      <x:c r="G95" s="53" t="n">
        <x:f>IFERROR(F95/C95*100000,0)</x:f>
        <x:v>0.24310848229805584</x:v>
      </x:c>
      <x:c r="H95" s="53" t="n">
        <x:f>IFERROR(D95/C95*100000,0)</x:f>
        <x:v>0.24310848229805584</x:v>
      </x:c>
      <x:c r="I95" s="53" t="n">
        <x:f>IFERROR(E95/C95*100000,0)</x:f>
        <x:v>0</x:v>
      </x:c>
      <x:c r="J95" s="41" t="str">
        <x:v>Count where opening year &lt;= decade and Include in metric = 1</x:v>
      </x:c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1" t="str">
        <x:v>Cuauhtémoc</x:v>
      </x:c>
      <x:c r="B96" s="41" t="n">
        <x:v>1950</x:v>
      </x:c>
      <x:c r="C96" s="52" t="n">
        <x:f>INDEX(Population!$B$5:$R$20,MATCH(A96,Population!$A$5:$A$20,0),MATCH(B96,Population!$B$4:$R$4,0))</x:f>
        <x:v>701635</x:v>
      </x:c>
      <x:c r="D96" s="50" t="n">
        <x:f>COUNTIFS('Third Space Catalog'!$C:$C,A96,'Third Space Catalog'!$B:$B,"Museum",'Third Space Catalog'!$D:$D,"&lt;="&amp;B96,'Third Space Catalog'!$I:$I,1)</x:f>
        <x:v>1</x:v>
      </x:c>
      <x:c r="E96" s="50" t="n">
        <x:f>COUNTIFS('Third Space Catalog'!$C:$C,A96,'Third Space Catalog'!$B:$B,"Library",'Third Space Catalog'!$D:$D,"&lt;="&amp;B96,'Third Space Catalog'!$I:$I,1)</x:f>
        <x:v>1</x:v>
      </x:c>
      <x:c r="F96" s="50" t="n">
        <x:f>D96+E96</x:f>
        <x:v>2</x:v>
      </x:c>
      <x:c r="G96" s="53" t="n">
        <x:f>IFERROR(F96/C96*100000,0)</x:f>
        <x:v>0.2850484938750205</x:v>
      </x:c>
      <x:c r="H96" s="53" t="n">
        <x:f>IFERROR(D96/C96*100000,0)</x:f>
        <x:v>0.14252424693751026</x:v>
      </x:c>
      <x:c r="I96" s="53" t="n">
        <x:f>IFERROR(E96/C96*100000,0)</x:f>
        <x:v>0.14252424693751026</x:v>
      </x:c>
      <x:c r="J96" s="41" t="str">
        <x:v>Count where opening year &lt;= decade and Include in metric = 1</x:v>
      </x:c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1" t="str">
        <x:v>Cuauhtémoc</x:v>
      </x:c>
      <x:c r="B97" s="41" t="n">
        <x:v>1960</x:v>
      </x:c>
      <x:c r="C97" s="52" t="n">
        <x:f>INDEX(Population!$B$5:$R$20,MATCH(A97,Population!$A$5:$A$20,0),MATCH(B97,Population!$B$4:$R$4,0))</x:f>
        <x:v>889175</x:v>
      </x:c>
      <x:c r="D97" s="50" t="n">
        <x:f>COUNTIFS('Third Space Catalog'!$C:$C,A97,'Third Space Catalog'!$B:$B,"Museum",'Third Space Catalog'!$D:$D,"&lt;="&amp;B97,'Third Space Catalog'!$I:$I,1)</x:f>
        <x:v>3</x:v>
      </x:c>
      <x:c r="E97" s="50" t="n">
        <x:f>COUNTIFS('Third Space Catalog'!$C:$C,A97,'Third Space Catalog'!$B:$B,"Library",'Third Space Catalog'!$D:$D,"&lt;="&amp;B97,'Third Space Catalog'!$I:$I,1)</x:f>
        <x:v>1</x:v>
      </x:c>
      <x:c r="F97" s="50" t="n">
        <x:f>D97+E97</x:f>
        <x:v>4</x:v>
      </x:c>
      <x:c r="G97" s="53" t="n">
        <x:f>IFERROR(F97/C97*100000,0)</x:f>
        <x:v>0.4498552028565806</x:v>
      </x:c>
      <x:c r="H97" s="53" t="n">
        <x:f>IFERROR(D97/C97*100000,0)</x:f>
        <x:v>0.3373914021424354</x:v>
      </x:c>
      <x:c r="I97" s="53" t="n">
        <x:f>IFERROR(E97/C97*100000,0)</x:f>
        <x:v>0.11246380071414515</x:v>
      </x:c>
      <x:c r="J97" s="41" t="str">
        <x:v>Count where opening year &lt;= decade and Include in metric = 1</x:v>
      </x:c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1" t="str">
        <x:v>Cuauhtémoc</x:v>
      </x:c>
      <x:c r="B98" s="41" t="n">
        <x:v>1970</x:v>
      </x:c>
      <x:c r="C98" s="52" t="n">
        <x:f>INDEX(Population!$B$5:$R$20,MATCH(A98,Population!$A$5:$A$20,0),MATCH(B98,Population!$B$4:$R$4,0))</x:f>
        <x:v>911414</x:v>
      </x:c>
      <x:c r="D98" s="50" t="n">
        <x:f>COUNTIFS('Third Space Catalog'!$C:$C,A98,'Third Space Catalog'!$B:$B,"Museum",'Third Space Catalog'!$D:$D,"&lt;="&amp;B98,'Third Space Catalog'!$I:$I,1)</x:f>
        <x:v>5</x:v>
      </x:c>
      <x:c r="E98" s="50" t="n">
        <x:f>COUNTIFS('Third Space Catalog'!$C:$C,A98,'Third Space Catalog'!$B:$B,"Library",'Third Space Catalog'!$D:$D,"&lt;="&amp;B98,'Third Space Catalog'!$I:$I,1)</x:f>
        <x:v>1</x:v>
      </x:c>
      <x:c r="F98" s="50" t="n">
        <x:f>D98+E98</x:f>
        <x:v>6</x:v>
      </x:c>
      <x:c r="G98" s="53" t="n">
        <x:f>IFERROR(F98/C98*100000,0)</x:f>
        <x:v>0.658317734860338</x:v>
      </x:c>
      <x:c r="H98" s="53" t="n">
        <x:f>IFERROR(D98/C98*100000,0)</x:f>
        <x:v>0.5485981123836149</x:v>
      </x:c>
      <x:c r="I98" s="53" t="n">
        <x:f>IFERROR(E98/C98*100000,0)</x:f>
        <x:v>0.10971962247672298</x:v>
      </x:c>
      <x:c r="J98" s="41" t="str">
        <x:v>Count where opening year &lt;= decade and Include in metric = 1</x:v>
      </x:c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1" t="str">
        <x:v>Cuauhtémoc</x:v>
      </x:c>
      <x:c r="B99" s="41" t="n">
        <x:v>1980</x:v>
      </x:c>
      <x:c r="C99" s="52" t="n">
        <x:f>INDEX(Population!$B$5:$R$20,MATCH(A99,Population!$A$5:$A$20,0),MATCH(B99,Population!$B$4:$R$4,0))</x:f>
        <x:v>814983</x:v>
      </x:c>
      <x:c r="D99" s="50" t="n">
        <x:f>COUNTIFS('Third Space Catalog'!$C:$C,A99,'Third Space Catalog'!$B:$B,"Museum",'Third Space Catalog'!$D:$D,"&lt;="&amp;B99,'Third Space Catalog'!$I:$I,1)</x:f>
        <x:v>6</x:v>
      </x:c>
      <x:c r="E99" s="50" t="n">
        <x:f>COUNTIFS('Third Space Catalog'!$C:$C,A99,'Third Space Catalog'!$B:$B,"Library",'Third Space Catalog'!$D:$D,"&lt;="&amp;B99,'Third Space Catalog'!$I:$I,1)</x:f>
        <x:v>1</x:v>
      </x:c>
      <x:c r="F99" s="50" t="n">
        <x:f>D99+E99</x:f>
        <x:v>7</x:v>
      </x:c>
      <x:c r="G99" s="53" t="n">
        <x:f>IFERROR(F99/C99*100000,0)</x:f>
        <x:v>0.8589136215111236</x:v>
      </x:c>
      <x:c r="H99" s="53" t="n">
        <x:f>IFERROR(D99/C99*100000,0)</x:f>
        <x:v>0.736211675580963</x:v>
      </x:c>
      <x:c r="I99" s="53" t="n">
        <x:f>IFERROR(E99/C99*100000,0)</x:f>
        <x:v>0.1227019459301605</x:v>
      </x:c>
      <x:c r="J99" s="41" t="str">
        <x:v>Count where opening year &lt;= decade and Include in metric = 1</x:v>
      </x:c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1" t="str">
        <x:v>Cuauhtémoc</x:v>
      </x:c>
      <x:c r="B100" s="41" t="n">
        <x:v>1990</x:v>
      </x:c>
      <x:c r="C100" s="52" t="n">
        <x:f>INDEX(Population!$B$5:$R$20,MATCH(A100,Population!$A$5:$A$20,0),MATCH(B100,Population!$B$4:$R$4,0))</x:f>
        <x:v>595960</x:v>
      </x:c>
      <x:c r="D100" s="50" t="n">
        <x:f>COUNTIFS('Third Space Catalog'!$C:$C,A100,'Third Space Catalog'!$B:$B,"Museum",'Third Space Catalog'!$D:$D,"&lt;="&amp;B100,'Third Space Catalog'!$I:$I,1)</x:f>
        <x:v>9</x:v>
      </x:c>
      <x:c r="E100" s="50" t="n">
        <x:f>COUNTIFS('Third Space Catalog'!$C:$C,A100,'Third Space Catalog'!$B:$B,"Library",'Third Space Catalog'!$D:$D,"&lt;="&amp;B100,'Third Space Catalog'!$I:$I,1)</x:f>
        <x:v>1</x:v>
      </x:c>
      <x:c r="F100" s="50" t="n">
        <x:f>D100+E100</x:f>
        <x:v>10</x:v>
      </x:c>
      <x:c r="G100" s="53" t="n">
        <x:f>IFERROR(F100/C100*100000,0)</x:f>
        <x:v>1.6779649640915497</x:v>
      </x:c>
      <x:c r="H100" s="53" t="n">
        <x:f>IFERROR(D100/C100*100000,0)</x:f>
        <x:v>1.5101684676823948</x:v>
      </x:c>
      <x:c r="I100" s="53" t="n">
        <x:f>IFERROR(E100/C100*100000,0)</x:f>
        <x:v>0.16779649640915498</x:v>
      </x:c>
      <x:c r="J100" s="41" t="str">
        <x:v>Count where opening year &lt;= decade and Include in metric = 1</x:v>
      </x:c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41" t="str">
        <x:v>Cuauhtémoc</x:v>
      </x:c>
      <x:c r="B101" s="41" t="n">
        <x:v>2000</x:v>
      </x:c>
      <x:c r="C101" s="52" t="n">
        <x:f>INDEX(Population!$B$5:$R$20,MATCH(A101,Population!$A$5:$A$20,0),MATCH(B101,Population!$B$4:$R$4,0))</x:f>
        <x:v>516255</x:v>
      </x:c>
      <x:c r="D101" s="50" t="n">
        <x:f>COUNTIFS('Third Space Catalog'!$C:$C,A101,'Third Space Catalog'!$B:$B,"Museum",'Third Space Catalog'!$D:$D,"&lt;="&amp;B101,'Third Space Catalog'!$I:$I,1)</x:f>
        <x:v>10</x:v>
      </x:c>
      <x:c r="E101" s="50" t="n">
        <x:f>COUNTIFS('Third Space Catalog'!$C:$C,A101,'Third Space Catalog'!$B:$B,"Library",'Third Space Catalog'!$D:$D,"&lt;="&amp;B101,'Third Space Catalog'!$I:$I,1)</x:f>
        <x:v>1</x:v>
      </x:c>
      <x:c r="F101" s="50" t="n">
        <x:f>D101+E101</x:f>
        <x:v>11</x:v>
      </x:c>
      <x:c r="G101" s="53" t="n">
        <x:f>IFERROR(F101/C101*100000,0)</x:f>
        <x:v>2.1307299687170103</x:v>
      </x:c>
      <x:c r="H101" s="53" t="n">
        <x:f>IFERROR(D101/C101*100000,0)</x:f>
        <x:v>1.937027244288191</x:v>
      </x:c>
      <x:c r="I101" s="53" t="n">
        <x:f>IFERROR(E101/C101*100000,0)</x:f>
        <x:v>0.1937027244288191</x:v>
      </x:c>
      <x:c r="J101" s="41" t="str">
        <x:v>Count where opening year &lt;= decade and Include in metric = 1</x:v>
      </x:c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41" t="str">
        <x:v>Cuauhtémoc</x:v>
      </x:c>
      <x:c r="B102" s="41" t="n">
        <x:v>2010</x:v>
      </x:c>
      <x:c r="C102" s="52" t="n">
        <x:f>INDEX(Population!$B$5:$R$20,MATCH(A102,Population!$A$5:$A$20,0),MATCH(B102,Population!$B$4:$R$4,0))</x:f>
        <x:v>531831</x:v>
      </x:c>
      <x:c r="D102" s="50" t="n">
        <x:f>COUNTIFS('Third Space Catalog'!$C:$C,A102,'Third Space Catalog'!$B:$B,"Museum",'Third Space Catalog'!$D:$D,"&lt;="&amp;B102,'Third Space Catalog'!$I:$I,1)</x:f>
        <x:v>13</x:v>
      </x:c>
      <x:c r="E102" s="50" t="n">
        <x:f>COUNTIFS('Third Space Catalog'!$C:$C,A102,'Third Space Catalog'!$B:$B,"Library",'Third Space Catalog'!$D:$D,"&lt;="&amp;B102,'Third Space Catalog'!$I:$I,1)</x:f>
        <x:v>2</x:v>
      </x:c>
      <x:c r="F102" s="50" t="n">
        <x:f>D102+E102</x:f>
        <x:v>15</x:v>
      </x:c>
      <x:c r="G102" s="53" t="n">
        <x:f>IFERROR(F102/C102*100000,0)</x:f>
        <x:v>2.820444840560253</x:v>
      </x:c>
      <x:c r="H102" s="53" t="n">
        <x:f>IFERROR(D102/C102*100000,0)</x:f>
        <x:v>2.4443855284855527</x:v>
      </x:c>
      <x:c r="I102" s="53" t="n">
        <x:f>IFERROR(E102/C102*100000,0)</x:f>
        <x:v>0.37605931207470045</x:v>
      </x:c>
      <x:c r="J102" s="41" t="str">
        <x:v>Count where opening year &lt;= decade and Include in metric = 1</x:v>
      </x:c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41" t="str">
        <x:v>Cuauhtémoc</x:v>
      </x:c>
      <x:c r="B103" s="41" t="n">
        <x:v>2020</x:v>
      </x:c>
      <x:c r="C103" s="52" t="n">
        <x:f>INDEX(Population!$B$5:$R$20,MATCH(A103,Population!$A$5:$A$20,0),MATCH(B103,Population!$B$4:$R$4,0))</x:f>
        <x:v>545884</x:v>
      </x:c>
      <x:c r="D103" s="50" t="n">
        <x:f>COUNTIFS('Third Space Catalog'!$C:$C,A103,'Third Space Catalog'!$B:$B,"Museum",'Third Space Catalog'!$D:$D,"&lt;="&amp;B103,'Third Space Catalog'!$I:$I,1)</x:f>
        <x:v>13</x:v>
      </x:c>
      <x:c r="E103" s="50" t="n">
        <x:f>COUNTIFS('Third Space Catalog'!$C:$C,A103,'Third Space Catalog'!$B:$B,"Library",'Third Space Catalog'!$D:$D,"&lt;="&amp;B103,'Third Space Catalog'!$I:$I,1)</x:f>
        <x:v>2</x:v>
      </x:c>
      <x:c r="F103" s="50" t="n">
        <x:f>D103+E103</x:f>
        <x:v>15</x:v>
      </x:c>
      <x:c r="G103" s="53" t="n">
        <x:f>IFERROR(F103/C103*100000,0)</x:f>
        <x:v>2.7478365367001047</x:v>
      </x:c>
      <x:c r="H103" s="53" t="n">
        <x:f>IFERROR(D103/C103*100000,0)</x:f>
        <x:v>2.3814583318067575</x:v>
      </x:c>
      <x:c r="I103" s="53" t="n">
        <x:f>IFERROR(E103/C103*100000,0)</x:f>
        <x:v>0.3663782048933473</x:v>
      </x:c>
      <x:c r="J103" s="41" t="str">
        <x:v>Count where opening year &lt;= decade and Include in metric = 1</x:v>
      </x:c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41" t="str">
        <x:v>Gustavo A. Madero</x:v>
      </x:c>
      <x:c r="B104" s="41" t="n">
        <x:v>1860</x:v>
      </x:c>
      <x:c r="C104" s="52" t="n">
        <x:f>INDEX(Population!$B$5:$R$20,MATCH(A104,Population!$A$5:$A$20,0),MATCH(B104,Population!$B$4:$R$4,0))</x:f>
        <x:v>4469</x:v>
      </x:c>
      <x:c r="D104" s="50" t="n">
        <x:f>COUNTIFS('Third Space Catalog'!$C:$C,A104,'Third Space Catalog'!$B:$B,"Museum",'Third Space Catalog'!$D:$D,"&lt;="&amp;B104,'Third Space Catalog'!$I:$I,1)</x:f>
        <x:v>0</x:v>
      </x:c>
      <x:c r="E104" s="50" t="n">
        <x:f>COUNTIFS('Third Space Catalog'!$C:$C,A104,'Third Space Catalog'!$B:$B,"Library",'Third Space Catalog'!$D:$D,"&lt;="&amp;B104,'Third Space Catalog'!$I:$I,1)</x:f>
        <x:v>0</x:v>
      </x:c>
      <x:c r="F104" s="50" t="n">
        <x:f>D104+E104</x:f>
        <x:v>0</x:v>
      </x:c>
      <x:c r="G104" s="53" t="n">
        <x:f>IFERROR(F104/C104*100000,0)</x:f>
        <x:v>0</x:v>
      </x:c>
      <x:c r="H104" s="53" t="n">
        <x:f>IFERROR(D104/C104*100000,0)</x:f>
        <x:v>0</x:v>
      </x:c>
      <x:c r="I104" s="53" t="n">
        <x:f>IFERROR(E104/C104*100000,0)</x:f>
        <x:v>0</x:v>
      </x:c>
      <x:c r="J104" s="41" t="str">
        <x:v>Count where opening year &lt;= decade and Include in metric = 1</x:v>
      </x:c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41" t="str">
        <x:v>Gustavo A. Madero</x:v>
      </x:c>
      <x:c r="B105" s="41" t="n">
        <x:v>1870</x:v>
      </x:c>
      <x:c r="C105" s="52" t="n">
        <x:f>INDEX(Population!$B$5:$R$20,MATCH(A105,Population!$A$5:$A$20,0),MATCH(B105,Population!$B$4:$R$4,0))</x:f>
        <x:v>4875</x:v>
      </x:c>
      <x:c r="D105" s="50" t="n">
        <x:f>COUNTIFS('Third Space Catalog'!$C:$C,A105,'Third Space Catalog'!$B:$B,"Museum",'Third Space Catalog'!$D:$D,"&lt;="&amp;B105,'Third Space Catalog'!$I:$I,1)</x:f>
        <x:v>0</x:v>
      </x:c>
      <x:c r="E105" s="50" t="n">
        <x:f>COUNTIFS('Third Space Catalog'!$C:$C,A105,'Third Space Catalog'!$B:$B,"Library",'Third Space Catalog'!$D:$D,"&lt;="&amp;B105,'Third Space Catalog'!$I:$I,1)</x:f>
        <x:v>0</x:v>
      </x:c>
      <x:c r="F105" s="50" t="n">
        <x:f>D105+E105</x:f>
        <x:v>0</x:v>
      </x:c>
      <x:c r="G105" s="53" t="n">
        <x:f>IFERROR(F105/C105*100000,0)</x:f>
        <x:v>0</x:v>
      </x:c>
      <x:c r="H105" s="53" t="n">
        <x:f>IFERROR(D105/C105*100000,0)</x:f>
        <x:v>0</x:v>
      </x:c>
      <x:c r="I105" s="53" t="n">
        <x:f>IFERROR(E105/C105*100000,0)</x:f>
        <x:v>0</x:v>
      </x:c>
      <x:c r="J105" s="41" t="str">
        <x:v>Count where opening year &lt;= decade and Include in metric = 1</x:v>
      </x:c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41" t="str">
        <x:v>Gustavo A. Madero</x:v>
      </x:c>
      <x:c r="B106" s="41" t="n">
        <x:v>1880</x:v>
      </x:c>
      <x:c r="C106" s="52" t="n">
        <x:f>INDEX(Population!$B$5:$R$20,MATCH(A106,Population!$A$5:$A$20,0),MATCH(B106,Population!$B$4:$R$4,0))</x:f>
        <x:v>5891</x:v>
      </x:c>
      <x:c r="D106" s="50" t="n">
        <x:f>COUNTIFS('Third Space Catalog'!$C:$C,A106,'Third Space Catalog'!$B:$B,"Museum",'Third Space Catalog'!$D:$D,"&lt;="&amp;B106,'Third Space Catalog'!$I:$I,1)</x:f>
        <x:v>0</x:v>
      </x:c>
      <x:c r="E106" s="50" t="n">
        <x:f>COUNTIFS('Third Space Catalog'!$C:$C,A106,'Third Space Catalog'!$B:$B,"Library",'Third Space Catalog'!$D:$D,"&lt;="&amp;B106,'Third Space Catalog'!$I:$I,1)</x:f>
        <x:v>0</x:v>
      </x:c>
      <x:c r="F106" s="50" t="n">
        <x:f>D106+E106</x:f>
        <x:v>0</x:v>
      </x:c>
      <x:c r="G106" s="53" t="n">
        <x:f>IFERROR(F106/C106*100000,0)</x:f>
        <x:v>0</x:v>
      </x:c>
      <x:c r="H106" s="53" t="n">
        <x:f>IFERROR(D106/C106*100000,0)</x:f>
        <x:v>0</x:v>
      </x:c>
      <x:c r="I106" s="53" t="n">
        <x:f>IFERROR(E106/C106*100000,0)</x:f>
        <x:v>0</x:v>
      </x:c>
      <x:c r="J106" s="41" t="str">
        <x:v>Count where opening year &lt;= decade and Include in metric = 1</x:v>
      </x:c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41" t="str">
        <x:v>Gustavo A. Madero</x:v>
      </x:c>
      <x:c r="B107" s="41" t="n">
        <x:v>1890</x:v>
      </x:c>
      <x:c r="C107" s="52" t="n">
        <x:f>INDEX(Population!$B$5:$R$20,MATCH(A107,Population!$A$5:$A$20,0),MATCH(B107,Population!$B$4:$R$4,0))</x:f>
        <x:v>8125</x:v>
      </x:c>
      <x:c r="D107" s="50" t="n">
        <x:f>COUNTIFS('Third Space Catalog'!$C:$C,A107,'Third Space Catalog'!$B:$B,"Museum",'Third Space Catalog'!$D:$D,"&lt;="&amp;B107,'Third Space Catalog'!$I:$I,1)</x:f>
        <x:v>0</x:v>
      </x:c>
      <x:c r="E107" s="50" t="n">
        <x:f>COUNTIFS('Third Space Catalog'!$C:$C,A107,'Third Space Catalog'!$B:$B,"Library",'Third Space Catalog'!$D:$D,"&lt;="&amp;B107,'Third Space Catalog'!$I:$I,1)</x:f>
        <x:v>0</x:v>
      </x:c>
      <x:c r="F107" s="50" t="n">
        <x:f>D107+E107</x:f>
        <x:v>0</x:v>
      </x:c>
      <x:c r="G107" s="53" t="n">
        <x:f>IFERROR(F107/C107*100000,0)</x:f>
        <x:v>0</x:v>
      </x:c>
      <x:c r="H107" s="53" t="n">
        <x:f>IFERROR(D107/C107*100000,0)</x:f>
        <x:v>0</x:v>
      </x:c>
      <x:c r="I107" s="53" t="n">
        <x:f>IFERROR(E107/C107*100000,0)</x:f>
        <x:v>0</x:v>
      </x:c>
      <x:c r="J107" s="41" t="str">
        <x:v>Count where opening year &lt;= decade and Include in metric = 1</x:v>
      </x:c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41" t="str">
        <x:v>Gustavo A. Madero</x:v>
      </x:c>
      <x:c r="B108" s="41" t="n">
        <x:v>1900</x:v>
      </x:c>
      <x:c r="C108" s="52" t="n">
        <x:f>INDEX(Population!$B$5:$R$20,MATCH(A108,Population!$A$5:$A$20,0),MATCH(B108,Population!$B$4:$R$4,0))</x:f>
        <x:v>10995</x:v>
      </x:c>
      <x:c r="D108" s="50" t="n">
        <x:f>COUNTIFS('Third Space Catalog'!$C:$C,A108,'Third Space Catalog'!$B:$B,"Museum",'Third Space Catalog'!$D:$D,"&lt;="&amp;B108,'Third Space Catalog'!$I:$I,1)</x:f>
        <x:v>0</x:v>
      </x:c>
      <x:c r="E108" s="50" t="n">
        <x:f>COUNTIFS('Third Space Catalog'!$C:$C,A108,'Third Space Catalog'!$B:$B,"Library",'Third Space Catalog'!$D:$D,"&lt;="&amp;B108,'Third Space Catalog'!$I:$I,1)</x:f>
        <x:v>0</x:v>
      </x:c>
      <x:c r="F108" s="50" t="n">
        <x:f>D108+E108</x:f>
        <x:v>0</x:v>
      </x:c>
      <x:c r="G108" s="53" t="n">
        <x:f>IFERROR(F108/C108*100000,0)</x:f>
        <x:v>0</x:v>
      </x:c>
      <x:c r="H108" s="53" t="n">
        <x:f>IFERROR(D108/C108*100000,0)</x:f>
        <x:v>0</x:v>
      </x:c>
      <x:c r="I108" s="53" t="n">
        <x:f>IFERROR(E108/C108*100000,0)</x:f>
        <x:v>0</x:v>
      </x:c>
      <x:c r="J108" s="41" t="str">
        <x:v>Count where opening year &lt;= decade and Include in metric = 1</x:v>
      </x:c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41" t="str">
        <x:v>Gustavo A. Madero</x:v>
      </x:c>
      <x:c r="B109" s="41" t="n">
        <x:v>1910</x:v>
      </x:c>
      <x:c r="C109" s="52" t="n">
        <x:f>INDEX(Population!$B$5:$R$20,MATCH(A109,Population!$A$5:$A$20,0),MATCH(B109,Population!$B$4:$R$4,0))</x:f>
        <x:v>34375</x:v>
      </x:c>
      <x:c r="D109" s="50" t="n">
        <x:f>COUNTIFS('Third Space Catalog'!$C:$C,A109,'Third Space Catalog'!$B:$B,"Museum",'Third Space Catalog'!$D:$D,"&lt;="&amp;B109,'Third Space Catalog'!$I:$I,1)</x:f>
        <x:v>0</x:v>
      </x:c>
      <x:c r="E109" s="50" t="n">
        <x:f>COUNTIFS('Third Space Catalog'!$C:$C,A109,'Third Space Catalog'!$B:$B,"Library",'Third Space Catalog'!$D:$D,"&lt;="&amp;B109,'Third Space Catalog'!$I:$I,1)</x:f>
        <x:v>0</x:v>
      </x:c>
      <x:c r="F109" s="50" t="n">
        <x:f>D109+E109</x:f>
        <x:v>0</x:v>
      </x:c>
      <x:c r="G109" s="53" t="n">
        <x:f>IFERROR(F109/C109*100000,0)</x:f>
        <x:v>0</x:v>
      </x:c>
      <x:c r="H109" s="53" t="n">
        <x:f>IFERROR(D109/C109*100000,0)</x:f>
        <x:v>0</x:v>
      </x:c>
      <x:c r="I109" s="53" t="n">
        <x:f>IFERROR(E109/C109*100000,0)</x:f>
        <x:v>0</x:v>
      </x:c>
      <x:c r="J109" s="41" t="str">
        <x:v>Count where opening year &lt;= decade and Include in metric = 1</x:v>
      </x:c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41" t="str">
        <x:v>Gustavo A. Madero</x:v>
      </x:c>
      <x:c r="B110" s="41" t="n">
        <x:v>1920</x:v>
      </x:c>
      <x:c r="C110" s="52" t="n">
        <x:f>INDEX(Population!$B$5:$R$20,MATCH(A110,Population!$A$5:$A$20,0),MATCH(B110,Population!$B$4:$R$4,0))</x:f>
        <x:v>51913</x:v>
      </x:c>
      <x:c r="D110" s="50" t="n">
        <x:f>COUNTIFS('Third Space Catalog'!$C:$C,A110,'Third Space Catalog'!$B:$B,"Museum",'Third Space Catalog'!$D:$D,"&lt;="&amp;B110,'Third Space Catalog'!$I:$I,1)</x:f>
        <x:v>0</x:v>
      </x:c>
      <x:c r="E110" s="50" t="n">
        <x:f>COUNTIFS('Third Space Catalog'!$C:$C,A110,'Third Space Catalog'!$B:$B,"Library",'Third Space Catalog'!$D:$D,"&lt;="&amp;B110,'Third Space Catalog'!$I:$I,1)</x:f>
        <x:v>0</x:v>
      </x:c>
      <x:c r="F110" s="50" t="n">
        <x:f>D110+E110</x:f>
        <x:v>0</x:v>
      </x:c>
      <x:c r="G110" s="53" t="n">
        <x:f>IFERROR(F110/C110*100000,0)</x:f>
        <x:v>0</x:v>
      </x:c>
      <x:c r="H110" s="53" t="n">
        <x:f>IFERROR(D110/C110*100000,0)</x:f>
        <x:v>0</x:v>
      </x:c>
      <x:c r="I110" s="53" t="n">
        <x:f>IFERROR(E110/C110*100000,0)</x:f>
        <x:v>0</x:v>
      </x:c>
      <x:c r="J110" s="41" t="str">
        <x:v>Count where opening year &lt;= decade and Include in metric = 1</x:v>
      </x:c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41" t="str">
        <x:v>Gustavo A. Madero</x:v>
      </x:c>
      <x:c r="B111" s="41" t="n">
        <x:v>1930</x:v>
      </x:c>
      <x:c r="C111" s="52" t="n">
        <x:f>INDEX(Population!$B$5:$R$20,MATCH(A111,Population!$A$5:$A$20,0),MATCH(B111,Population!$B$4:$R$4,0))</x:f>
        <x:v>76467</x:v>
      </x:c>
      <x:c r="D111" s="50" t="n">
        <x:f>COUNTIFS('Third Space Catalog'!$C:$C,A111,'Third Space Catalog'!$B:$B,"Museum",'Third Space Catalog'!$D:$D,"&lt;="&amp;B111,'Third Space Catalog'!$I:$I,1)</x:f>
        <x:v>0</x:v>
      </x:c>
      <x:c r="E111" s="50" t="n">
        <x:f>COUNTIFS('Third Space Catalog'!$C:$C,A111,'Third Space Catalog'!$B:$B,"Library",'Third Space Catalog'!$D:$D,"&lt;="&amp;B111,'Third Space Catalog'!$I:$I,1)</x:f>
        <x:v>0</x:v>
      </x:c>
      <x:c r="F111" s="50" t="n">
        <x:f>D111+E111</x:f>
        <x:v>0</x:v>
      </x:c>
      <x:c r="G111" s="53" t="n">
        <x:f>IFERROR(F111/C111*100000,0)</x:f>
        <x:v>0</x:v>
      </x:c>
      <x:c r="H111" s="53" t="n">
        <x:f>IFERROR(D111/C111*100000,0)</x:f>
        <x:v>0</x:v>
      </x:c>
      <x:c r="I111" s="53" t="n">
        <x:f>IFERROR(E111/C111*100000,0)</x:f>
        <x:v>0</x:v>
      </x:c>
      <x:c r="J111" s="41" t="str">
        <x:v>Count where opening year &lt;= decade and Include in metric = 1</x:v>
      </x:c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41" t="str">
        <x:v>Gustavo A. Madero</x:v>
      </x:c>
      <x:c r="B112" s="41" t="n">
        <x:v>1940</x:v>
      </x:c>
      <x:c r="C112" s="52" t="n">
        <x:f>INDEX(Population!$B$5:$R$20,MATCH(A112,Population!$A$5:$A$20,0),MATCH(B112,Population!$B$4:$R$4,0))</x:f>
        <x:v>114516</x:v>
      </x:c>
      <x:c r="D112" s="50" t="n">
        <x:f>COUNTIFS('Third Space Catalog'!$C:$C,A112,'Third Space Catalog'!$B:$B,"Museum",'Third Space Catalog'!$D:$D,"&lt;="&amp;B112,'Third Space Catalog'!$I:$I,1)</x:f>
        <x:v>0</x:v>
      </x:c>
      <x:c r="E112" s="50" t="n">
        <x:f>COUNTIFS('Third Space Catalog'!$C:$C,A112,'Third Space Catalog'!$B:$B,"Library",'Third Space Catalog'!$D:$D,"&lt;="&amp;B112,'Third Space Catalog'!$I:$I,1)</x:f>
        <x:v>0</x:v>
      </x:c>
      <x:c r="F112" s="50" t="n">
        <x:f>D112+E112</x:f>
        <x:v>0</x:v>
      </x:c>
      <x:c r="G112" s="53" t="n">
        <x:f>IFERROR(F112/C112*100000,0)</x:f>
        <x:v>0</x:v>
      </x:c>
      <x:c r="H112" s="53" t="n">
        <x:f>IFERROR(D112/C112*100000,0)</x:f>
        <x:v>0</x:v>
      </x:c>
      <x:c r="I112" s="53" t="n">
        <x:f>IFERROR(E112/C112*100000,0)</x:f>
        <x:v>0</x:v>
      </x:c>
      <x:c r="J112" s="41" t="str">
        <x:v>Count where opening year &lt;= decade and Include in metric = 1</x:v>
      </x:c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41" t="str">
        <x:v>Gustavo A. Madero</x:v>
      </x:c>
      <x:c r="B113" s="41" t="n">
        <x:v>1950</x:v>
      </x:c>
      <x:c r="C113" s="52" t="n">
        <x:f>INDEX(Population!$B$5:$R$20,MATCH(A113,Population!$A$5:$A$20,0),MATCH(B113,Population!$B$4:$R$4,0))</x:f>
        <x:v>204833</x:v>
      </x:c>
      <x:c r="D113" s="50" t="n">
        <x:f>COUNTIFS('Third Space Catalog'!$C:$C,A113,'Third Space Catalog'!$B:$B,"Museum",'Third Space Catalog'!$D:$D,"&lt;="&amp;B113,'Third Space Catalog'!$I:$I,1)</x:f>
        <x:v>1</x:v>
      </x:c>
      <x:c r="E113" s="50" t="n">
        <x:f>COUNTIFS('Third Space Catalog'!$C:$C,A113,'Third Space Catalog'!$B:$B,"Library",'Third Space Catalog'!$D:$D,"&lt;="&amp;B113,'Third Space Catalog'!$I:$I,1)</x:f>
        <x:v>0</x:v>
      </x:c>
      <x:c r="F113" s="50" t="n">
        <x:f>D113+E113</x:f>
        <x:v>1</x:v>
      </x:c>
      <x:c r="G113" s="53" t="n">
        <x:f>IFERROR(F113/C113*100000,0)</x:f>
        <x:v>0.48820258454448257</x:v>
      </x:c>
      <x:c r="H113" s="53" t="n">
        <x:f>IFERROR(D113/C113*100000,0)</x:f>
        <x:v>0.48820258454448257</x:v>
      </x:c>
      <x:c r="I113" s="53" t="n">
        <x:f>IFERROR(E113/C113*100000,0)</x:f>
        <x:v>0</x:v>
      </x:c>
      <x:c r="J113" s="41" t="str">
        <x:v>Count where opening year &lt;= decade and Include in metric = 1</x:v>
      </x:c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41" t="str">
        <x:v>Gustavo A. Madero</x:v>
      </x:c>
      <x:c r="B114" s="41" t="n">
        <x:v>1960</x:v>
      </x:c>
      <x:c r="C114" s="52" t="n">
        <x:f>INDEX(Population!$B$5:$R$20,MATCH(A114,Population!$A$5:$A$20,0),MATCH(B114,Population!$B$4:$R$4,0))</x:f>
        <x:v>579180</x:v>
      </x:c>
      <x:c r="D114" s="50" t="n">
        <x:f>COUNTIFS('Third Space Catalog'!$C:$C,A114,'Third Space Catalog'!$B:$B,"Museum",'Third Space Catalog'!$D:$D,"&lt;="&amp;B114,'Third Space Catalog'!$I:$I,1)</x:f>
        <x:v>1</x:v>
      </x:c>
      <x:c r="E114" s="50" t="n">
        <x:f>COUNTIFS('Third Space Catalog'!$C:$C,A114,'Third Space Catalog'!$B:$B,"Library",'Third Space Catalog'!$D:$D,"&lt;="&amp;B114,'Third Space Catalog'!$I:$I,1)</x:f>
        <x:v>0</x:v>
      </x:c>
      <x:c r="F114" s="50" t="n">
        <x:f>D114+E114</x:f>
        <x:v>1</x:v>
      </x:c>
      <x:c r="G114" s="53" t="n">
        <x:f>IFERROR(F114/C114*100000,0)</x:f>
        <x:v>0.17265789564556788</x:v>
      </x:c>
      <x:c r="H114" s="53" t="n">
        <x:f>IFERROR(D114/C114*100000,0)</x:f>
        <x:v>0.17265789564556788</x:v>
      </x:c>
      <x:c r="I114" s="53" t="n">
        <x:f>IFERROR(E114/C114*100000,0)</x:f>
        <x:v>0</x:v>
      </x:c>
      <x:c r="J114" s="41" t="str">
        <x:v>Count where opening year &lt;= decade and Include in metric = 1</x:v>
      </x:c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41" t="str">
        <x:v>Gustavo A. Madero</x:v>
      </x:c>
      <x:c r="B115" s="41" t="n">
        <x:v>1970</x:v>
      </x:c>
      <x:c r="C115" s="52" t="n">
        <x:f>INDEX(Population!$B$5:$R$20,MATCH(A115,Population!$A$5:$A$20,0),MATCH(B115,Population!$B$4:$R$4,0))</x:f>
        <x:v>1186107</x:v>
      </x:c>
      <x:c r="D115" s="50" t="n">
        <x:f>COUNTIFS('Third Space Catalog'!$C:$C,A115,'Third Space Catalog'!$B:$B,"Museum",'Third Space Catalog'!$D:$D,"&lt;="&amp;B115,'Third Space Catalog'!$I:$I,1)</x:f>
        <x:v>2</x:v>
      </x:c>
      <x:c r="E115" s="50" t="n">
        <x:f>COUNTIFS('Third Space Catalog'!$C:$C,A115,'Third Space Catalog'!$B:$B,"Library",'Third Space Catalog'!$D:$D,"&lt;="&amp;B115,'Third Space Catalog'!$I:$I,1)</x:f>
        <x:v>0</x:v>
      </x:c>
      <x:c r="F115" s="50" t="n">
        <x:f>D115+E115</x:f>
        <x:v>2</x:v>
      </x:c>
      <x:c r="G115" s="53" t="n">
        <x:f>IFERROR(F115/C115*100000,0)</x:f>
        <x:v>0.1686188514189698</x:v>
      </x:c>
      <x:c r="H115" s="53" t="n">
        <x:f>IFERROR(D115/C115*100000,0)</x:f>
        <x:v>0.1686188514189698</x:v>
      </x:c>
      <x:c r="I115" s="53" t="n">
        <x:f>IFERROR(E115/C115*100000,0)</x:f>
        <x:v>0</x:v>
      </x:c>
      <x:c r="J115" s="41" t="str">
        <x:v>Count where opening year &lt;= decade and Include in metric = 1</x:v>
      </x:c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41" t="str">
        <x:v>Gustavo A. Madero</x:v>
      </x:c>
      <x:c r="B116" s="41" t="n">
        <x:v>1980</x:v>
      </x:c>
      <x:c r="C116" s="52" t="n">
        <x:f>INDEX(Population!$B$5:$R$20,MATCH(A116,Population!$A$5:$A$20,0),MATCH(B116,Population!$B$4:$R$4,0))</x:f>
        <x:v>1513360</x:v>
      </x:c>
      <x:c r="D116" s="50" t="n">
        <x:f>COUNTIFS('Third Space Catalog'!$C:$C,A116,'Third Space Catalog'!$B:$B,"Museum",'Third Space Catalog'!$D:$D,"&lt;="&amp;B116,'Third Space Catalog'!$I:$I,1)</x:f>
        <x:v>2</x:v>
      </x:c>
      <x:c r="E116" s="50" t="n">
        <x:f>COUNTIFS('Third Space Catalog'!$C:$C,A116,'Third Space Catalog'!$B:$B,"Library",'Third Space Catalog'!$D:$D,"&lt;="&amp;B116,'Third Space Catalog'!$I:$I,1)</x:f>
        <x:v>1</x:v>
      </x:c>
      <x:c r="F116" s="50" t="n">
        <x:f>D116+E116</x:f>
        <x:v>3</x:v>
      </x:c>
      <x:c r="G116" s="53" t="n">
        <x:f>IFERROR(F116/C116*100000,0)</x:f>
        <x:v>0.19823439234550932</x:v>
      </x:c>
      <x:c r="H116" s="53" t="n">
        <x:f>IFERROR(D116/C116*100000,0)</x:f>
        <x:v>0.13215626156367288</x:v>
      </x:c>
      <x:c r="I116" s="53" t="n">
        <x:f>IFERROR(E116/C116*100000,0)</x:f>
        <x:v>0.06607813078183644</x:v>
      </x:c>
      <x:c r="J116" s="41" t="str">
        <x:v>Count where opening year &lt;= decade and Include in metric = 1</x:v>
      </x:c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41" t="str">
        <x:v>Gustavo A. Madero</x:v>
      </x:c>
      <x:c r="B117" s="41" t="n">
        <x:v>1990</x:v>
      </x:c>
      <x:c r="C117" s="52" t="n">
        <x:f>INDEX(Population!$B$5:$R$20,MATCH(A117,Population!$A$5:$A$20,0),MATCH(B117,Population!$B$4:$R$4,0))</x:f>
        <x:v>1268068</x:v>
      </x:c>
      <x:c r="D117" s="50" t="n">
        <x:f>COUNTIFS('Third Space Catalog'!$C:$C,A117,'Third Space Catalog'!$B:$B,"Museum",'Third Space Catalog'!$D:$D,"&lt;="&amp;B117,'Third Space Catalog'!$I:$I,1)</x:f>
        <x:v>2</x:v>
      </x:c>
      <x:c r="E117" s="50" t="n">
        <x:f>COUNTIFS('Third Space Catalog'!$C:$C,A117,'Third Space Catalog'!$B:$B,"Library",'Third Space Catalog'!$D:$D,"&lt;="&amp;B117,'Third Space Catalog'!$I:$I,1)</x:f>
        <x:v>1</x:v>
      </x:c>
      <x:c r="F117" s="50" t="n">
        <x:f>D117+E117</x:f>
        <x:v>3</x:v>
      </x:c>
      <x:c r="G117" s="53" t="n">
        <x:f>IFERROR(F117/C117*100000,0)</x:f>
        <x:v>0.23658037266140303</x:v>
      </x:c>
      <x:c r="H117" s="53" t="n">
        <x:f>IFERROR(D117/C117*100000,0)</x:f>
        <x:v>0.15772024844093535</x:v>
      </x:c>
      <x:c r="I117" s="53" t="n">
        <x:f>IFERROR(E117/C117*100000,0)</x:f>
        <x:v>0.07886012422046768</x:v>
      </x:c>
      <x:c r="J117" s="41" t="str">
        <x:v>Count where opening year &lt;= decade and Include in metric = 1</x:v>
      </x:c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41" t="str">
        <x:v>Gustavo A. Madero</x:v>
      </x:c>
      <x:c r="B118" s="41" t="n">
        <x:v>2000</x:v>
      </x:c>
      <x:c r="C118" s="52" t="n">
        <x:f>INDEX(Population!$B$5:$R$20,MATCH(A118,Population!$A$5:$A$20,0),MATCH(B118,Population!$B$4:$R$4,0))</x:f>
        <x:v>1235542</x:v>
      </x:c>
      <x:c r="D118" s="50" t="n">
        <x:f>COUNTIFS('Third Space Catalog'!$C:$C,A118,'Third Space Catalog'!$B:$B,"Museum",'Third Space Catalog'!$D:$D,"&lt;="&amp;B118,'Third Space Catalog'!$I:$I,1)</x:f>
        <x:v>2</x:v>
      </x:c>
      <x:c r="E118" s="50" t="n">
        <x:f>COUNTIFS('Third Space Catalog'!$C:$C,A118,'Third Space Catalog'!$B:$B,"Library",'Third Space Catalog'!$D:$D,"&lt;="&amp;B118,'Third Space Catalog'!$I:$I,1)</x:f>
        <x:v>1</x:v>
      </x:c>
      <x:c r="F118" s="50" t="n">
        <x:f>D118+E118</x:f>
        <x:v>3</x:v>
      </x:c>
      <x:c r="G118" s="53" t="n">
        <x:f>IFERROR(F118/C118*100000,0)</x:f>
        <x:v>0.24280841930100314</x:v>
      </x:c>
      <x:c r="H118" s="53" t="n">
        <x:f>IFERROR(D118/C118*100000,0)</x:f>
        <x:v>0.1618722795340021</x:v>
      </x:c>
      <x:c r="I118" s="53" t="n">
        <x:f>IFERROR(E118/C118*100000,0)</x:f>
        <x:v>0.08093613976700105</x:v>
      </x:c>
      <x:c r="J118" s="41" t="str">
        <x:v>Count where opening year &lt;= decade and Include in metric = 1</x:v>
      </x:c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41" t="str">
        <x:v>Gustavo A. Madero</x:v>
      </x:c>
      <x:c r="B119" s="41" t="n">
        <x:v>2010</x:v>
      </x:c>
      <x:c r="C119" s="52" t="n">
        <x:f>INDEX(Population!$B$5:$R$20,MATCH(A119,Population!$A$5:$A$20,0),MATCH(B119,Population!$B$4:$R$4,0))</x:f>
        <x:v>1185772</x:v>
      </x:c>
      <x:c r="D119" s="50" t="n">
        <x:f>COUNTIFS('Third Space Catalog'!$C:$C,A119,'Third Space Catalog'!$B:$B,"Museum",'Third Space Catalog'!$D:$D,"&lt;="&amp;B119,'Third Space Catalog'!$I:$I,1)</x:f>
        <x:v>3</x:v>
      </x:c>
      <x:c r="E119" s="50" t="n">
        <x:f>COUNTIFS('Third Space Catalog'!$C:$C,A119,'Third Space Catalog'!$B:$B,"Library",'Third Space Catalog'!$D:$D,"&lt;="&amp;B119,'Third Space Catalog'!$I:$I,1)</x:f>
        <x:v>1</x:v>
      </x:c>
      <x:c r="F119" s="50" t="n">
        <x:f>D119+E119</x:f>
        <x:v>4</x:v>
      </x:c>
      <x:c r="G119" s="53" t="n">
        <x:f>IFERROR(F119/C119*100000,0)</x:f>
        <x:v>0.33733297800926315</x:v>
      </x:c>
      <x:c r="H119" s="53" t="n">
        <x:f>IFERROR(D119/C119*100000,0)</x:f>
        <x:v>0.2529997335069474</x:v>
      </x:c>
      <x:c r="I119" s="53" t="n">
        <x:f>IFERROR(E119/C119*100000,0)</x:f>
        <x:v>0.08433324450231579</x:v>
      </x:c>
      <x:c r="J119" s="41" t="str">
        <x:v>Count where opening year &lt;= decade and Include in metric = 1</x:v>
      </x:c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41" t="str">
        <x:v>Gustavo A. Madero</x:v>
      </x:c>
      <x:c r="B120" s="41" t="n">
        <x:v>2020</x:v>
      </x:c>
      <x:c r="C120" s="52" t="n">
        <x:f>INDEX(Population!$B$5:$R$20,MATCH(A120,Population!$A$5:$A$20,0),MATCH(B120,Population!$B$4:$R$4,0))</x:f>
        <x:v>1173351</x:v>
      </x:c>
      <x:c r="D120" s="50" t="n">
        <x:f>COUNTIFS('Third Space Catalog'!$C:$C,A120,'Third Space Catalog'!$B:$B,"Museum",'Third Space Catalog'!$D:$D,"&lt;="&amp;B120,'Third Space Catalog'!$I:$I,1)</x:f>
        <x:v>3</x:v>
      </x:c>
      <x:c r="E120" s="50" t="n">
        <x:f>COUNTIFS('Third Space Catalog'!$C:$C,A120,'Third Space Catalog'!$B:$B,"Library",'Third Space Catalog'!$D:$D,"&lt;="&amp;B120,'Third Space Catalog'!$I:$I,1)</x:f>
        <x:v>1</x:v>
      </x:c>
      <x:c r="F120" s="50" t="n">
        <x:f>D120+E120</x:f>
        <x:v>4</x:v>
      </x:c>
      <x:c r="G120" s="53" t="n">
        <x:f>IFERROR(F120/C120*100000,0)</x:f>
        <x:v>0.34090395798017814</x:v>
      </x:c>
      <x:c r="H120" s="53" t="n">
        <x:f>IFERROR(D120/C120*100000,0)</x:f>
        <x:v>0.25567796848513363</x:v>
      </x:c>
      <x:c r="I120" s="53" t="n">
        <x:f>IFERROR(E120/C120*100000,0)</x:f>
        <x:v>0.08522598949504454</x:v>
      </x:c>
      <x:c r="J120" s="41" t="str">
        <x:v>Count where opening year &lt;= decade and Include in metric = 1</x:v>
      </x:c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41" t="str">
        <x:v>Iztacalco</x:v>
      </x:c>
      <x:c r="B121" s="41" t="n">
        <x:v>1860</x:v>
      </x:c>
      <x:c r="C121" s="52" t="n">
        <x:f>INDEX(Population!$B$5:$R$20,MATCH(A121,Population!$A$5:$A$20,0),MATCH(B121,Population!$B$4:$R$4,0))</x:f>
        <x:v>2011</x:v>
      </x:c>
      <x:c r="D121" s="50" t="n">
        <x:f>COUNTIFS('Third Space Catalog'!$C:$C,A121,'Third Space Catalog'!$B:$B,"Museum",'Third Space Catalog'!$D:$D,"&lt;="&amp;B121,'Third Space Catalog'!$I:$I,1)</x:f>
        <x:v>0</x:v>
      </x:c>
      <x:c r="E121" s="50" t="n">
        <x:f>COUNTIFS('Third Space Catalog'!$C:$C,A121,'Third Space Catalog'!$B:$B,"Library",'Third Space Catalog'!$D:$D,"&lt;="&amp;B121,'Third Space Catalog'!$I:$I,1)</x:f>
        <x:v>0</x:v>
      </x:c>
      <x:c r="F121" s="50" t="n">
        <x:f>D121+E121</x:f>
        <x:v>0</x:v>
      </x:c>
      <x:c r="G121" s="53" t="n">
        <x:f>IFERROR(F121/C121*100000,0)</x:f>
        <x:v>0</x:v>
      </x:c>
      <x:c r="H121" s="53" t="n">
        <x:f>IFERROR(D121/C121*100000,0)</x:f>
        <x:v>0</x:v>
      </x:c>
      <x:c r="I121" s="53" t="n">
        <x:f>IFERROR(E121/C121*100000,0)</x:f>
        <x:v>0</x:v>
      </x:c>
      <x:c r="J121" s="41" t="str">
        <x:v>Count where opening year &lt;= decade and Include in metric = 1</x:v>
      </x:c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41" t="str">
        <x:v>Iztacalco</x:v>
      </x:c>
      <x:c r="B122" s="41" t="n">
        <x:v>1870</x:v>
      </x:c>
      <x:c r="C122" s="52" t="n">
        <x:f>INDEX(Population!$B$5:$R$20,MATCH(A122,Population!$A$5:$A$20,0),MATCH(B122,Population!$B$4:$R$4,0))</x:f>
        <x:v>2194</x:v>
      </x:c>
      <x:c r="D122" s="50" t="n">
        <x:f>COUNTIFS('Third Space Catalog'!$C:$C,A122,'Third Space Catalog'!$B:$B,"Museum",'Third Space Catalog'!$D:$D,"&lt;="&amp;B122,'Third Space Catalog'!$I:$I,1)</x:f>
        <x:v>0</x:v>
      </x:c>
      <x:c r="E122" s="50" t="n">
        <x:f>COUNTIFS('Third Space Catalog'!$C:$C,A122,'Third Space Catalog'!$B:$B,"Library",'Third Space Catalog'!$D:$D,"&lt;="&amp;B122,'Third Space Catalog'!$I:$I,1)</x:f>
        <x:v>0</x:v>
      </x:c>
      <x:c r="F122" s="50" t="n">
        <x:f>D122+E122</x:f>
        <x:v>0</x:v>
      </x:c>
      <x:c r="G122" s="53" t="n">
        <x:f>IFERROR(F122/C122*100000,0)</x:f>
        <x:v>0</x:v>
      </x:c>
      <x:c r="H122" s="53" t="n">
        <x:f>IFERROR(D122/C122*100000,0)</x:f>
        <x:v>0</x:v>
      </x:c>
      <x:c r="I122" s="53" t="n">
        <x:f>IFERROR(E122/C122*100000,0)</x:f>
        <x:v>0</x:v>
      </x:c>
      <x:c r="J122" s="41" t="str">
        <x:v>Count where opening year &lt;= decade and Include in metric = 1</x:v>
      </x:c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41" t="str">
        <x:v>Iztacalco</x:v>
      </x:c>
      <x:c r="B123" s="41" t="n">
        <x:v>1880</x:v>
      </x:c>
      <x:c r="C123" s="52" t="n">
        <x:f>INDEX(Population!$B$5:$R$20,MATCH(A123,Population!$A$5:$A$20,0),MATCH(B123,Population!$B$4:$R$4,0))</x:f>
        <x:v>2651</x:v>
      </x:c>
      <x:c r="D123" s="50" t="n">
        <x:f>COUNTIFS('Third Space Catalog'!$C:$C,A123,'Third Space Catalog'!$B:$B,"Museum",'Third Space Catalog'!$D:$D,"&lt;="&amp;B123,'Third Space Catalog'!$I:$I,1)</x:f>
        <x:v>0</x:v>
      </x:c>
      <x:c r="E123" s="50" t="n">
        <x:f>COUNTIFS('Third Space Catalog'!$C:$C,A123,'Third Space Catalog'!$B:$B,"Library",'Third Space Catalog'!$D:$D,"&lt;="&amp;B123,'Third Space Catalog'!$I:$I,1)</x:f>
        <x:v>0</x:v>
      </x:c>
      <x:c r="F123" s="50" t="n">
        <x:f>D123+E123</x:f>
        <x:v>0</x:v>
      </x:c>
      <x:c r="G123" s="53" t="n">
        <x:f>IFERROR(F123/C123*100000,0)</x:f>
        <x:v>0</x:v>
      </x:c>
      <x:c r="H123" s="53" t="n">
        <x:f>IFERROR(D123/C123*100000,0)</x:f>
        <x:v>0</x:v>
      </x:c>
      <x:c r="I123" s="53" t="n">
        <x:f>IFERROR(E123/C123*100000,0)</x:f>
        <x:v>0</x:v>
      </x:c>
      <x:c r="J123" s="41" t="str">
        <x:v>Count where opening year &lt;= decade and Include in metric = 1</x:v>
      </x:c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41" t="str">
        <x:v>Iztacalco</x:v>
      </x:c>
      <x:c r="B124" s="41" t="n">
        <x:v>1890</x:v>
      </x:c>
      <x:c r="C124" s="52" t="n">
        <x:f>INDEX(Population!$B$5:$R$20,MATCH(A124,Population!$A$5:$A$20,0),MATCH(B124,Population!$B$4:$R$4,0))</x:f>
        <x:v>3656</x:v>
      </x:c>
      <x:c r="D124" s="50" t="n">
        <x:f>COUNTIFS('Third Space Catalog'!$C:$C,A124,'Third Space Catalog'!$B:$B,"Museum",'Third Space Catalog'!$D:$D,"&lt;="&amp;B124,'Third Space Catalog'!$I:$I,1)</x:f>
        <x:v>0</x:v>
      </x:c>
      <x:c r="E124" s="50" t="n">
        <x:f>COUNTIFS('Third Space Catalog'!$C:$C,A124,'Third Space Catalog'!$B:$B,"Library",'Third Space Catalog'!$D:$D,"&lt;="&amp;B124,'Third Space Catalog'!$I:$I,1)</x:f>
        <x:v>0</x:v>
      </x:c>
      <x:c r="F124" s="50" t="n">
        <x:f>D124+E124</x:f>
        <x:v>0</x:v>
      </x:c>
      <x:c r="G124" s="53" t="n">
        <x:f>IFERROR(F124/C124*100000,0)</x:f>
        <x:v>0</x:v>
      </x:c>
      <x:c r="H124" s="53" t="n">
        <x:f>IFERROR(D124/C124*100000,0)</x:f>
        <x:v>0</x:v>
      </x:c>
      <x:c r="I124" s="53" t="n">
        <x:f>IFERROR(E124/C124*100000,0)</x:f>
        <x:v>0</x:v>
      </x:c>
      <x:c r="J124" s="41" t="str">
        <x:v>Count where opening year &lt;= decade and Include in metric = 1</x:v>
      </x:c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41" t="str">
        <x:v>Iztacalco</x:v>
      </x:c>
      <x:c r="B125" s="41" t="n">
        <x:v>1900</x:v>
      </x:c>
      <x:c r="C125" s="52" t="n">
        <x:f>INDEX(Population!$B$5:$R$20,MATCH(A125,Population!$A$5:$A$20,0),MATCH(B125,Population!$B$4:$R$4,0))</x:f>
        <x:v>4948</x:v>
      </x:c>
      <x:c r="D125" s="50" t="n">
        <x:f>COUNTIFS('Third Space Catalog'!$C:$C,A125,'Third Space Catalog'!$B:$B,"Museum",'Third Space Catalog'!$D:$D,"&lt;="&amp;B125,'Third Space Catalog'!$I:$I,1)</x:f>
        <x:v>0</x:v>
      </x:c>
      <x:c r="E125" s="50" t="n">
        <x:f>COUNTIFS('Third Space Catalog'!$C:$C,A125,'Third Space Catalog'!$B:$B,"Library",'Third Space Catalog'!$D:$D,"&lt;="&amp;B125,'Third Space Catalog'!$I:$I,1)</x:f>
        <x:v>0</x:v>
      </x:c>
      <x:c r="F125" s="50" t="n">
        <x:f>D125+E125</x:f>
        <x:v>0</x:v>
      </x:c>
      <x:c r="G125" s="53" t="n">
        <x:f>IFERROR(F125/C125*100000,0)</x:f>
        <x:v>0</x:v>
      </x:c>
      <x:c r="H125" s="53" t="n">
        <x:f>IFERROR(D125/C125*100000,0)</x:f>
        <x:v>0</x:v>
      </x:c>
      <x:c r="I125" s="53" t="n">
        <x:f>IFERROR(E125/C125*100000,0)</x:f>
        <x:v>0</x:v>
      </x:c>
      <x:c r="J125" s="41" t="str">
        <x:v>Count where opening year &lt;= decade and Include in metric = 1</x:v>
      </x:c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41" t="str">
        <x:v>Iztacalco</x:v>
      </x:c>
      <x:c r="B126" s="41" t="n">
        <x:v>1910</x:v>
      </x:c>
      <x:c r="C126" s="52" t="n">
        <x:f>INDEX(Population!$B$5:$R$20,MATCH(A126,Population!$A$5:$A$20,0),MATCH(B126,Population!$B$4:$R$4,0))</x:f>
        <x:v>7424</x:v>
      </x:c>
      <x:c r="D126" s="50" t="n">
        <x:f>COUNTIFS('Third Space Catalog'!$C:$C,A126,'Third Space Catalog'!$B:$B,"Museum",'Third Space Catalog'!$D:$D,"&lt;="&amp;B126,'Third Space Catalog'!$I:$I,1)</x:f>
        <x:v>0</x:v>
      </x:c>
      <x:c r="E126" s="50" t="n">
        <x:f>COUNTIFS('Third Space Catalog'!$C:$C,A126,'Third Space Catalog'!$B:$B,"Library",'Third Space Catalog'!$D:$D,"&lt;="&amp;B126,'Third Space Catalog'!$I:$I,1)</x:f>
        <x:v>0</x:v>
      </x:c>
      <x:c r="F126" s="50" t="n">
        <x:f>D126+E126</x:f>
        <x:v>0</x:v>
      </x:c>
      <x:c r="G126" s="53" t="n">
        <x:f>IFERROR(F126/C126*100000,0)</x:f>
        <x:v>0</x:v>
      </x:c>
      <x:c r="H126" s="53" t="n">
        <x:f>IFERROR(D126/C126*100000,0)</x:f>
        <x:v>0</x:v>
      </x:c>
      <x:c r="I126" s="53" t="n">
        <x:f>IFERROR(E126/C126*100000,0)</x:f>
        <x:v>0</x:v>
      </x:c>
      <x:c r="J126" s="41" t="str">
        <x:v>Count where opening year &lt;= decade and Include in metric = 1</x:v>
      </x:c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41" t="str">
        <x:v>Iztacalco</x:v>
      </x:c>
      <x:c r="B127" s="41" t="n">
        <x:v>1920</x:v>
      </x:c>
      <x:c r="C127" s="52" t="n">
        <x:f>INDEX(Population!$B$5:$R$20,MATCH(A127,Population!$A$5:$A$20,0),MATCH(B127,Population!$B$4:$R$4,0))</x:f>
        <x:v>9703</x:v>
      </x:c>
      <x:c r="D127" s="50" t="n">
        <x:f>COUNTIFS('Third Space Catalog'!$C:$C,A127,'Third Space Catalog'!$B:$B,"Museum",'Third Space Catalog'!$D:$D,"&lt;="&amp;B127,'Third Space Catalog'!$I:$I,1)</x:f>
        <x:v>0</x:v>
      </x:c>
      <x:c r="E127" s="50" t="n">
        <x:f>COUNTIFS('Third Space Catalog'!$C:$C,A127,'Third Space Catalog'!$B:$B,"Library",'Third Space Catalog'!$D:$D,"&lt;="&amp;B127,'Third Space Catalog'!$I:$I,1)</x:f>
        <x:v>0</x:v>
      </x:c>
      <x:c r="F127" s="50" t="n">
        <x:f>D127+E127</x:f>
        <x:v>0</x:v>
      </x:c>
      <x:c r="G127" s="53" t="n">
        <x:f>IFERROR(F127/C127*100000,0)</x:f>
        <x:v>0</x:v>
      </x:c>
      <x:c r="H127" s="53" t="n">
        <x:f>IFERROR(D127/C127*100000,0)</x:f>
        <x:v>0</x:v>
      </x:c>
      <x:c r="I127" s="53" t="n">
        <x:f>IFERROR(E127/C127*100000,0)</x:f>
        <x:v>0</x:v>
      </x:c>
      <x:c r="J127" s="41" t="str">
        <x:v>Count where opening year &lt;= decade and Include in metric = 1</x:v>
      </x:c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41" t="str">
        <x:v>Iztacalco</x:v>
      </x:c>
      <x:c r="B128" s="41" t="n">
        <x:v>1930</x:v>
      </x:c>
      <x:c r="C128" s="52" t="n">
        <x:f>INDEX(Population!$B$5:$R$20,MATCH(A128,Population!$A$5:$A$20,0),MATCH(B128,Population!$B$4:$R$4,0))</x:f>
        <x:v>13423</x:v>
      </x:c>
      <x:c r="D128" s="50" t="n">
        <x:f>COUNTIFS('Third Space Catalog'!$C:$C,A128,'Third Space Catalog'!$B:$B,"Museum",'Third Space Catalog'!$D:$D,"&lt;="&amp;B128,'Third Space Catalog'!$I:$I,1)</x:f>
        <x:v>0</x:v>
      </x:c>
      <x:c r="E128" s="50" t="n">
        <x:f>COUNTIFS('Third Space Catalog'!$C:$C,A128,'Third Space Catalog'!$B:$B,"Library",'Third Space Catalog'!$D:$D,"&lt;="&amp;B128,'Third Space Catalog'!$I:$I,1)</x:f>
        <x:v>0</x:v>
      </x:c>
      <x:c r="F128" s="50" t="n">
        <x:f>D128+E128</x:f>
        <x:v>0</x:v>
      </x:c>
      <x:c r="G128" s="53" t="n">
        <x:f>IFERROR(F128/C128*100000,0)</x:f>
        <x:v>0</x:v>
      </x:c>
      <x:c r="H128" s="53" t="n">
        <x:f>IFERROR(D128/C128*100000,0)</x:f>
        <x:v>0</x:v>
      </x:c>
      <x:c r="I128" s="53" t="n">
        <x:f>IFERROR(E128/C128*100000,0)</x:f>
        <x:v>0</x:v>
      </x:c>
      <x:c r="J128" s="41" t="str">
        <x:v>Count where opening year &lt;= decade and Include in metric = 1</x:v>
      </x:c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41" t="str">
        <x:v>Iztacalco</x:v>
      </x:c>
      <x:c r="B129" s="41" t="n">
        <x:v>1940</x:v>
      </x:c>
      <x:c r="C129" s="52" t="n">
        <x:f>INDEX(Population!$B$5:$R$20,MATCH(A129,Population!$A$5:$A$20,0),MATCH(B129,Population!$B$4:$R$4,0))</x:f>
        <x:v>19409</x:v>
      </x:c>
      <x:c r="D129" s="50" t="n">
        <x:f>COUNTIFS('Third Space Catalog'!$C:$C,A129,'Third Space Catalog'!$B:$B,"Museum",'Third Space Catalog'!$D:$D,"&lt;="&amp;B129,'Third Space Catalog'!$I:$I,1)</x:f>
        <x:v>0</x:v>
      </x:c>
      <x:c r="E129" s="50" t="n">
        <x:f>COUNTIFS('Third Space Catalog'!$C:$C,A129,'Third Space Catalog'!$B:$B,"Library",'Third Space Catalog'!$D:$D,"&lt;="&amp;B129,'Third Space Catalog'!$I:$I,1)</x:f>
        <x:v>0</x:v>
      </x:c>
      <x:c r="F129" s="50" t="n">
        <x:f>D129+E129</x:f>
        <x:v>0</x:v>
      </x:c>
      <x:c r="G129" s="53" t="n">
        <x:f>IFERROR(F129/C129*100000,0)</x:f>
        <x:v>0</x:v>
      </x:c>
      <x:c r="H129" s="53" t="n">
        <x:f>IFERROR(D129/C129*100000,0)</x:f>
        <x:v>0</x:v>
      </x:c>
      <x:c r="I129" s="53" t="n">
        <x:f>IFERROR(E129/C129*100000,0)</x:f>
        <x:v>0</x:v>
      </x:c>
      <x:c r="J129" s="41" t="str">
        <x:v>Count where opening year &lt;= decade and Include in metric = 1</x:v>
      </x:c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41" t="str">
        <x:v>Iztacalco</x:v>
      </x:c>
      <x:c r="B130" s="41" t="n">
        <x:v>1950</x:v>
      </x:c>
      <x:c r="C130" s="52" t="n">
        <x:f>INDEX(Population!$B$5:$R$20,MATCH(A130,Population!$A$5:$A$20,0),MATCH(B130,Population!$B$4:$R$4,0))</x:f>
        <x:v>33945</x:v>
      </x:c>
      <x:c r="D130" s="50" t="n">
        <x:f>COUNTIFS('Third Space Catalog'!$C:$C,A130,'Third Space Catalog'!$B:$B,"Museum",'Third Space Catalog'!$D:$D,"&lt;="&amp;B130,'Third Space Catalog'!$I:$I,1)</x:f>
        <x:v>0</x:v>
      </x:c>
      <x:c r="E130" s="50" t="n">
        <x:f>COUNTIFS('Third Space Catalog'!$C:$C,A130,'Third Space Catalog'!$B:$B,"Library",'Third Space Catalog'!$D:$D,"&lt;="&amp;B130,'Third Space Catalog'!$I:$I,1)</x:f>
        <x:v>0</x:v>
      </x:c>
      <x:c r="F130" s="50" t="n">
        <x:f>D130+E130</x:f>
        <x:v>0</x:v>
      </x:c>
      <x:c r="G130" s="53" t="n">
        <x:f>IFERROR(F130/C130*100000,0)</x:f>
        <x:v>0</x:v>
      </x:c>
      <x:c r="H130" s="53" t="n">
        <x:f>IFERROR(D130/C130*100000,0)</x:f>
        <x:v>0</x:v>
      </x:c>
      <x:c r="I130" s="53" t="n">
        <x:f>IFERROR(E130/C130*100000,0)</x:f>
        <x:v>0</x:v>
      </x:c>
      <x:c r="J130" s="41" t="str">
        <x:v>Count where opening year &lt;= decade and Include in metric = 1</x:v>
      </x:c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41" t="str">
        <x:v>Iztacalco</x:v>
      </x:c>
      <x:c r="B131" s="41" t="n">
        <x:v>1960</x:v>
      </x:c>
      <x:c r="C131" s="52" t="n">
        <x:f>INDEX(Population!$B$5:$R$20,MATCH(A131,Population!$A$5:$A$20,0),MATCH(B131,Population!$B$4:$R$4,0))</x:f>
        <x:v>198904</x:v>
      </x:c>
      <x:c r="D131" s="50" t="n">
        <x:f>COUNTIFS('Third Space Catalog'!$C:$C,A131,'Third Space Catalog'!$B:$B,"Museum",'Third Space Catalog'!$D:$D,"&lt;="&amp;B131,'Third Space Catalog'!$I:$I,1)</x:f>
        <x:v>0</x:v>
      </x:c>
      <x:c r="E131" s="50" t="n">
        <x:f>COUNTIFS('Third Space Catalog'!$C:$C,A131,'Third Space Catalog'!$B:$B,"Library",'Third Space Catalog'!$D:$D,"&lt;="&amp;B131,'Third Space Catalog'!$I:$I,1)</x:f>
        <x:v>0</x:v>
      </x:c>
      <x:c r="F131" s="50" t="n">
        <x:f>D131+E131</x:f>
        <x:v>0</x:v>
      </x:c>
      <x:c r="G131" s="53" t="n">
        <x:f>IFERROR(F131/C131*100000,0)</x:f>
        <x:v>0</x:v>
      </x:c>
      <x:c r="H131" s="53" t="n">
        <x:f>IFERROR(D131/C131*100000,0)</x:f>
        <x:v>0</x:v>
      </x:c>
      <x:c r="I131" s="53" t="n">
        <x:f>IFERROR(E131/C131*100000,0)</x:f>
        <x:v>0</x:v>
      </x:c>
      <x:c r="J131" s="41" t="str">
        <x:v>Count where opening year &lt;= decade and Include in metric = 1</x:v>
      </x:c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41" t="str">
        <x:v>Iztacalco</x:v>
      </x:c>
      <x:c r="B132" s="41" t="n">
        <x:v>1970</x:v>
      </x:c>
      <x:c r="C132" s="52" t="n">
        <x:f>INDEX(Population!$B$5:$R$20,MATCH(A132,Population!$A$5:$A$20,0),MATCH(B132,Population!$B$4:$R$4,0))</x:f>
        <x:v>477331</x:v>
      </x:c>
      <x:c r="D132" s="50" t="n">
        <x:f>COUNTIFS('Third Space Catalog'!$C:$C,A132,'Third Space Catalog'!$B:$B,"Museum",'Third Space Catalog'!$D:$D,"&lt;="&amp;B132,'Third Space Catalog'!$I:$I,1)</x:f>
        <x:v>0</x:v>
      </x:c>
      <x:c r="E132" s="50" t="n">
        <x:f>COUNTIFS('Third Space Catalog'!$C:$C,A132,'Third Space Catalog'!$B:$B,"Library",'Third Space Catalog'!$D:$D,"&lt;="&amp;B132,'Third Space Catalog'!$I:$I,1)</x:f>
        <x:v>0</x:v>
      </x:c>
      <x:c r="F132" s="50" t="n">
        <x:f>D132+E132</x:f>
        <x:v>0</x:v>
      </x:c>
      <x:c r="G132" s="53" t="n">
        <x:f>IFERROR(F132/C132*100000,0)</x:f>
        <x:v>0</x:v>
      </x:c>
      <x:c r="H132" s="53" t="n">
        <x:f>IFERROR(D132/C132*100000,0)</x:f>
        <x:v>0</x:v>
      </x:c>
      <x:c r="I132" s="53" t="n">
        <x:f>IFERROR(E132/C132*100000,0)</x:f>
        <x:v>0</x:v>
      </x:c>
      <x:c r="J132" s="41" t="str">
        <x:v>Count where opening year &lt;= decade and Include in metric = 1</x:v>
      </x:c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41" t="str">
        <x:v>Iztacalco</x:v>
      </x:c>
      <x:c r="B133" s="41" t="n">
        <x:v>1980</x:v>
      </x:c>
      <x:c r="C133" s="52" t="n">
        <x:f>INDEX(Population!$B$5:$R$20,MATCH(A133,Population!$A$5:$A$20,0),MATCH(B133,Population!$B$4:$R$4,0))</x:f>
        <x:v>570377</x:v>
      </x:c>
      <x:c r="D133" s="50" t="n">
        <x:f>COUNTIFS('Third Space Catalog'!$C:$C,A133,'Third Space Catalog'!$B:$B,"Museum",'Third Space Catalog'!$D:$D,"&lt;="&amp;B133,'Third Space Catalog'!$I:$I,1)</x:f>
        <x:v>0</x:v>
      </x:c>
      <x:c r="E133" s="50" t="n">
        <x:f>COUNTIFS('Third Space Catalog'!$C:$C,A133,'Third Space Catalog'!$B:$B,"Library",'Third Space Catalog'!$D:$D,"&lt;="&amp;B133,'Third Space Catalog'!$I:$I,1)</x:f>
        <x:v>1</x:v>
      </x:c>
      <x:c r="F133" s="50" t="n">
        <x:f>D133+E133</x:f>
        <x:v>1</x:v>
      </x:c>
      <x:c r="G133" s="53" t="n">
        <x:f>IFERROR(F133/C133*100000,0)</x:f>
        <x:v>0.17532263748362925</x:v>
      </x:c>
      <x:c r="H133" s="53" t="n">
        <x:f>IFERROR(D133/C133*100000,0)</x:f>
        <x:v>0</x:v>
      </x:c>
      <x:c r="I133" s="53" t="n">
        <x:f>IFERROR(E133/C133*100000,0)</x:f>
        <x:v>0.17532263748362925</x:v>
      </x:c>
      <x:c r="J133" s="41" t="str">
        <x:v>Count where opening year &lt;= decade and Include in metric = 1</x:v>
      </x:c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41" t="str">
        <x:v>Iztacalco</x:v>
      </x:c>
      <x:c r="B134" s="41" t="n">
        <x:v>1990</x:v>
      </x:c>
      <x:c r="C134" s="52" t="n">
        <x:f>INDEX(Population!$B$5:$R$20,MATCH(A134,Population!$A$5:$A$20,0),MATCH(B134,Population!$B$4:$R$4,0))</x:f>
        <x:v>448322</x:v>
      </x:c>
      <x:c r="D134" s="50" t="n">
        <x:f>COUNTIFS('Third Space Catalog'!$C:$C,A134,'Third Space Catalog'!$B:$B,"Museum",'Third Space Catalog'!$D:$D,"&lt;="&amp;B134,'Third Space Catalog'!$I:$I,1)</x:f>
        <x:v>0</x:v>
      </x:c>
      <x:c r="E134" s="50" t="n">
        <x:f>COUNTIFS('Third Space Catalog'!$C:$C,A134,'Third Space Catalog'!$B:$B,"Library",'Third Space Catalog'!$D:$D,"&lt;="&amp;B134,'Third Space Catalog'!$I:$I,1)</x:f>
        <x:v>1</x:v>
      </x:c>
      <x:c r="F134" s="50" t="n">
        <x:f>D134+E134</x:f>
        <x:v>1</x:v>
      </x:c>
      <x:c r="G134" s="53" t="n">
        <x:f>IFERROR(F134/C134*100000,0)</x:f>
        <x:v>0.22305396567645577</x:v>
      </x:c>
      <x:c r="H134" s="53" t="n">
        <x:f>IFERROR(D134/C134*100000,0)</x:f>
        <x:v>0</x:v>
      </x:c>
      <x:c r="I134" s="53" t="n">
        <x:f>IFERROR(E134/C134*100000,0)</x:f>
        <x:v>0.22305396567645577</x:v>
      </x:c>
      <x:c r="J134" s="41" t="str">
        <x:v>Count where opening year &lt;= decade and Include in metric = 1</x:v>
      </x:c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41" t="str">
        <x:v>Iztacalco</x:v>
      </x:c>
      <x:c r="B135" s="41" t="n">
        <x:v>2000</x:v>
      </x:c>
      <x:c r="C135" s="52" t="n">
        <x:f>INDEX(Population!$B$5:$R$20,MATCH(A135,Population!$A$5:$A$20,0),MATCH(B135,Population!$B$4:$R$4,0))</x:f>
        <x:v>411321</x:v>
      </x:c>
      <x:c r="D135" s="50" t="n">
        <x:f>COUNTIFS('Third Space Catalog'!$C:$C,A135,'Third Space Catalog'!$B:$B,"Museum",'Third Space Catalog'!$D:$D,"&lt;="&amp;B135,'Third Space Catalog'!$I:$I,1)</x:f>
        <x:v>0</x:v>
      </x:c>
      <x:c r="E135" s="50" t="n">
        <x:f>COUNTIFS('Third Space Catalog'!$C:$C,A135,'Third Space Catalog'!$B:$B,"Library",'Third Space Catalog'!$D:$D,"&lt;="&amp;B135,'Third Space Catalog'!$I:$I,1)</x:f>
        <x:v>1</x:v>
      </x:c>
      <x:c r="F135" s="50" t="n">
        <x:f>D135+E135</x:f>
        <x:v>1</x:v>
      </x:c>
      <x:c r="G135" s="53" t="n">
        <x:f>IFERROR(F135/C135*100000,0)</x:f>
        <x:v>0.24311912107575348</x:v>
      </x:c>
      <x:c r="H135" s="53" t="n">
        <x:f>IFERROR(D135/C135*100000,0)</x:f>
        <x:v>0</x:v>
      </x:c>
      <x:c r="I135" s="53" t="n">
        <x:f>IFERROR(E135/C135*100000,0)</x:f>
        <x:v>0.24311912107575348</x:v>
      </x:c>
      <x:c r="J135" s="41" t="str">
        <x:v>Count where opening year &lt;= decade and Include in metric = 1</x:v>
      </x:c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41" t="str">
        <x:v>Iztacalco</x:v>
      </x:c>
      <x:c r="B136" s="41" t="n">
        <x:v>2010</x:v>
      </x:c>
      <x:c r="C136" s="52" t="n">
        <x:f>INDEX(Population!$B$5:$R$20,MATCH(A136,Population!$A$5:$A$20,0),MATCH(B136,Population!$B$4:$R$4,0))</x:f>
        <x:v>384326</x:v>
      </x:c>
      <x:c r="D136" s="50" t="n">
        <x:f>COUNTIFS('Third Space Catalog'!$C:$C,A136,'Third Space Catalog'!$B:$B,"Museum",'Third Space Catalog'!$D:$D,"&lt;="&amp;B136,'Third Space Catalog'!$I:$I,1)</x:f>
        <x:v>1</x:v>
      </x:c>
      <x:c r="E136" s="50" t="n">
        <x:f>COUNTIFS('Third Space Catalog'!$C:$C,A136,'Third Space Catalog'!$B:$B,"Library",'Third Space Catalog'!$D:$D,"&lt;="&amp;B136,'Third Space Catalog'!$I:$I,1)</x:f>
        <x:v>1</x:v>
      </x:c>
      <x:c r="F136" s="50" t="n">
        <x:f>D136+E136</x:f>
        <x:v>2</x:v>
      </x:c>
      <x:c r="G136" s="53" t="n">
        <x:f>IFERROR(F136/C136*100000,0)</x:f>
        <x:v>0.5203915425966498</x:v>
      </x:c>
      <x:c r="H136" s="53" t="n">
        <x:f>IFERROR(D136/C136*100000,0)</x:f>
        <x:v>0.2601957712983249</x:v>
      </x:c>
      <x:c r="I136" s="53" t="n">
        <x:f>IFERROR(E136/C136*100000,0)</x:f>
        <x:v>0.2601957712983249</x:v>
      </x:c>
      <x:c r="J136" s="41" t="str">
        <x:v>Count where opening year &lt;= decade and Include in metric = 1</x:v>
      </x:c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41" t="str">
        <x:v>Iztacalco</x:v>
      </x:c>
      <x:c r="B137" s="41" t="n">
        <x:v>2020</x:v>
      </x:c>
      <x:c r="C137" s="52" t="n">
        <x:f>INDEX(Population!$B$5:$R$20,MATCH(A137,Population!$A$5:$A$20,0),MATCH(B137,Population!$B$4:$R$4,0))</x:f>
        <x:v>404695</x:v>
      </x:c>
      <x:c r="D137" s="50" t="n">
        <x:f>COUNTIFS('Third Space Catalog'!$C:$C,A137,'Third Space Catalog'!$B:$B,"Museum",'Third Space Catalog'!$D:$D,"&lt;="&amp;B137,'Third Space Catalog'!$I:$I,1)</x:f>
        <x:v>1</x:v>
      </x:c>
      <x:c r="E137" s="50" t="n">
        <x:f>COUNTIFS('Third Space Catalog'!$C:$C,A137,'Third Space Catalog'!$B:$B,"Library",'Third Space Catalog'!$D:$D,"&lt;="&amp;B137,'Third Space Catalog'!$I:$I,1)</x:f>
        <x:v>1</x:v>
      </x:c>
      <x:c r="F137" s="50" t="n">
        <x:f>D137+E137</x:f>
        <x:v>2</x:v>
      </x:c>
      <x:c r="G137" s="53" t="n">
        <x:f>IFERROR(F137/C137*100000,0)</x:f>
        <x:v>0.49419933530189397</x:v>
      </x:c>
      <x:c r="H137" s="53" t="n">
        <x:f>IFERROR(D137/C137*100000,0)</x:f>
        <x:v>0.24709966765094699</x:v>
      </x:c>
      <x:c r="I137" s="53" t="n">
        <x:f>IFERROR(E137/C137*100000,0)</x:f>
        <x:v>0.24709966765094699</x:v>
      </x:c>
      <x:c r="J137" s="41" t="str">
        <x:v>Count where opening year &lt;= decade and Include in metric = 1</x:v>
      </x:c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41" t="str">
        <x:v>Iztapalapa</x:v>
      </x:c>
      <x:c r="B138" s="41" t="n">
        <x:v>1860</x:v>
      </x:c>
      <x:c r="C138" s="52" t="n">
        <x:f>INDEX(Population!$B$5:$R$20,MATCH(A138,Population!$A$5:$A$20,0),MATCH(B138,Population!$B$4:$R$4,0))</x:f>
        <x:v>5363</x:v>
      </x:c>
      <x:c r="D138" s="50" t="n">
        <x:f>COUNTIFS('Third Space Catalog'!$C:$C,A138,'Third Space Catalog'!$B:$B,"Museum",'Third Space Catalog'!$D:$D,"&lt;="&amp;B138,'Third Space Catalog'!$I:$I,1)</x:f>
        <x:v>0</x:v>
      </x:c>
      <x:c r="E138" s="50" t="n">
        <x:f>COUNTIFS('Third Space Catalog'!$C:$C,A138,'Third Space Catalog'!$B:$B,"Library",'Third Space Catalog'!$D:$D,"&lt;="&amp;B138,'Third Space Catalog'!$I:$I,1)</x:f>
        <x:v>0</x:v>
      </x:c>
      <x:c r="F138" s="50" t="n">
        <x:f>D138+E138</x:f>
        <x:v>0</x:v>
      </x:c>
      <x:c r="G138" s="53" t="n">
        <x:f>IFERROR(F138/C138*100000,0)</x:f>
        <x:v>0</x:v>
      </x:c>
      <x:c r="H138" s="53" t="n">
        <x:f>IFERROR(D138/C138*100000,0)</x:f>
        <x:v>0</x:v>
      </x:c>
      <x:c r="I138" s="53" t="n">
        <x:f>IFERROR(E138/C138*100000,0)</x:f>
        <x:v>0</x:v>
      </x:c>
      <x:c r="J138" s="41" t="str">
        <x:v>Count where opening year &lt;= decade and Include in metric = 1</x:v>
      </x:c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41" t="str">
        <x:v>Iztapalapa</x:v>
      </x:c>
      <x:c r="B139" s="41" t="n">
        <x:v>1870</x:v>
      </x:c>
      <x:c r="C139" s="52" t="n">
        <x:f>INDEX(Population!$B$5:$R$20,MATCH(A139,Population!$A$5:$A$20,0),MATCH(B139,Population!$B$4:$R$4,0))</x:f>
        <x:v>5850</x:v>
      </x:c>
      <x:c r="D139" s="50" t="n">
        <x:f>COUNTIFS('Third Space Catalog'!$C:$C,A139,'Third Space Catalog'!$B:$B,"Museum",'Third Space Catalog'!$D:$D,"&lt;="&amp;B139,'Third Space Catalog'!$I:$I,1)</x:f>
        <x:v>0</x:v>
      </x:c>
      <x:c r="E139" s="50" t="n">
        <x:f>COUNTIFS('Third Space Catalog'!$C:$C,A139,'Third Space Catalog'!$B:$B,"Library",'Third Space Catalog'!$D:$D,"&lt;="&amp;B139,'Third Space Catalog'!$I:$I,1)</x:f>
        <x:v>0</x:v>
      </x:c>
      <x:c r="F139" s="50" t="n">
        <x:f>D139+E139</x:f>
        <x:v>0</x:v>
      </x:c>
      <x:c r="G139" s="53" t="n">
        <x:f>IFERROR(F139/C139*100000,0)</x:f>
        <x:v>0</x:v>
      </x:c>
      <x:c r="H139" s="53" t="n">
        <x:f>IFERROR(D139/C139*100000,0)</x:f>
        <x:v>0</x:v>
      </x:c>
      <x:c r="I139" s="53" t="n">
        <x:f>IFERROR(E139/C139*100000,0)</x:f>
        <x:v>0</x:v>
      </x:c>
      <x:c r="J139" s="41" t="str">
        <x:v>Count where opening year &lt;= decade and Include in metric = 1</x:v>
      </x:c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41" t="str">
        <x:v>Iztapalapa</x:v>
      </x:c>
      <x:c r="B140" s="41" t="n">
        <x:v>1880</x:v>
      </x:c>
      <x:c r="C140" s="52" t="n">
        <x:f>INDEX(Population!$B$5:$R$20,MATCH(A140,Population!$A$5:$A$20,0),MATCH(B140,Population!$B$4:$R$4,0))</x:f>
        <x:v>7069</x:v>
      </x:c>
      <x:c r="D140" s="50" t="n">
        <x:f>COUNTIFS('Third Space Catalog'!$C:$C,A140,'Third Space Catalog'!$B:$B,"Museum",'Third Space Catalog'!$D:$D,"&lt;="&amp;B140,'Third Space Catalog'!$I:$I,1)</x:f>
        <x:v>0</x:v>
      </x:c>
      <x:c r="E140" s="50" t="n">
        <x:f>COUNTIFS('Third Space Catalog'!$C:$C,A140,'Third Space Catalog'!$B:$B,"Library",'Third Space Catalog'!$D:$D,"&lt;="&amp;B140,'Third Space Catalog'!$I:$I,1)</x:f>
        <x:v>0</x:v>
      </x:c>
      <x:c r="F140" s="50" t="n">
        <x:f>D140+E140</x:f>
        <x:v>0</x:v>
      </x:c>
      <x:c r="G140" s="53" t="n">
        <x:f>IFERROR(F140/C140*100000,0)</x:f>
        <x:v>0</x:v>
      </x:c>
      <x:c r="H140" s="53" t="n">
        <x:f>IFERROR(D140/C140*100000,0)</x:f>
        <x:v>0</x:v>
      </x:c>
      <x:c r="I140" s="53" t="n">
        <x:f>IFERROR(E140/C140*100000,0)</x:f>
        <x:v>0</x:v>
      </x:c>
      <x:c r="J140" s="41" t="str">
        <x:v>Count where opening year &lt;= decade and Include in metric = 1</x:v>
      </x:c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41" t="str">
        <x:v>Iztapalapa</x:v>
      </x:c>
      <x:c r="B141" s="41" t="n">
        <x:v>1890</x:v>
      </x:c>
      <x:c r="C141" s="52" t="n">
        <x:f>INDEX(Population!$B$5:$R$20,MATCH(A141,Population!$A$5:$A$20,0),MATCH(B141,Population!$B$4:$R$4,0))</x:f>
        <x:v>9750</x:v>
      </x:c>
      <x:c r="D141" s="50" t="n">
        <x:f>COUNTIFS('Third Space Catalog'!$C:$C,A141,'Third Space Catalog'!$B:$B,"Museum",'Third Space Catalog'!$D:$D,"&lt;="&amp;B141,'Third Space Catalog'!$I:$I,1)</x:f>
        <x:v>0</x:v>
      </x:c>
      <x:c r="E141" s="50" t="n">
        <x:f>COUNTIFS('Third Space Catalog'!$C:$C,A141,'Third Space Catalog'!$B:$B,"Library",'Third Space Catalog'!$D:$D,"&lt;="&amp;B141,'Third Space Catalog'!$I:$I,1)</x:f>
        <x:v>0</x:v>
      </x:c>
      <x:c r="F141" s="50" t="n">
        <x:f>D141+E141</x:f>
        <x:v>0</x:v>
      </x:c>
      <x:c r="G141" s="53" t="n">
        <x:f>IFERROR(F141/C141*100000,0)</x:f>
        <x:v>0</x:v>
      </x:c>
      <x:c r="H141" s="53" t="n">
        <x:f>IFERROR(D141/C141*100000,0)</x:f>
        <x:v>0</x:v>
      </x:c>
      <x:c r="I141" s="53" t="n">
        <x:f>IFERROR(E141/C141*100000,0)</x:f>
        <x:v>0</x:v>
      </x:c>
      <x:c r="J141" s="41" t="str">
        <x:v>Count where opening year &lt;= decade and Include in metric = 1</x:v>
      </x:c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41" t="str">
        <x:v>Iztapalapa</x:v>
      </x:c>
      <x:c r="B142" s="41" t="n">
        <x:v>1900</x:v>
      </x:c>
      <x:c r="C142" s="52" t="n">
        <x:f>INDEX(Population!$B$5:$R$20,MATCH(A142,Population!$A$5:$A$20,0),MATCH(B142,Population!$B$4:$R$4,0))</x:f>
        <x:v>13194</x:v>
      </x:c>
      <x:c r="D142" s="50" t="n">
        <x:f>COUNTIFS('Third Space Catalog'!$C:$C,A142,'Third Space Catalog'!$B:$B,"Museum",'Third Space Catalog'!$D:$D,"&lt;="&amp;B142,'Third Space Catalog'!$I:$I,1)</x:f>
        <x:v>0</x:v>
      </x:c>
      <x:c r="E142" s="50" t="n">
        <x:f>COUNTIFS('Third Space Catalog'!$C:$C,A142,'Third Space Catalog'!$B:$B,"Library",'Third Space Catalog'!$D:$D,"&lt;="&amp;B142,'Third Space Catalog'!$I:$I,1)</x:f>
        <x:v>0</x:v>
      </x:c>
      <x:c r="F142" s="50" t="n">
        <x:f>D142+E142</x:f>
        <x:v>0</x:v>
      </x:c>
      <x:c r="G142" s="53" t="n">
        <x:f>IFERROR(F142/C142*100000,0)</x:f>
        <x:v>0</x:v>
      </x:c>
      <x:c r="H142" s="53" t="n">
        <x:f>IFERROR(D142/C142*100000,0)</x:f>
        <x:v>0</x:v>
      </x:c>
      <x:c r="I142" s="53" t="n">
        <x:f>IFERROR(E142/C142*100000,0)</x:f>
        <x:v>0</x:v>
      </x:c>
      <x:c r="J142" s="41" t="str">
        <x:v>Count where opening year &lt;= decade and Include in metric = 1</x:v>
      </x:c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41" t="str">
        <x:v>Iztapalapa</x:v>
      </x:c>
      <x:c r="B143" s="41" t="n">
        <x:v>1910</x:v>
      </x:c>
      <x:c r="C143" s="52" t="n">
        <x:f>INDEX(Population!$B$5:$R$20,MATCH(A143,Population!$A$5:$A$20,0),MATCH(B143,Population!$B$4:$R$4,0))</x:f>
        <x:v>17879</x:v>
      </x:c>
      <x:c r="D143" s="50" t="n">
        <x:f>COUNTIFS('Third Space Catalog'!$C:$C,A143,'Third Space Catalog'!$B:$B,"Museum",'Third Space Catalog'!$D:$D,"&lt;="&amp;B143,'Third Space Catalog'!$I:$I,1)</x:f>
        <x:v>0</x:v>
      </x:c>
      <x:c r="E143" s="50" t="n">
        <x:f>COUNTIFS('Third Space Catalog'!$C:$C,A143,'Third Space Catalog'!$B:$B,"Library",'Third Space Catalog'!$D:$D,"&lt;="&amp;B143,'Third Space Catalog'!$I:$I,1)</x:f>
        <x:v>0</x:v>
      </x:c>
      <x:c r="F143" s="50" t="n">
        <x:f>D143+E143</x:f>
        <x:v>0</x:v>
      </x:c>
      <x:c r="G143" s="53" t="n">
        <x:f>IFERROR(F143/C143*100000,0)</x:f>
        <x:v>0</x:v>
      </x:c>
      <x:c r="H143" s="53" t="n">
        <x:f>IFERROR(D143/C143*100000,0)</x:f>
        <x:v>0</x:v>
      </x:c>
      <x:c r="I143" s="53" t="n">
        <x:f>IFERROR(E143/C143*100000,0)</x:f>
        <x:v>0</x:v>
      </x:c>
      <x:c r="J143" s="41" t="str">
        <x:v>Count where opening year &lt;= decade and Include in metric = 1</x:v>
      </x:c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41" t="str">
        <x:v>Iztapalapa</x:v>
      </x:c>
      <x:c r="B144" s="41" t="n">
        <x:v>1920</x:v>
      </x:c>
      <x:c r="C144" s="52" t="n">
        <x:f>INDEX(Population!$B$5:$R$20,MATCH(A144,Population!$A$5:$A$20,0),MATCH(B144,Population!$B$4:$R$4,0))</x:f>
        <x:v>22615</x:v>
      </x:c>
      <x:c r="D144" s="50" t="n">
        <x:f>COUNTIFS('Third Space Catalog'!$C:$C,A144,'Third Space Catalog'!$B:$B,"Museum",'Third Space Catalog'!$D:$D,"&lt;="&amp;B144,'Third Space Catalog'!$I:$I,1)</x:f>
        <x:v>0</x:v>
      </x:c>
      <x:c r="E144" s="50" t="n">
        <x:f>COUNTIFS('Third Space Catalog'!$C:$C,A144,'Third Space Catalog'!$B:$B,"Library",'Third Space Catalog'!$D:$D,"&lt;="&amp;B144,'Third Space Catalog'!$I:$I,1)</x:f>
        <x:v>0</x:v>
      </x:c>
      <x:c r="F144" s="50" t="n">
        <x:f>D144+E144</x:f>
        <x:v>0</x:v>
      </x:c>
      <x:c r="G144" s="53" t="n">
        <x:f>IFERROR(F144/C144*100000,0)</x:f>
        <x:v>0</x:v>
      </x:c>
      <x:c r="H144" s="53" t="n">
        <x:f>IFERROR(D144/C144*100000,0)</x:f>
        <x:v>0</x:v>
      </x:c>
      <x:c r="I144" s="53" t="n">
        <x:f>IFERROR(E144/C144*100000,0)</x:f>
        <x:v>0</x:v>
      </x:c>
      <x:c r="J144" s="41" t="str">
        <x:v>Count where opening year &lt;= decade and Include in metric = 1</x:v>
      </x:c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41" t="str">
        <x:v>Iztapalapa</x:v>
      </x:c>
      <x:c r="B145" s="41" t="n">
        <x:v>1930</x:v>
      </x:c>
      <x:c r="C145" s="52" t="n">
        <x:f>INDEX(Population!$B$5:$R$20,MATCH(A145,Population!$A$5:$A$20,0),MATCH(B145,Population!$B$4:$R$4,0))</x:f>
        <x:v>30787</x:v>
      </x:c>
      <x:c r="D145" s="50" t="n">
        <x:f>COUNTIFS('Third Space Catalog'!$C:$C,A145,'Third Space Catalog'!$B:$B,"Museum",'Third Space Catalog'!$D:$D,"&lt;="&amp;B145,'Third Space Catalog'!$I:$I,1)</x:f>
        <x:v>0</x:v>
      </x:c>
      <x:c r="E145" s="50" t="n">
        <x:f>COUNTIFS('Third Space Catalog'!$C:$C,A145,'Third Space Catalog'!$B:$B,"Library",'Third Space Catalog'!$D:$D,"&lt;="&amp;B145,'Third Space Catalog'!$I:$I,1)</x:f>
        <x:v>0</x:v>
      </x:c>
      <x:c r="F145" s="50" t="n">
        <x:f>D145+E145</x:f>
        <x:v>0</x:v>
      </x:c>
      <x:c r="G145" s="53" t="n">
        <x:f>IFERROR(F145/C145*100000,0)</x:f>
        <x:v>0</x:v>
      </x:c>
      <x:c r="H145" s="53" t="n">
        <x:f>IFERROR(D145/C145*100000,0)</x:f>
        <x:v>0</x:v>
      </x:c>
      <x:c r="I145" s="53" t="n">
        <x:f>IFERROR(E145/C145*100000,0)</x:f>
        <x:v>0</x:v>
      </x:c>
      <x:c r="J145" s="41" t="str">
        <x:v>Count where opening year &lt;= decade and Include in metric = 1</x:v>
      </x:c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41" t="str">
        <x:v>Iztapalapa</x:v>
      </x:c>
      <x:c r="B146" s="41" t="n">
        <x:v>1940</x:v>
      </x:c>
      <x:c r="C146" s="52" t="n">
        <x:f>INDEX(Population!$B$5:$R$20,MATCH(A146,Population!$A$5:$A$20,0),MATCH(B146,Population!$B$4:$R$4,0))</x:f>
        <x:v>44089</x:v>
      </x:c>
      <x:c r="D146" s="50" t="n">
        <x:f>COUNTIFS('Third Space Catalog'!$C:$C,A146,'Third Space Catalog'!$B:$B,"Museum",'Third Space Catalog'!$D:$D,"&lt;="&amp;B146,'Third Space Catalog'!$I:$I,1)</x:f>
        <x:v>0</x:v>
      </x:c>
      <x:c r="E146" s="50" t="n">
        <x:f>COUNTIFS('Third Space Catalog'!$C:$C,A146,'Third Space Catalog'!$B:$B,"Library",'Third Space Catalog'!$D:$D,"&lt;="&amp;B146,'Third Space Catalog'!$I:$I,1)</x:f>
        <x:v>0</x:v>
      </x:c>
      <x:c r="F146" s="50" t="n">
        <x:f>D146+E146</x:f>
        <x:v>0</x:v>
      </x:c>
      <x:c r="G146" s="53" t="n">
        <x:f>IFERROR(F146/C146*100000,0)</x:f>
        <x:v>0</x:v>
      </x:c>
      <x:c r="H146" s="53" t="n">
        <x:f>IFERROR(D146/C146*100000,0)</x:f>
        <x:v>0</x:v>
      </x:c>
      <x:c r="I146" s="53" t="n">
        <x:f>IFERROR(E146/C146*100000,0)</x:f>
        <x:v>0</x:v>
      </x:c>
      <x:c r="J146" s="41" t="str">
        <x:v>Count where opening year &lt;= decade and Include in metric = 1</x:v>
      </x:c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41" t="str">
        <x:v>Iztapalapa</x:v>
      </x:c>
      <x:c r="B147" s="41" t="n">
        <x:v>1950</x:v>
      </x:c>
      <x:c r="C147" s="52" t="n">
        <x:f>INDEX(Population!$B$5:$R$20,MATCH(A147,Population!$A$5:$A$20,0),MATCH(B147,Population!$B$4:$R$4,0))</x:f>
        <x:v>76621</x:v>
      </x:c>
      <x:c r="D147" s="50" t="n">
        <x:f>COUNTIFS('Third Space Catalog'!$C:$C,A147,'Third Space Catalog'!$B:$B,"Museum",'Third Space Catalog'!$D:$D,"&lt;="&amp;B147,'Third Space Catalog'!$I:$I,1)</x:f>
        <x:v>0</x:v>
      </x:c>
      <x:c r="E147" s="50" t="n">
        <x:f>COUNTIFS('Third Space Catalog'!$C:$C,A147,'Third Space Catalog'!$B:$B,"Library",'Third Space Catalog'!$D:$D,"&lt;="&amp;B147,'Third Space Catalog'!$I:$I,1)</x:f>
        <x:v>0</x:v>
      </x:c>
      <x:c r="F147" s="50" t="n">
        <x:f>D147+E147</x:f>
        <x:v>0</x:v>
      </x:c>
      <x:c r="G147" s="53" t="n">
        <x:f>IFERROR(F147/C147*100000,0)</x:f>
        <x:v>0</x:v>
      </x:c>
      <x:c r="H147" s="53" t="n">
        <x:f>IFERROR(D147/C147*100000,0)</x:f>
        <x:v>0</x:v>
      </x:c>
      <x:c r="I147" s="53" t="n">
        <x:f>IFERROR(E147/C147*100000,0)</x:f>
        <x:v>0</x:v>
      </x:c>
      <x:c r="J147" s="41" t="str">
        <x:v>Count where opening year &lt;= decade and Include in metric = 1</x:v>
      </x:c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41" t="str">
        <x:v>Iztapalapa</x:v>
      </x:c>
      <x:c r="B148" s="41" t="n">
        <x:v>1960</x:v>
      </x:c>
      <x:c r="C148" s="52" t="n">
        <x:f>INDEX(Population!$B$5:$R$20,MATCH(A148,Population!$A$5:$A$20,0),MATCH(B148,Population!$B$4:$R$4,0))</x:f>
        <x:v>254355</x:v>
      </x:c>
      <x:c r="D148" s="50" t="n">
        <x:f>COUNTIFS('Third Space Catalog'!$C:$C,A148,'Third Space Catalog'!$B:$B,"Museum",'Third Space Catalog'!$D:$D,"&lt;="&amp;B148,'Third Space Catalog'!$I:$I,1)</x:f>
        <x:v>0</x:v>
      </x:c>
      <x:c r="E148" s="50" t="n">
        <x:f>COUNTIFS('Third Space Catalog'!$C:$C,A148,'Third Space Catalog'!$B:$B,"Library",'Third Space Catalog'!$D:$D,"&lt;="&amp;B148,'Third Space Catalog'!$I:$I,1)</x:f>
        <x:v>0</x:v>
      </x:c>
      <x:c r="F148" s="50" t="n">
        <x:f>D148+E148</x:f>
        <x:v>0</x:v>
      </x:c>
      <x:c r="G148" s="53" t="n">
        <x:f>IFERROR(F148/C148*100000,0)</x:f>
        <x:v>0</x:v>
      </x:c>
      <x:c r="H148" s="53" t="n">
        <x:f>IFERROR(D148/C148*100000,0)</x:f>
        <x:v>0</x:v>
      </x:c>
      <x:c r="I148" s="53" t="n">
        <x:f>IFERROR(E148/C148*100000,0)</x:f>
        <x:v>0</x:v>
      </x:c>
      <x:c r="J148" s="41" t="str">
        <x:v>Count where opening year &lt;= decade and Include in metric = 1</x:v>
      </x:c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41" t="str">
        <x:v>Iztapalapa</x:v>
      </x:c>
      <x:c r="B149" s="41" t="n">
        <x:v>1970</x:v>
      </x:c>
      <x:c r="C149" s="52" t="n">
        <x:f>INDEX(Population!$B$5:$R$20,MATCH(A149,Population!$A$5:$A$20,0),MATCH(B149,Population!$B$4:$R$4,0))</x:f>
        <x:v>522095</x:v>
      </x:c>
      <x:c r="D149" s="50" t="n">
        <x:f>COUNTIFS('Third Space Catalog'!$C:$C,A149,'Third Space Catalog'!$B:$B,"Museum",'Third Space Catalog'!$D:$D,"&lt;="&amp;B149,'Third Space Catalog'!$I:$I,1)</x:f>
        <x:v>0</x:v>
      </x:c>
      <x:c r="E149" s="50" t="n">
        <x:f>COUNTIFS('Third Space Catalog'!$C:$C,A149,'Third Space Catalog'!$B:$B,"Library",'Third Space Catalog'!$D:$D,"&lt;="&amp;B149,'Third Space Catalog'!$I:$I,1)</x:f>
        <x:v>0</x:v>
      </x:c>
      <x:c r="F149" s="50" t="n">
        <x:f>D149+E149</x:f>
        <x:v>0</x:v>
      </x:c>
      <x:c r="G149" s="53" t="n">
        <x:f>IFERROR(F149/C149*100000,0)</x:f>
        <x:v>0</x:v>
      </x:c>
      <x:c r="H149" s="53" t="n">
        <x:f>IFERROR(D149/C149*100000,0)</x:f>
        <x:v>0</x:v>
      </x:c>
      <x:c r="I149" s="53" t="n">
        <x:f>IFERROR(E149/C149*100000,0)</x:f>
        <x:v>0</x:v>
      </x:c>
      <x:c r="J149" s="41" t="str">
        <x:v>Count where opening year &lt;= decade and Include in metric = 1</x:v>
      </x:c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41" t="str">
        <x:v>Iztapalapa</x:v>
      </x:c>
      <x:c r="B150" s="41" t="n">
        <x:v>1980</x:v>
      </x:c>
      <x:c r="C150" s="52" t="n">
        <x:f>INDEX(Population!$B$5:$R$20,MATCH(A150,Population!$A$5:$A$20,0),MATCH(B150,Population!$B$4:$R$4,0))</x:f>
        <x:v>1262354</x:v>
      </x:c>
      <x:c r="D150" s="50" t="n">
        <x:f>COUNTIFS('Third Space Catalog'!$C:$C,A150,'Third Space Catalog'!$B:$B,"Museum",'Third Space Catalog'!$D:$D,"&lt;="&amp;B150,'Third Space Catalog'!$I:$I,1)</x:f>
        <x:v>1</x:v>
      </x:c>
      <x:c r="E150" s="50" t="n">
        <x:f>COUNTIFS('Third Space Catalog'!$C:$C,A150,'Third Space Catalog'!$B:$B,"Library",'Third Space Catalog'!$D:$D,"&lt;="&amp;B150,'Third Space Catalog'!$I:$I,1)</x:f>
        <x:v>1</x:v>
      </x:c>
      <x:c r="F150" s="50" t="n">
        <x:f>D150+E150</x:f>
        <x:v>2</x:v>
      </x:c>
      <x:c r="G150" s="53" t="n">
        <x:f>IFERROR(F150/C150*100000,0)</x:f>
        <x:v>0.15843416347553854</x:v>
      </x:c>
      <x:c r="H150" s="53" t="n">
        <x:f>IFERROR(D150/C150*100000,0)</x:f>
        <x:v>0.07921708173776927</x:v>
      </x:c>
      <x:c r="I150" s="53" t="n">
        <x:f>IFERROR(E150/C150*100000,0)</x:f>
        <x:v>0.07921708173776927</x:v>
      </x:c>
      <x:c r="J150" s="41" t="str">
        <x:v>Count where opening year &lt;= decade and Include in metric = 1</x:v>
      </x:c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41" t="str">
        <x:v>Iztapalapa</x:v>
      </x:c>
      <x:c r="B151" s="41" t="n">
        <x:v>1990</x:v>
      </x:c>
      <x:c r="C151" s="52" t="n">
        <x:f>INDEX(Population!$B$5:$R$20,MATCH(A151,Population!$A$5:$A$20,0),MATCH(B151,Population!$B$4:$R$4,0))</x:f>
        <x:v>1490499</x:v>
      </x:c>
      <x:c r="D151" s="50" t="n">
        <x:f>COUNTIFS('Third Space Catalog'!$C:$C,A151,'Third Space Catalog'!$B:$B,"Museum",'Third Space Catalog'!$D:$D,"&lt;="&amp;B151,'Third Space Catalog'!$I:$I,1)</x:f>
        <x:v>1</x:v>
      </x:c>
      <x:c r="E151" s="50" t="n">
        <x:f>COUNTIFS('Third Space Catalog'!$C:$C,A151,'Third Space Catalog'!$B:$B,"Library",'Third Space Catalog'!$D:$D,"&lt;="&amp;B151,'Third Space Catalog'!$I:$I,1)</x:f>
        <x:v>1</x:v>
      </x:c>
      <x:c r="F151" s="50" t="n">
        <x:f>D151+E151</x:f>
        <x:v>2</x:v>
      </x:c>
      <x:c r="G151" s="53" t="n">
        <x:f>IFERROR(F151/C151*100000,0)</x:f>
        <x:v>0.13418325003908088</x:v>
      </x:c>
      <x:c r="H151" s="53" t="n">
        <x:f>IFERROR(D151/C151*100000,0)</x:f>
        <x:v>0.06709162501954044</x:v>
      </x:c>
      <x:c r="I151" s="53" t="n">
        <x:f>IFERROR(E151/C151*100000,0)</x:f>
        <x:v>0.06709162501954044</x:v>
      </x:c>
      <x:c r="J151" s="41" t="str">
        <x:v>Count where opening year &lt;= decade and Include in metric = 1</x:v>
      </x:c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41" t="str">
        <x:v>Iztapalapa</x:v>
      </x:c>
      <x:c r="B152" s="41" t="n">
        <x:v>2000</x:v>
      </x:c>
      <x:c r="C152" s="52" t="n">
        <x:f>INDEX(Population!$B$5:$R$20,MATCH(A152,Population!$A$5:$A$20,0),MATCH(B152,Population!$B$4:$R$4,0))</x:f>
        <x:v>1773343</x:v>
      </x:c>
      <x:c r="D152" s="50" t="n">
        <x:f>COUNTIFS('Third Space Catalog'!$C:$C,A152,'Third Space Catalog'!$B:$B,"Museum",'Third Space Catalog'!$D:$D,"&lt;="&amp;B152,'Third Space Catalog'!$I:$I,1)</x:f>
        <x:v>2</x:v>
      </x:c>
      <x:c r="E152" s="50" t="n">
        <x:f>COUNTIFS('Third Space Catalog'!$C:$C,A152,'Third Space Catalog'!$B:$B,"Library",'Third Space Catalog'!$D:$D,"&lt;="&amp;B152,'Third Space Catalog'!$I:$I,1)</x:f>
        <x:v>1</x:v>
      </x:c>
      <x:c r="F152" s="50" t="n">
        <x:f>D152+E152</x:f>
        <x:v>3</x:v>
      </x:c>
      <x:c r="G152" s="53" t="n">
        <x:f>IFERROR(F152/C152*100000,0)</x:f>
        <x:v>0.16917201015257624</x:v>
      </x:c>
      <x:c r="H152" s="53" t="n">
        <x:f>IFERROR(D152/C152*100000,0)</x:f>
        <x:v>0.11278134010171749</x:v>
      </x:c>
      <x:c r="I152" s="53" t="n">
        <x:f>IFERROR(E152/C152*100000,0)</x:f>
        <x:v>0.056390670050858745</x:v>
      </x:c>
      <x:c r="J152" s="41" t="str">
        <x:v>Count where opening year &lt;= decade and Include in metric = 1</x:v>
      </x:c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41" t="str">
        <x:v>Iztapalapa</x:v>
      </x:c>
      <x:c r="B153" s="41" t="n">
        <x:v>2010</x:v>
      </x:c>
      <x:c r="C153" s="52" t="n">
        <x:f>INDEX(Population!$B$5:$R$20,MATCH(A153,Population!$A$5:$A$20,0),MATCH(B153,Population!$B$4:$R$4,0))</x:f>
        <x:v>1815786</x:v>
      </x:c>
      <x:c r="D153" s="50" t="n">
        <x:f>COUNTIFS('Third Space Catalog'!$C:$C,A153,'Third Space Catalog'!$B:$B,"Museum",'Third Space Catalog'!$D:$D,"&lt;="&amp;B153,'Third Space Catalog'!$I:$I,1)</x:f>
        <x:v>2</x:v>
      </x:c>
      <x:c r="E153" s="50" t="n">
        <x:f>COUNTIFS('Third Space Catalog'!$C:$C,A153,'Third Space Catalog'!$B:$B,"Library",'Third Space Catalog'!$D:$D,"&lt;="&amp;B153,'Third Space Catalog'!$I:$I,1)</x:f>
        <x:v>1</x:v>
      </x:c>
      <x:c r="F153" s="50" t="n">
        <x:f>D153+E153</x:f>
        <x:v>3</x:v>
      </x:c>
      <x:c r="G153" s="53" t="n">
        <x:f>IFERROR(F153/C153*100000,0)</x:f>
        <x:v>0.1652177073730054</x:v>
      </x:c>
      <x:c r="H153" s="53" t="n">
        <x:f>IFERROR(D153/C153*100000,0)</x:f>
        <x:v>0.11014513824867028</x:v>
      </x:c>
      <x:c r="I153" s="53" t="n">
        <x:f>IFERROR(E153/C153*100000,0)</x:f>
        <x:v>0.05507256912433514</x:v>
      </x:c>
      <x:c r="J153" s="41" t="str">
        <x:v>Count where opening year &lt;= decade and Include in metric = 1</x:v>
      </x:c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41" t="str">
        <x:v>Iztapalapa</x:v>
      </x:c>
      <x:c r="B154" s="41" t="n">
        <x:v>2020</x:v>
      </x:c>
      <x:c r="C154" s="52" t="n">
        <x:f>INDEX(Population!$B$5:$R$20,MATCH(A154,Population!$A$5:$A$20,0),MATCH(B154,Population!$B$4:$R$4,0))</x:f>
        <x:v>1835486</x:v>
      </x:c>
      <x:c r="D154" s="50" t="n">
        <x:f>COUNTIFS('Third Space Catalog'!$C:$C,A154,'Third Space Catalog'!$B:$B,"Museum",'Third Space Catalog'!$D:$D,"&lt;="&amp;B154,'Third Space Catalog'!$I:$I,1)</x:f>
        <x:v>3</x:v>
      </x:c>
      <x:c r="E154" s="50" t="n">
        <x:f>COUNTIFS('Third Space Catalog'!$C:$C,A154,'Third Space Catalog'!$B:$B,"Library",'Third Space Catalog'!$D:$D,"&lt;="&amp;B154,'Third Space Catalog'!$I:$I,1)</x:f>
        <x:v>1</x:v>
      </x:c>
      <x:c r="F154" s="50" t="n">
        <x:f>D154+E154</x:f>
        <x:v>4</x:v>
      </x:c>
      <x:c r="G154" s="53" t="n">
        <x:f>IFERROR(F154/C154*100000,0)</x:f>
        <x:v>0.21792593351297693</x:v>
      </x:c>
      <x:c r="H154" s="53" t="n">
        <x:f>IFERROR(D154/C154*100000,0)</x:f>
        <x:v>0.16344445013473272</x:v>
      </x:c>
      <x:c r="I154" s="53" t="n">
        <x:f>IFERROR(E154/C154*100000,0)</x:f>
        <x:v>0.05448148337824423</x:v>
      </x:c>
      <x:c r="J154" s="41" t="str">
        <x:v>Count where opening year &lt;= decade and Include in metric = 1</x:v>
      </x:c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41" t="str">
        <x:v>La Magdalena Contreras</x:v>
      </x:c>
      <x:c r="B155" s="41" t="n">
        <x:v>1860</x:v>
      </x:c>
      <x:c r="C155" s="52" t="n">
        <x:f>INDEX(Population!$B$5:$R$20,MATCH(A155,Population!$A$5:$A$20,0),MATCH(B155,Population!$B$4:$R$4,0))</x:f>
        <x:v>1564</x:v>
      </x:c>
      <x:c r="D155" s="50" t="n">
        <x:f>COUNTIFS('Third Space Catalog'!$C:$C,A155,'Third Space Catalog'!$B:$B,"Museum",'Third Space Catalog'!$D:$D,"&lt;="&amp;B155,'Third Space Catalog'!$I:$I,1)</x:f>
        <x:v>0</x:v>
      </x:c>
      <x:c r="E155" s="50" t="n">
        <x:f>COUNTIFS('Third Space Catalog'!$C:$C,A155,'Third Space Catalog'!$B:$B,"Library",'Third Space Catalog'!$D:$D,"&lt;="&amp;B155,'Third Space Catalog'!$I:$I,1)</x:f>
        <x:v>0</x:v>
      </x:c>
      <x:c r="F155" s="50" t="n">
        <x:f>D155+E155</x:f>
        <x:v>0</x:v>
      </x:c>
      <x:c r="G155" s="53" t="n">
        <x:f>IFERROR(F155/C155*100000,0)</x:f>
        <x:v>0</x:v>
      </x:c>
      <x:c r="H155" s="53" t="n">
        <x:f>IFERROR(D155/C155*100000,0)</x:f>
        <x:v>0</x:v>
      </x:c>
      <x:c r="I155" s="53" t="n">
        <x:f>IFERROR(E155/C155*100000,0)</x:f>
        <x:v>0</x:v>
      </x:c>
      <x:c r="J155" s="41" t="str">
        <x:v>Count where opening year &lt;= decade and Include in metric = 1</x:v>
      </x:c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41" t="str">
        <x:v>La Magdalena Contreras</x:v>
      </x:c>
      <x:c r="B156" s="41" t="n">
        <x:v>1870</x:v>
      </x:c>
      <x:c r="C156" s="52" t="n">
        <x:f>INDEX(Population!$B$5:$R$20,MATCH(A156,Population!$A$5:$A$20,0),MATCH(B156,Population!$B$4:$R$4,0))</x:f>
        <x:v>1706</x:v>
      </x:c>
      <x:c r="D156" s="50" t="n">
        <x:f>COUNTIFS('Third Space Catalog'!$C:$C,A156,'Third Space Catalog'!$B:$B,"Museum",'Third Space Catalog'!$D:$D,"&lt;="&amp;B156,'Third Space Catalog'!$I:$I,1)</x:f>
        <x:v>0</x:v>
      </x:c>
      <x:c r="E156" s="50" t="n">
        <x:f>COUNTIFS('Third Space Catalog'!$C:$C,A156,'Third Space Catalog'!$B:$B,"Library",'Third Space Catalog'!$D:$D,"&lt;="&amp;B156,'Third Space Catalog'!$I:$I,1)</x:f>
        <x:v>0</x:v>
      </x:c>
      <x:c r="F156" s="50" t="n">
        <x:f>D156+E156</x:f>
        <x:v>0</x:v>
      </x:c>
      <x:c r="G156" s="53" t="n">
        <x:f>IFERROR(F156/C156*100000,0)</x:f>
        <x:v>0</x:v>
      </x:c>
      <x:c r="H156" s="53" t="n">
        <x:f>IFERROR(D156/C156*100000,0)</x:f>
        <x:v>0</x:v>
      </x:c>
      <x:c r="I156" s="53" t="n">
        <x:f>IFERROR(E156/C156*100000,0)</x:f>
        <x:v>0</x:v>
      </x:c>
      <x:c r="J156" s="41" t="str">
        <x:v>Count where opening year &lt;= decade and Include in metric = 1</x:v>
      </x:c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41" t="str">
        <x:v>La Magdalena Contreras</x:v>
      </x:c>
      <x:c r="B157" s="41" t="n">
        <x:v>1880</x:v>
      </x:c>
      <x:c r="C157" s="52" t="n">
        <x:f>INDEX(Population!$B$5:$R$20,MATCH(A157,Population!$A$5:$A$20,0),MATCH(B157,Population!$B$4:$R$4,0))</x:f>
        <x:v>2062</x:v>
      </x:c>
      <x:c r="D157" s="50" t="n">
        <x:f>COUNTIFS('Third Space Catalog'!$C:$C,A157,'Third Space Catalog'!$B:$B,"Museum",'Third Space Catalog'!$D:$D,"&lt;="&amp;B157,'Third Space Catalog'!$I:$I,1)</x:f>
        <x:v>0</x:v>
      </x:c>
      <x:c r="E157" s="50" t="n">
        <x:f>COUNTIFS('Third Space Catalog'!$C:$C,A157,'Third Space Catalog'!$B:$B,"Library",'Third Space Catalog'!$D:$D,"&lt;="&amp;B157,'Third Space Catalog'!$I:$I,1)</x:f>
        <x:v>0</x:v>
      </x:c>
      <x:c r="F157" s="50" t="n">
        <x:f>D157+E157</x:f>
        <x:v>0</x:v>
      </x:c>
      <x:c r="G157" s="53" t="n">
        <x:f>IFERROR(F157/C157*100000,0)</x:f>
        <x:v>0</x:v>
      </x:c>
      <x:c r="H157" s="53" t="n">
        <x:f>IFERROR(D157/C157*100000,0)</x:f>
        <x:v>0</x:v>
      </x:c>
      <x:c r="I157" s="53" t="n">
        <x:f>IFERROR(E157/C157*100000,0)</x:f>
        <x:v>0</x:v>
      </x:c>
      <x:c r="J157" s="41" t="str">
        <x:v>Count where opening year &lt;= decade and Include in metric = 1</x:v>
      </x:c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41" t="str">
        <x:v>La Magdalena Contreras</x:v>
      </x:c>
      <x:c r="B158" s="41" t="n">
        <x:v>1890</x:v>
      </x:c>
      <x:c r="C158" s="52" t="n">
        <x:f>INDEX(Population!$B$5:$R$20,MATCH(A158,Population!$A$5:$A$20,0),MATCH(B158,Population!$B$4:$R$4,0))</x:f>
        <x:v>2844</x:v>
      </x:c>
      <x:c r="D158" s="50" t="n">
        <x:f>COUNTIFS('Third Space Catalog'!$C:$C,A158,'Third Space Catalog'!$B:$B,"Museum",'Third Space Catalog'!$D:$D,"&lt;="&amp;B158,'Third Space Catalog'!$I:$I,1)</x:f>
        <x:v>0</x:v>
      </x:c>
      <x:c r="E158" s="50" t="n">
        <x:f>COUNTIFS('Third Space Catalog'!$C:$C,A158,'Third Space Catalog'!$B:$B,"Library",'Third Space Catalog'!$D:$D,"&lt;="&amp;B158,'Third Space Catalog'!$I:$I,1)</x:f>
        <x:v>0</x:v>
      </x:c>
      <x:c r="F158" s="50" t="n">
        <x:f>D158+E158</x:f>
        <x:v>0</x:v>
      </x:c>
      <x:c r="G158" s="53" t="n">
        <x:f>IFERROR(F158/C158*100000,0)</x:f>
        <x:v>0</x:v>
      </x:c>
      <x:c r="H158" s="53" t="n">
        <x:f>IFERROR(D158/C158*100000,0)</x:f>
        <x:v>0</x:v>
      </x:c>
      <x:c r="I158" s="53" t="n">
        <x:f>IFERROR(E158/C158*100000,0)</x:f>
        <x:v>0</x:v>
      </x:c>
      <x:c r="J158" s="41" t="str">
        <x:v>Count where opening year &lt;= decade and Include in metric = 1</x:v>
      </x:c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41" t="str">
        <x:v>La Magdalena Contreras</x:v>
      </x:c>
      <x:c r="B159" s="41" t="n">
        <x:v>1900</x:v>
      </x:c>
      <x:c r="C159" s="52" t="n">
        <x:f>INDEX(Population!$B$5:$R$20,MATCH(A159,Population!$A$5:$A$20,0),MATCH(B159,Population!$B$4:$R$4,0))</x:f>
        <x:v>3848</x:v>
      </x:c>
      <x:c r="D159" s="50" t="n">
        <x:f>COUNTIFS('Third Space Catalog'!$C:$C,A159,'Third Space Catalog'!$B:$B,"Museum",'Third Space Catalog'!$D:$D,"&lt;="&amp;B159,'Third Space Catalog'!$I:$I,1)</x:f>
        <x:v>0</x:v>
      </x:c>
      <x:c r="E159" s="50" t="n">
        <x:f>COUNTIFS('Third Space Catalog'!$C:$C,A159,'Third Space Catalog'!$B:$B,"Library",'Third Space Catalog'!$D:$D,"&lt;="&amp;B159,'Third Space Catalog'!$I:$I,1)</x:f>
        <x:v>0</x:v>
      </x:c>
      <x:c r="F159" s="50" t="n">
        <x:f>D159+E159</x:f>
        <x:v>0</x:v>
      </x:c>
      <x:c r="G159" s="53" t="n">
        <x:f>IFERROR(F159/C159*100000,0)</x:f>
        <x:v>0</x:v>
      </x:c>
      <x:c r="H159" s="53" t="n">
        <x:f>IFERROR(D159/C159*100000,0)</x:f>
        <x:v>0</x:v>
      </x:c>
      <x:c r="I159" s="53" t="n">
        <x:f>IFERROR(E159/C159*100000,0)</x:f>
        <x:v>0</x:v>
      </x:c>
      <x:c r="J159" s="41" t="str">
        <x:v>Count where opening year &lt;= decade and Include in metric = 1</x:v>
      </x:c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41" t="str">
        <x:v>La Magdalena Contreras</x:v>
      </x:c>
      <x:c r="B160" s="41" t="n">
        <x:v>1910</x:v>
      </x:c>
      <x:c r="C160" s="52" t="n">
        <x:f>INDEX(Population!$B$5:$R$20,MATCH(A160,Population!$A$5:$A$20,0),MATCH(B160,Population!$B$4:$R$4,0))</x:f>
        <x:v>5160</x:v>
      </x:c>
      <x:c r="D160" s="50" t="n">
        <x:f>COUNTIFS('Third Space Catalog'!$C:$C,A160,'Third Space Catalog'!$B:$B,"Museum",'Third Space Catalog'!$D:$D,"&lt;="&amp;B160,'Third Space Catalog'!$I:$I,1)</x:f>
        <x:v>0</x:v>
      </x:c>
      <x:c r="E160" s="50" t="n">
        <x:f>COUNTIFS('Third Space Catalog'!$C:$C,A160,'Third Space Catalog'!$B:$B,"Library",'Third Space Catalog'!$D:$D,"&lt;="&amp;B160,'Third Space Catalog'!$I:$I,1)</x:f>
        <x:v>0</x:v>
      </x:c>
      <x:c r="F160" s="50" t="n">
        <x:f>D160+E160</x:f>
        <x:v>0</x:v>
      </x:c>
      <x:c r="G160" s="53" t="n">
        <x:f>IFERROR(F160/C160*100000,0)</x:f>
        <x:v>0</x:v>
      </x:c>
      <x:c r="H160" s="53" t="n">
        <x:f>IFERROR(D160/C160*100000,0)</x:f>
        <x:v>0</x:v>
      </x:c>
      <x:c r="I160" s="53" t="n">
        <x:f>IFERROR(E160/C160*100000,0)</x:f>
        <x:v>0</x:v>
      </x:c>
      <x:c r="J160" s="41" t="str">
        <x:v>Count where opening year &lt;= decade and Include in metric = 1</x:v>
      </x:c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41" t="str">
        <x:v>La Magdalena Contreras</x:v>
      </x:c>
      <x:c r="B161" s="41" t="n">
        <x:v>1920</x:v>
      </x:c>
      <x:c r="C161" s="52" t="n">
        <x:f>INDEX(Population!$B$5:$R$20,MATCH(A161,Population!$A$5:$A$20,0),MATCH(B161,Population!$B$4:$R$4,0))</x:f>
        <x:v>6504</x:v>
      </x:c>
      <x:c r="D161" s="50" t="n">
        <x:f>COUNTIFS('Third Space Catalog'!$C:$C,A161,'Third Space Catalog'!$B:$B,"Museum",'Third Space Catalog'!$D:$D,"&lt;="&amp;B161,'Third Space Catalog'!$I:$I,1)</x:f>
        <x:v>0</x:v>
      </x:c>
      <x:c r="E161" s="50" t="n">
        <x:f>COUNTIFS('Third Space Catalog'!$C:$C,A161,'Third Space Catalog'!$B:$B,"Library",'Third Space Catalog'!$D:$D,"&lt;="&amp;B161,'Third Space Catalog'!$I:$I,1)</x:f>
        <x:v>0</x:v>
      </x:c>
      <x:c r="F161" s="50" t="n">
        <x:f>D161+E161</x:f>
        <x:v>0</x:v>
      </x:c>
      <x:c r="G161" s="53" t="n">
        <x:f>IFERROR(F161/C161*100000,0)</x:f>
        <x:v>0</x:v>
      </x:c>
      <x:c r="H161" s="53" t="n">
        <x:f>IFERROR(D161/C161*100000,0)</x:f>
        <x:v>0</x:v>
      </x:c>
      <x:c r="I161" s="53" t="n">
        <x:f>IFERROR(E161/C161*100000,0)</x:f>
        <x:v>0</x:v>
      </x:c>
      <x:c r="J161" s="41" t="str">
        <x:v>Count where opening year &lt;= decade and Include in metric = 1</x:v>
      </x:c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41" t="str">
        <x:v>La Magdalena Contreras</x:v>
      </x:c>
      <x:c r="B162" s="41" t="n">
        <x:v>1930</x:v>
      </x:c>
      <x:c r="C162" s="52" t="n">
        <x:f>INDEX(Population!$B$5:$R$20,MATCH(A162,Population!$A$5:$A$20,0),MATCH(B162,Population!$B$4:$R$4,0))</x:f>
        <x:v>8838</x:v>
      </x:c>
      <x:c r="D162" s="50" t="n">
        <x:f>COUNTIFS('Third Space Catalog'!$C:$C,A162,'Third Space Catalog'!$B:$B,"Museum",'Third Space Catalog'!$D:$D,"&lt;="&amp;B162,'Third Space Catalog'!$I:$I,1)</x:f>
        <x:v>0</x:v>
      </x:c>
      <x:c r="E162" s="50" t="n">
        <x:f>COUNTIFS('Third Space Catalog'!$C:$C,A162,'Third Space Catalog'!$B:$B,"Library",'Third Space Catalog'!$D:$D,"&lt;="&amp;B162,'Third Space Catalog'!$I:$I,1)</x:f>
        <x:v>0</x:v>
      </x:c>
      <x:c r="F162" s="50" t="n">
        <x:f>D162+E162</x:f>
        <x:v>0</x:v>
      </x:c>
      <x:c r="G162" s="53" t="n">
        <x:f>IFERROR(F162/C162*100000,0)</x:f>
        <x:v>0</x:v>
      </x:c>
      <x:c r="H162" s="53" t="n">
        <x:f>IFERROR(D162/C162*100000,0)</x:f>
        <x:v>0</x:v>
      </x:c>
      <x:c r="I162" s="53" t="n">
        <x:f>IFERROR(E162/C162*100000,0)</x:f>
        <x:v>0</x:v>
      </x:c>
      <x:c r="J162" s="41" t="str">
        <x:v>Count where opening year &lt;= decade and Include in metric = 1</x:v>
      </x:c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41" t="str">
        <x:v>La Magdalena Contreras</x:v>
      </x:c>
      <x:c r="B163" s="41" t="n">
        <x:v>1940</x:v>
      </x:c>
      <x:c r="C163" s="52" t="n">
        <x:f>INDEX(Population!$B$5:$R$20,MATCH(A163,Population!$A$5:$A$20,0),MATCH(B163,Population!$B$4:$R$4,0))</x:f>
        <x:v>12643</x:v>
      </x:c>
      <x:c r="D163" s="50" t="n">
        <x:f>COUNTIFS('Third Space Catalog'!$C:$C,A163,'Third Space Catalog'!$B:$B,"Museum",'Third Space Catalog'!$D:$D,"&lt;="&amp;B163,'Third Space Catalog'!$I:$I,1)</x:f>
        <x:v>0</x:v>
      </x:c>
      <x:c r="E163" s="50" t="n">
        <x:f>COUNTIFS('Third Space Catalog'!$C:$C,A163,'Third Space Catalog'!$B:$B,"Library",'Third Space Catalog'!$D:$D,"&lt;="&amp;B163,'Third Space Catalog'!$I:$I,1)</x:f>
        <x:v>0</x:v>
      </x:c>
      <x:c r="F163" s="50" t="n">
        <x:f>D163+E163</x:f>
        <x:v>0</x:v>
      </x:c>
      <x:c r="G163" s="53" t="n">
        <x:f>IFERROR(F163/C163*100000,0)</x:f>
        <x:v>0</x:v>
      </x:c>
      <x:c r="H163" s="53" t="n">
        <x:f>IFERROR(D163/C163*100000,0)</x:f>
        <x:v>0</x:v>
      </x:c>
      <x:c r="I163" s="53" t="n">
        <x:f>IFERROR(E163/C163*100000,0)</x:f>
        <x:v>0</x:v>
      </x:c>
      <x:c r="J163" s="41" t="str">
        <x:v>Count where opening year &lt;= decade and Include in metric = 1</x:v>
      </x:c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41" t="str">
        <x:v>La Magdalena Contreras</x:v>
      </x:c>
      <x:c r="B164" s="41" t="n">
        <x:v>1950</x:v>
      </x:c>
      <x:c r="C164" s="52" t="n">
        <x:f>INDEX(Population!$B$5:$R$20,MATCH(A164,Population!$A$5:$A$20,0),MATCH(B164,Population!$B$4:$R$4,0))</x:f>
        <x:v>21955</x:v>
      </x:c>
      <x:c r="D164" s="50" t="n">
        <x:f>COUNTIFS('Third Space Catalog'!$C:$C,A164,'Third Space Catalog'!$B:$B,"Museum",'Third Space Catalog'!$D:$D,"&lt;="&amp;B164,'Third Space Catalog'!$I:$I,1)</x:f>
        <x:v>0</x:v>
      </x:c>
      <x:c r="E164" s="50" t="n">
        <x:f>COUNTIFS('Third Space Catalog'!$C:$C,A164,'Third Space Catalog'!$B:$B,"Library",'Third Space Catalog'!$D:$D,"&lt;="&amp;B164,'Third Space Catalog'!$I:$I,1)</x:f>
        <x:v>0</x:v>
      </x:c>
      <x:c r="F164" s="50" t="n">
        <x:f>D164+E164</x:f>
        <x:v>0</x:v>
      </x:c>
      <x:c r="G164" s="53" t="n">
        <x:f>IFERROR(F164/C164*100000,0)</x:f>
        <x:v>0</x:v>
      </x:c>
      <x:c r="H164" s="53" t="n">
        <x:f>IFERROR(D164/C164*100000,0)</x:f>
        <x:v>0</x:v>
      </x:c>
      <x:c r="I164" s="53" t="n">
        <x:f>IFERROR(E164/C164*100000,0)</x:f>
        <x:v>0</x:v>
      </x:c>
      <x:c r="J164" s="41" t="str">
        <x:v>Count where opening year &lt;= decade and Include in metric = 1</x:v>
      </x:c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41" t="str">
        <x:v>La Magdalena Contreras</x:v>
      </x:c>
      <x:c r="B165" s="41" t="n">
        <x:v>1960</x:v>
      </x:c>
      <x:c r="C165" s="52" t="n">
        <x:f>INDEX(Population!$B$5:$R$20,MATCH(A165,Population!$A$5:$A$20,0),MATCH(B165,Population!$B$4:$R$4,0))</x:f>
        <x:v>40724</x:v>
      </x:c>
      <x:c r="D165" s="50" t="n">
        <x:f>COUNTIFS('Third Space Catalog'!$C:$C,A165,'Third Space Catalog'!$B:$B,"Museum",'Third Space Catalog'!$D:$D,"&lt;="&amp;B165,'Third Space Catalog'!$I:$I,1)</x:f>
        <x:v>0</x:v>
      </x:c>
      <x:c r="E165" s="50" t="n">
        <x:f>COUNTIFS('Third Space Catalog'!$C:$C,A165,'Third Space Catalog'!$B:$B,"Library",'Third Space Catalog'!$D:$D,"&lt;="&amp;B165,'Third Space Catalog'!$I:$I,1)</x:f>
        <x:v>0</x:v>
      </x:c>
      <x:c r="F165" s="50" t="n">
        <x:f>D165+E165</x:f>
        <x:v>0</x:v>
      </x:c>
      <x:c r="G165" s="53" t="n">
        <x:f>IFERROR(F165/C165*100000,0)</x:f>
        <x:v>0</x:v>
      </x:c>
      <x:c r="H165" s="53" t="n">
        <x:f>IFERROR(D165/C165*100000,0)</x:f>
        <x:v>0</x:v>
      </x:c>
      <x:c r="I165" s="53" t="n">
        <x:f>IFERROR(E165/C165*100000,0)</x:f>
        <x:v>0</x:v>
      </x:c>
      <x:c r="J165" s="41" t="str">
        <x:v>Count where opening year &lt;= decade and Include in metric = 1</x:v>
      </x:c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41" t="str">
        <x:v>La Magdalena Contreras</x:v>
      </x:c>
      <x:c r="B166" s="41" t="n">
        <x:v>1970</x:v>
      </x:c>
      <x:c r="C166" s="52" t="n">
        <x:f>INDEX(Population!$B$5:$R$20,MATCH(A166,Population!$A$5:$A$20,0),MATCH(B166,Population!$B$4:$R$4,0))</x:f>
        <x:v>75429</x:v>
      </x:c>
      <x:c r="D166" s="50" t="n">
        <x:f>COUNTIFS('Third Space Catalog'!$C:$C,A166,'Third Space Catalog'!$B:$B,"Museum",'Third Space Catalog'!$D:$D,"&lt;="&amp;B166,'Third Space Catalog'!$I:$I,1)</x:f>
        <x:v>0</x:v>
      </x:c>
      <x:c r="E166" s="50" t="n">
        <x:f>COUNTIFS('Third Space Catalog'!$C:$C,A166,'Third Space Catalog'!$B:$B,"Library",'Third Space Catalog'!$D:$D,"&lt;="&amp;B166,'Third Space Catalog'!$I:$I,1)</x:f>
        <x:v>0</x:v>
      </x:c>
      <x:c r="F166" s="50" t="n">
        <x:f>D166+E166</x:f>
        <x:v>0</x:v>
      </x:c>
      <x:c r="G166" s="53" t="n">
        <x:f>IFERROR(F166/C166*100000,0)</x:f>
        <x:v>0</x:v>
      </x:c>
      <x:c r="H166" s="53" t="n">
        <x:f>IFERROR(D166/C166*100000,0)</x:f>
        <x:v>0</x:v>
      </x:c>
      <x:c r="I166" s="53" t="n">
        <x:f>IFERROR(E166/C166*100000,0)</x:f>
        <x:v>0</x:v>
      </x:c>
      <x:c r="J166" s="41" t="str">
        <x:v>Count where opening year &lt;= decade and Include in metric = 1</x:v>
      </x:c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41" t="str">
        <x:v>La Magdalena Contreras</x:v>
      </x:c>
      <x:c r="B167" s="41" t="n">
        <x:v>1980</x:v>
      </x:c>
      <x:c r="C167" s="52" t="n">
        <x:f>INDEX(Population!$B$5:$R$20,MATCH(A167,Population!$A$5:$A$20,0),MATCH(B167,Population!$B$4:$R$4,0))</x:f>
        <x:v>173105</x:v>
      </x:c>
      <x:c r="D167" s="50" t="n">
        <x:f>COUNTIFS('Third Space Catalog'!$C:$C,A167,'Third Space Catalog'!$B:$B,"Museum",'Third Space Catalog'!$D:$D,"&lt;="&amp;B167,'Third Space Catalog'!$I:$I,1)</x:f>
        <x:v>0</x:v>
      </x:c>
      <x:c r="E167" s="50" t="n">
        <x:f>COUNTIFS('Third Space Catalog'!$C:$C,A167,'Third Space Catalog'!$B:$B,"Library",'Third Space Catalog'!$D:$D,"&lt;="&amp;B167,'Third Space Catalog'!$I:$I,1)</x:f>
        <x:v>2</x:v>
      </x:c>
      <x:c r="F167" s="50" t="n">
        <x:f>D167+E167</x:f>
        <x:v>2</x:v>
      </x:c>
      <x:c r="G167" s="53" t="n">
        <x:f>IFERROR(F167/C167*100000,0)</x:f>
        <x:v>1.1553681291701567</x:v>
      </x:c>
      <x:c r="H167" s="53" t="n">
        <x:f>IFERROR(D167/C167*100000,0)</x:f>
        <x:v>0</x:v>
      </x:c>
      <x:c r="I167" s="53" t="n">
        <x:f>IFERROR(E167/C167*100000,0)</x:f>
        <x:v>1.1553681291701567</x:v>
      </x:c>
      <x:c r="J167" s="41" t="str">
        <x:v>Count where opening year &lt;= decade and Include in metric = 1</x:v>
      </x:c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41" t="str">
        <x:v>La Magdalena Contreras</x:v>
      </x:c>
      <x:c r="B168" s="41" t="n">
        <x:v>1990</x:v>
      </x:c>
      <x:c r="C168" s="52" t="n">
        <x:f>INDEX(Population!$B$5:$R$20,MATCH(A168,Population!$A$5:$A$20,0),MATCH(B168,Population!$B$4:$R$4,0))</x:f>
        <x:v>195041</x:v>
      </x:c>
      <x:c r="D168" s="50" t="n">
        <x:f>COUNTIFS('Third Space Catalog'!$C:$C,A168,'Third Space Catalog'!$B:$B,"Museum",'Third Space Catalog'!$D:$D,"&lt;="&amp;B168,'Third Space Catalog'!$I:$I,1)</x:f>
        <x:v>0</x:v>
      </x:c>
      <x:c r="E168" s="50" t="n">
        <x:f>COUNTIFS('Third Space Catalog'!$C:$C,A168,'Third Space Catalog'!$B:$B,"Library",'Third Space Catalog'!$D:$D,"&lt;="&amp;B168,'Third Space Catalog'!$I:$I,1)</x:f>
        <x:v>2</x:v>
      </x:c>
      <x:c r="F168" s="50" t="n">
        <x:f>D168+E168</x:f>
        <x:v>2</x:v>
      </x:c>
      <x:c r="G168" s="53" t="n">
        <x:f>IFERROR(F168/C168*100000,0)</x:f>
        <x:v>1.0254254233725217</x:v>
      </x:c>
      <x:c r="H168" s="53" t="n">
        <x:f>IFERROR(D168/C168*100000,0)</x:f>
        <x:v>0</x:v>
      </x:c>
      <x:c r="I168" s="53" t="n">
        <x:f>IFERROR(E168/C168*100000,0)</x:f>
        <x:v>1.0254254233725217</x:v>
      </x:c>
      <x:c r="J168" s="41" t="str">
        <x:v>Count where opening year &lt;= decade and Include in metric = 1</x:v>
      </x:c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41" t="str">
        <x:v>La Magdalena Contreras</x:v>
      </x:c>
      <x:c r="B169" s="41" t="n">
        <x:v>2000</x:v>
      </x:c>
      <x:c r="C169" s="52" t="n">
        <x:f>INDEX(Population!$B$5:$R$20,MATCH(A169,Population!$A$5:$A$20,0),MATCH(B169,Population!$B$4:$R$4,0))</x:f>
        <x:v>222050</x:v>
      </x:c>
      <x:c r="D169" s="50" t="n">
        <x:f>COUNTIFS('Third Space Catalog'!$C:$C,A169,'Third Space Catalog'!$B:$B,"Museum",'Third Space Catalog'!$D:$D,"&lt;="&amp;B169,'Third Space Catalog'!$I:$I,1)</x:f>
        <x:v>0</x:v>
      </x:c>
      <x:c r="E169" s="50" t="n">
        <x:f>COUNTIFS('Third Space Catalog'!$C:$C,A169,'Third Space Catalog'!$B:$B,"Library",'Third Space Catalog'!$D:$D,"&lt;="&amp;B169,'Third Space Catalog'!$I:$I,1)</x:f>
        <x:v>2</x:v>
      </x:c>
      <x:c r="F169" s="50" t="n">
        <x:f>D169+E169</x:f>
        <x:v>2</x:v>
      </x:c>
      <x:c r="G169" s="53" t="n">
        <x:f>IFERROR(F169/C169*100000,0)</x:f>
        <x:v>0.9006980409817609</x:v>
      </x:c>
      <x:c r="H169" s="53" t="n">
        <x:f>IFERROR(D169/C169*100000,0)</x:f>
        <x:v>0</x:v>
      </x:c>
      <x:c r="I169" s="53" t="n">
        <x:f>IFERROR(E169/C169*100000,0)</x:f>
        <x:v>0.9006980409817609</x:v>
      </x:c>
      <x:c r="J169" s="41" t="str">
        <x:v>Count where opening year &lt;= decade and Include in metric = 1</x:v>
      </x:c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41" t="str">
        <x:v>La Magdalena Contreras</x:v>
      </x:c>
      <x:c r="B170" s="41" t="n">
        <x:v>2010</x:v>
      </x:c>
      <x:c r="C170" s="52" t="n">
        <x:f>INDEX(Population!$B$5:$R$20,MATCH(A170,Population!$A$5:$A$20,0),MATCH(B170,Population!$B$4:$R$4,0))</x:f>
        <x:v>239086</x:v>
      </x:c>
      <x:c r="D170" s="50" t="n">
        <x:f>COUNTIFS('Third Space Catalog'!$C:$C,A170,'Third Space Catalog'!$B:$B,"Museum",'Third Space Catalog'!$D:$D,"&lt;="&amp;B170,'Third Space Catalog'!$I:$I,1)</x:f>
        <x:v>0</x:v>
      </x:c>
      <x:c r="E170" s="50" t="n">
        <x:f>COUNTIFS('Third Space Catalog'!$C:$C,A170,'Third Space Catalog'!$B:$B,"Library",'Third Space Catalog'!$D:$D,"&lt;="&amp;B170,'Third Space Catalog'!$I:$I,1)</x:f>
        <x:v>2</x:v>
      </x:c>
      <x:c r="F170" s="50" t="n">
        <x:f>D170+E170</x:f>
        <x:v>2</x:v>
      </x:c>
      <x:c r="G170" s="53" t="n">
        <x:f>IFERROR(F170/C170*100000,0)</x:f>
        <x:v>0.8365190768175468</x:v>
      </x:c>
      <x:c r="H170" s="53" t="n">
        <x:f>IFERROR(D170/C170*100000,0)</x:f>
        <x:v>0</x:v>
      </x:c>
      <x:c r="I170" s="53" t="n">
        <x:f>IFERROR(E170/C170*100000,0)</x:f>
        <x:v>0.8365190768175468</x:v>
      </x:c>
      <x:c r="J170" s="41" t="str">
        <x:v>Count where opening year &lt;= decade and Include in metric = 1</x:v>
      </x:c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41" t="str">
        <x:v>La Magdalena Contreras</x:v>
      </x:c>
      <x:c r="B171" s="41" t="n">
        <x:v>2020</x:v>
      </x:c>
      <x:c r="C171" s="52" t="n">
        <x:f>INDEX(Population!$B$5:$R$20,MATCH(A171,Population!$A$5:$A$20,0),MATCH(B171,Population!$B$4:$R$4,0))</x:f>
        <x:v>247622</x:v>
      </x:c>
      <x:c r="D171" s="50" t="n">
        <x:f>COUNTIFS('Third Space Catalog'!$C:$C,A171,'Third Space Catalog'!$B:$B,"Museum",'Third Space Catalog'!$D:$D,"&lt;="&amp;B171,'Third Space Catalog'!$I:$I,1)</x:f>
        <x:v>0</x:v>
      </x:c>
      <x:c r="E171" s="50" t="n">
        <x:f>COUNTIFS('Third Space Catalog'!$C:$C,A171,'Third Space Catalog'!$B:$B,"Library",'Third Space Catalog'!$D:$D,"&lt;="&amp;B171,'Third Space Catalog'!$I:$I,1)</x:f>
        <x:v>2</x:v>
      </x:c>
      <x:c r="F171" s="50" t="n">
        <x:f>D171+E171</x:f>
        <x:v>2</x:v>
      </x:c>
      <x:c r="G171" s="53" t="n">
        <x:f>IFERROR(F171/C171*100000,0)</x:f>
        <x:v>0.807682677629613</x:v>
      </x:c>
      <x:c r="H171" s="53" t="n">
        <x:f>IFERROR(D171/C171*100000,0)</x:f>
        <x:v>0</x:v>
      </x:c>
      <x:c r="I171" s="53" t="n">
        <x:f>IFERROR(E171/C171*100000,0)</x:f>
        <x:v>0.807682677629613</x:v>
      </x:c>
      <x:c r="J171" s="41" t="str">
        <x:v>Count where opening year &lt;= decade and Include in metric = 1</x:v>
      </x:c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41" t="str">
        <x:v>Miguel Hidalgo</x:v>
      </x:c>
      <x:c r="B172" s="41" t="n">
        <x:v>1860</x:v>
      </x:c>
      <x:c r="C172" s="52" t="n">
        <x:f>INDEX(Population!$B$5:$R$20,MATCH(A172,Population!$A$5:$A$20,0),MATCH(B172,Population!$B$4:$R$4,0))</x:f>
        <x:v>33517</x:v>
      </x:c>
      <x:c r="D172" s="50" t="n">
        <x:f>COUNTIFS('Third Space Catalog'!$C:$C,A172,'Third Space Catalog'!$B:$B,"Museum",'Third Space Catalog'!$D:$D,"&lt;="&amp;B172,'Third Space Catalog'!$I:$I,1)</x:f>
        <x:v>0</x:v>
      </x:c>
      <x:c r="E172" s="50" t="n">
        <x:f>COUNTIFS('Third Space Catalog'!$C:$C,A172,'Third Space Catalog'!$B:$B,"Library",'Third Space Catalog'!$D:$D,"&lt;="&amp;B172,'Third Space Catalog'!$I:$I,1)</x:f>
        <x:v>0</x:v>
      </x:c>
      <x:c r="F172" s="50" t="n">
        <x:f>D172+E172</x:f>
        <x:v>0</x:v>
      </x:c>
      <x:c r="G172" s="53" t="n">
        <x:f>IFERROR(F172/C172*100000,0)</x:f>
        <x:v>0</x:v>
      </x:c>
      <x:c r="H172" s="53" t="n">
        <x:f>IFERROR(D172/C172*100000,0)</x:f>
        <x:v>0</x:v>
      </x:c>
      <x:c r="I172" s="53" t="n">
        <x:f>IFERROR(E172/C172*100000,0)</x:f>
        <x:v>0</x:v>
      </x:c>
      <x:c r="J172" s="41" t="str">
        <x:v>Count where opening year &lt;= decade and Include in metric = 1</x:v>
      </x:c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41" t="str">
        <x:v>Miguel Hidalgo</x:v>
      </x:c>
      <x:c r="B173" s="41" t="n">
        <x:v>1870</x:v>
      </x:c>
      <x:c r="C173" s="52" t="n">
        <x:f>INDEX(Population!$B$5:$R$20,MATCH(A173,Population!$A$5:$A$20,0),MATCH(B173,Population!$B$4:$R$4,0))</x:f>
        <x:v>36564</x:v>
      </x:c>
      <x:c r="D173" s="50" t="n">
        <x:f>COUNTIFS('Third Space Catalog'!$C:$C,A173,'Third Space Catalog'!$B:$B,"Museum",'Third Space Catalog'!$D:$D,"&lt;="&amp;B173,'Third Space Catalog'!$I:$I,1)</x:f>
        <x:v>0</x:v>
      </x:c>
      <x:c r="E173" s="50" t="n">
        <x:f>COUNTIFS('Third Space Catalog'!$C:$C,A173,'Third Space Catalog'!$B:$B,"Library",'Third Space Catalog'!$D:$D,"&lt;="&amp;B173,'Third Space Catalog'!$I:$I,1)</x:f>
        <x:v>0</x:v>
      </x:c>
      <x:c r="F173" s="50" t="n">
        <x:f>D173+E173</x:f>
        <x:v>0</x:v>
      </x:c>
      <x:c r="G173" s="53" t="n">
        <x:f>IFERROR(F173/C173*100000,0)</x:f>
        <x:v>0</x:v>
      </x:c>
      <x:c r="H173" s="53" t="n">
        <x:f>IFERROR(D173/C173*100000,0)</x:f>
        <x:v>0</x:v>
      </x:c>
      <x:c r="I173" s="53" t="n">
        <x:f>IFERROR(E173/C173*100000,0)</x:f>
        <x:v>0</x:v>
      </x:c>
      <x:c r="J173" s="41" t="str">
        <x:v>Count where opening year &lt;= decade and Include in metric = 1</x:v>
      </x:c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41" t="str">
        <x:v>Miguel Hidalgo</x:v>
      </x:c>
      <x:c r="B174" s="41" t="n">
        <x:v>1880</x:v>
      </x:c>
      <x:c r="C174" s="52" t="n">
        <x:f>INDEX(Population!$B$5:$R$20,MATCH(A174,Population!$A$5:$A$20,0),MATCH(B174,Population!$B$4:$R$4,0))</x:f>
        <x:v>44182</x:v>
      </x:c>
      <x:c r="D174" s="50" t="n">
        <x:f>COUNTIFS('Third Space Catalog'!$C:$C,A174,'Third Space Catalog'!$B:$B,"Museum",'Third Space Catalog'!$D:$D,"&lt;="&amp;B174,'Third Space Catalog'!$I:$I,1)</x:f>
        <x:v>0</x:v>
      </x:c>
      <x:c r="E174" s="50" t="n">
        <x:f>COUNTIFS('Third Space Catalog'!$C:$C,A174,'Third Space Catalog'!$B:$B,"Library",'Third Space Catalog'!$D:$D,"&lt;="&amp;B174,'Third Space Catalog'!$I:$I,1)</x:f>
        <x:v>0</x:v>
      </x:c>
      <x:c r="F174" s="50" t="n">
        <x:f>D174+E174</x:f>
        <x:v>0</x:v>
      </x:c>
      <x:c r="G174" s="53" t="n">
        <x:f>IFERROR(F174/C174*100000,0)</x:f>
        <x:v>0</x:v>
      </x:c>
      <x:c r="H174" s="53" t="n">
        <x:f>IFERROR(D174/C174*100000,0)</x:f>
        <x:v>0</x:v>
      </x:c>
      <x:c r="I174" s="53" t="n">
        <x:f>IFERROR(E174/C174*100000,0)</x:f>
        <x:v>0</x:v>
      </x:c>
      <x:c r="J174" s="41" t="str">
        <x:v>Count where opening year &lt;= decade and Include in metric = 1</x:v>
      </x:c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41" t="str">
        <x:v>Miguel Hidalgo</x:v>
      </x:c>
      <x:c r="B175" s="41" t="n">
        <x:v>1890</x:v>
      </x:c>
      <x:c r="C175" s="52" t="n">
        <x:f>INDEX(Population!$B$5:$R$20,MATCH(A175,Population!$A$5:$A$20,0),MATCH(B175,Population!$B$4:$R$4,0))</x:f>
        <x:v>60940</x:v>
      </x:c>
      <x:c r="D175" s="50" t="n">
        <x:f>COUNTIFS('Third Space Catalog'!$C:$C,A175,'Third Space Catalog'!$B:$B,"Museum",'Third Space Catalog'!$D:$D,"&lt;="&amp;B175,'Third Space Catalog'!$I:$I,1)</x:f>
        <x:v>0</x:v>
      </x:c>
      <x:c r="E175" s="50" t="n">
        <x:f>COUNTIFS('Third Space Catalog'!$C:$C,A175,'Third Space Catalog'!$B:$B,"Library",'Third Space Catalog'!$D:$D,"&lt;="&amp;B175,'Third Space Catalog'!$I:$I,1)</x:f>
        <x:v>0</x:v>
      </x:c>
      <x:c r="F175" s="50" t="n">
        <x:f>D175+E175</x:f>
        <x:v>0</x:v>
      </x:c>
      <x:c r="G175" s="53" t="n">
        <x:f>IFERROR(F175/C175*100000,0)</x:f>
        <x:v>0</x:v>
      </x:c>
      <x:c r="H175" s="53" t="n">
        <x:f>IFERROR(D175/C175*100000,0)</x:f>
        <x:v>0</x:v>
      </x:c>
      <x:c r="I175" s="53" t="n">
        <x:f>IFERROR(E175/C175*100000,0)</x:f>
        <x:v>0</x:v>
      </x:c>
      <x:c r="J175" s="41" t="str">
        <x:v>Count where opening year &lt;= decade and Include in metric = 1</x:v>
      </x:c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41" t="str">
        <x:v>Miguel Hidalgo</x:v>
      </x:c>
      <x:c r="B176" s="41" t="n">
        <x:v>1900</x:v>
      </x:c>
      <x:c r="C176" s="52" t="n">
        <x:f>INDEX(Population!$B$5:$R$20,MATCH(A176,Population!$A$5:$A$20,0),MATCH(B176,Population!$B$4:$R$4,0))</x:f>
        <x:v>82464</x:v>
      </x:c>
      <x:c r="D176" s="50" t="n">
        <x:f>COUNTIFS('Third Space Catalog'!$C:$C,A176,'Third Space Catalog'!$B:$B,"Museum",'Third Space Catalog'!$D:$D,"&lt;="&amp;B176,'Third Space Catalog'!$I:$I,1)</x:f>
        <x:v>0</x:v>
      </x:c>
      <x:c r="E176" s="50" t="n">
        <x:f>COUNTIFS('Third Space Catalog'!$C:$C,A176,'Third Space Catalog'!$B:$B,"Library",'Third Space Catalog'!$D:$D,"&lt;="&amp;B176,'Third Space Catalog'!$I:$I,1)</x:f>
        <x:v>0</x:v>
      </x:c>
      <x:c r="F176" s="50" t="n">
        <x:f>D176+E176</x:f>
        <x:v>0</x:v>
      </x:c>
      <x:c r="G176" s="53" t="n">
        <x:f>IFERROR(F176/C176*100000,0)</x:f>
        <x:v>0</x:v>
      </x:c>
      <x:c r="H176" s="53" t="n">
        <x:f>IFERROR(D176/C176*100000,0)</x:f>
        <x:v>0</x:v>
      </x:c>
      <x:c r="I176" s="53" t="n">
        <x:f>IFERROR(E176/C176*100000,0)</x:f>
        <x:v>0</x:v>
      </x:c>
      <x:c r="J176" s="41" t="str">
        <x:v>Count where opening year &lt;= decade and Include in metric = 1</x:v>
      </x:c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41" t="str">
        <x:v>Miguel Hidalgo</x:v>
      </x:c>
      <x:c r="B177" s="41" t="n">
        <x:v>1910</x:v>
      </x:c>
      <x:c r="C177" s="52" t="n">
        <x:f>INDEX(Population!$B$5:$R$20,MATCH(A177,Population!$A$5:$A$20,0),MATCH(B177,Population!$B$4:$R$4,0))</x:f>
        <x:v>110174</x:v>
      </x:c>
      <x:c r="D177" s="50" t="n">
        <x:f>COUNTIFS('Third Space Catalog'!$C:$C,A177,'Third Space Catalog'!$B:$B,"Museum",'Third Space Catalog'!$D:$D,"&lt;="&amp;B177,'Third Space Catalog'!$I:$I,1)</x:f>
        <x:v>0</x:v>
      </x:c>
      <x:c r="E177" s="50" t="n">
        <x:f>COUNTIFS('Third Space Catalog'!$C:$C,A177,'Third Space Catalog'!$B:$B,"Library",'Third Space Catalog'!$D:$D,"&lt;="&amp;B177,'Third Space Catalog'!$I:$I,1)</x:f>
        <x:v>0</x:v>
      </x:c>
      <x:c r="F177" s="50" t="n">
        <x:f>D177+E177</x:f>
        <x:v>0</x:v>
      </x:c>
      <x:c r="G177" s="53" t="n">
        <x:f>IFERROR(F177/C177*100000,0)</x:f>
        <x:v>0</x:v>
      </x:c>
      <x:c r="H177" s="53" t="n">
        <x:f>IFERROR(D177/C177*100000,0)</x:f>
        <x:v>0</x:v>
      </x:c>
      <x:c r="I177" s="53" t="n">
        <x:f>IFERROR(E177/C177*100000,0)</x:f>
        <x:v>0</x:v>
      </x:c>
      <x:c r="J177" s="41" t="str">
        <x:v>Count where opening year &lt;= decade and Include in metric = 1</x:v>
      </x:c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41" t="str">
        <x:v>Miguel Hidalgo</x:v>
      </x:c>
      <x:c r="B178" s="41" t="n">
        <x:v>1920</x:v>
      </x:c>
      <x:c r="C178" s="52" t="n">
        <x:f>INDEX(Population!$B$5:$R$20,MATCH(A178,Population!$A$5:$A$20,0),MATCH(B178,Population!$B$4:$R$4,0))</x:f>
        <x:v>138682</x:v>
      </x:c>
      <x:c r="D178" s="50" t="n">
        <x:f>COUNTIFS('Third Space Catalog'!$C:$C,A178,'Third Space Catalog'!$B:$B,"Museum",'Third Space Catalog'!$D:$D,"&lt;="&amp;B178,'Third Space Catalog'!$I:$I,1)</x:f>
        <x:v>0</x:v>
      </x:c>
      <x:c r="E178" s="50" t="n">
        <x:f>COUNTIFS('Third Space Catalog'!$C:$C,A178,'Third Space Catalog'!$B:$B,"Library",'Third Space Catalog'!$D:$D,"&lt;="&amp;B178,'Third Space Catalog'!$I:$I,1)</x:f>
        <x:v>0</x:v>
      </x:c>
      <x:c r="F178" s="50" t="n">
        <x:f>D178+E178</x:f>
        <x:v>0</x:v>
      </x:c>
      <x:c r="G178" s="53" t="n">
        <x:f>IFERROR(F178/C178*100000,0)</x:f>
        <x:v>0</x:v>
      </x:c>
      <x:c r="H178" s="53" t="n">
        <x:f>IFERROR(D178/C178*100000,0)</x:f>
        <x:v>0</x:v>
      </x:c>
      <x:c r="I178" s="53" t="n">
        <x:f>IFERROR(E178/C178*100000,0)</x:f>
        <x:v>0</x:v>
      </x:c>
      <x:c r="J178" s="41" t="str">
        <x:v>Count where opening year &lt;= decade and Include in metric = 1</x:v>
      </x:c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41" t="str">
        <x:v>Miguel Hidalgo</x:v>
      </x:c>
      <x:c r="B179" s="41" t="n">
        <x:v>1930</x:v>
      </x:c>
      <x:c r="C179" s="52" t="n">
        <x:f>INDEX(Population!$B$5:$R$20,MATCH(A179,Population!$A$5:$A$20,0),MATCH(B179,Population!$B$4:$R$4,0))</x:f>
        <x:v>188326</x:v>
      </x:c>
      <x:c r="D179" s="50" t="n">
        <x:f>COUNTIFS('Third Space Catalog'!$C:$C,A179,'Third Space Catalog'!$B:$B,"Museum",'Third Space Catalog'!$D:$D,"&lt;="&amp;B179,'Third Space Catalog'!$I:$I,1)</x:f>
        <x:v>0</x:v>
      </x:c>
      <x:c r="E179" s="50" t="n">
        <x:f>COUNTIFS('Third Space Catalog'!$C:$C,A179,'Third Space Catalog'!$B:$B,"Library",'Third Space Catalog'!$D:$D,"&lt;="&amp;B179,'Third Space Catalog'!$I:$I,1)</x:f>
        <x:v>0</x:v>
      </x:c>
      <x:c r="F179" s="50" t="n">
        <x:f>D179+E179</x:f>
        <x:v>0</x:v>
      </x:c>
      <x:c r="G179" s="53" t="n">
        <x:f>IFERROR(F179/C179*100000,0)</x:f>
        <x:v>0</x:v>
      </x:c>
      <x:c r="H179" s="53" t="n">
        <x:f>IFERROR(D179/C179*100000,0)</x:f>
        <x:v>0</x:v>
      </x:c>
      <x:c r="I179" s="53" t="n">
        <x:f>IFERROR(E179/C179*100000,0)</x:f>
        <x:v>0</x:v>
      </x:c>
      <x:c r="J179" s="41" t="str">
        <x:v>Count where opening year &lt;= decade and Include in metric = 1</x:v>
      </x:c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41" t="str">
        <x:v>Miguel Hidalgo</x:v>
      </x:c>
      <x:c r="B180" s="41" t="n">
        <x:v>1940</x:v>
      </x:c>
      <x:c r="C180" s="52" t="n">
        <x:f>INDEX(Population!$B$5:$R$20,MATCH(A180,Population!$A$5:$A$20,0),MATCH(B180,Population!$B$4:$R$4,0))</x:f>
        <x:v>269298</x:v>
      </x:c>
      <x:c r="D180" s="50" t="n">
        <x:f>COUNTIFS('Third Space Catalog'!$C:$C,A180,'Third Space Catalog'!$B:$B,"Museum",'Third Space Catalog'!$D:$D,"&lt;="&amp;B180,'Third Space Catalog'!$I:$I,1)</x:f>
        <x:v>0</x:v>
      </x:c>
      <x:c r="E180" s="50" t="n">
        <x:f>COUNTIFS('Third Space Catalog'!$C:$C,A180,'Third Space Catalog'!$B:$B,"Library",'Third Space Catalog'!$D:$D,"&lt;="&amp;B180,'Third Space Catalog'!$I:$I,1)</x:f>
        <x:v>0</x:v>
      </x:c>
      <x:c r="F180" s="50" t="n">
        <x:f>D180+E180</x:f>
        <x:v>0</x:v>
      </x:c>
      <x:c r="G180" s="53" t="n">
        <x:f>IFERROR(F180/C180*100000,0)</x:f>
        <x:v>0</x:v>
      </x:c>
      <x:c r="H180" s="53" t="n">
        <x:f>IFERROR(D180/C180*100000,0)</x:f>
        <x:v>0</x:v>
      </x:c>
      <x:c r="I180" s="53" t="n">
        <x:f>IFERROR(E180/C180*100000,0)</x:f>
        <x:v>0</x:v>
      </x:c>
      <x:c r="J180" s="41" t="str">
        <x:v>Count where opening year &lt;= decade and Include in metric = 1</x:v>
      </x:c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41" t="str">
        <x:v>Miguel Hidalgo</x:v>
      </x:c>
      <x:c r="B181" s="41" t="n">
        <x:v>1950</x:v>
      </x:c>
      <x:c r="C181" s="52" t="n">
        <x:f>INDEX(Population!$B$5:$R$20,MATCH(A181,Population!$A$5:$A$20,0),MATCH(B181,Population!$B$4:$R$4,0))</x:f>
        <x:v>467533</x:v>
      </x:c>
      <x:c r="D181" s="50" t="n">
        <x:f>COUNTIFS('Third Space Catalog'!$C:$C,A181,'Third Space Catalog'!$B:$B,"Museum",'Third Space Catalog'!$D:$D,"&lt;="&amp;B181,'Third Space Catalog'!$I:$I,1)</x:f>
        <x:v>1</x:v>
      </x:c>
      <x:c r="E181" s="50" t="n">
        <x:f>COUNTIFS('Third Space Catalog'!$C:$C,A181,'Third Space Catalog'!$B:$B,"Library",'Third Space Catalog'!$D:$D,"&lt;="&amp;B181,'Third Space Catalog'!$I:$I,1)</x:f>
        <x:v>0</x:v>
      </x:c>
      <x:c r="F181" s="50" t="n">
        <x:f>D181+E181</x:f>
        <x:v>1</x:v>
      </x:c>
      <x:c r="G181" s="53" t="n">
        <x:f>IFERROR(F181/C181*100000,0)</x:f>
        <x:v>0.2138886452934873</x:v>
      </x:c>
      <x:c r="H181" s="53" t="n">
        <x:f>IFERROR(D181/C181*100000,0)</x:f>
        <x:v>0.2138886452934873</x:v>
      </x:c>
      <x:c r="I181" s="53" t="n">
        <x:f>IFERROR(E181/C181*100000,0)</x:f>
        <x:v>0</x:v>
      </x:c>
      <x:c r="J181" s="41" t="str">
        <x:v>Count where opening year &lt;= decade and Include in metric = 1</x:v>
      </x:c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41" t="str">
        <x:v>Miguel Hidalgo</x:v>
      </x:c>
      <x:c r="B182" s="41" t="n">
        <x:v>1960</x:v>
      </x:c>
      <x:c r="C182" s="52" t="n">
        <x:f>INDEX(Population!$B$5:$R$20,MATCH(A182,Population!$A$5:$A$20,0),MATCH(B182,Population!$B$4:$R$4,0))</x:f>
        <x:v>592499</x:v>
      </x:c>
      <x:c r="D182" s="50" t="n">
        <x:f>COUNTIFS('Third Space Catalog'!$C:$C,A182,'Third Space Catalog'!$B:$B,"Museum",'Third Space Catalog'!$D:$D,"&lt;="&amp;B182,'Third Space Catalog'!$I:$I,1)</x:f>
        <x:v>1</x:v>
      </x:c>
      <x:c r="E182" s="50" t="n">
        <x:f>COUNTIFS('Third Space Catalog'!$C:$C,A182,'Third Space Catalog'!$B:$B,"Library",'Third Space Catalog'!$D:$D,"&lt;="&amp;B182,'Third Space Catalog'!$I:$I,1)</x:f>
        <x:v>0</x:v>
      </x:c>
      <x:c r="F182" s="50" t="n">
        <x:f>D182+E182</x:f>
        <x:v>1</x:v>
      </x:c>
      <x:c r="G182" s="53" t="n">
        <x:f>IFERROR(F182/C182*100000,0)</x:f>
        <x:v>0.16877665616313275</x:v>
      </x:c>
      <x:c r="H182" s="53" t="n">
        <x:f>IFERROR(D182/C182*100000,0)</x:f>
        <x:v>0.16877665616313275</x:v>
      </x:c>
      <x:c r="I182" s="53" t="n">
        <x:f>IFERROR(E182/C182*100000,0)</x:f>
        <x:v>0</x:v>
      </x:c>
      <x:c r="J182" s="41" t="str">
        <x:v>Count where opening year &lt;= decade and Include in metric = 1</x:v>
      </x:c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41" t="str">
        <x:v>Miguel Hidalgo</x:v>
      </x:c>
      <x:c r="B183" s="41" t="n">
        <x:v>1970</x:v>
      </x:c>
      <x:c r="C183" s="52" t="n">
        <x:f>INDEX(Population!$B$5:$R$20,MATCH(A183,Population!$A$5:$A$20,0),MATCH(B183,Population!$B$4:$R$4,0))</x:f>
        <x:v>607319</x:v>
      </x:c>
      <x:c r="D183" s="50" t="n">
        <x:f>COUNTIFS('Third Space Catalog'!$C:$C,A183,'Third Space Catalog'!$B:$B,"Museum",'Third Space Catalog'!$D:$D,"&lt;="&amp;B183,'Third Space Catalog'!$I:$I,1)</x:f>
        <x:v>3</x:v>
      </x:c>
      <x:c r="E183" s="50" t="n">
        <x:f>COUNTIFS('Third Space Catalog'!$C:$C,A183,'Third Space Catalog'!$B:$B,"Library",'Third Space Catalog'!$D:$D,"&lt;="&amp;B183,'Third Space Catalog'!$I:$I,1)</x:f>
        <x:v>0</x:v>
      </x:c>
      <x:c r="F183" s="50" t="n">
        <x:f>D183+E183</x:f>
        <x:v>3</x:v>
      </x:c>
      <x:c r="G183" s="53" t="n">
        <x:f>IFERROR(F183/C183*100000,0)</x:f>
        <x:v>0.4939743363866436</x:v>
      </x:c>
      <x:c r="H183" s="53" t="n">
        <x:f>IFERROR(D183/C183*100000,0)</x:f>
        <x:v>0.4939743363866436</x:v>
      </x:c>
      <x:c r="I183" s="53" t="n">
        <x:f>IFERROR(E183/C183*100000,0)</x:f>
        <x:v>0</x:v>
      </x:c>
      <x:c r="J183" s="41" t="str">
        <x:v>Count where opening year &lt;= decade and Include in metric = 1</x:v>
      </x:c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41" t="str">
        <x:v>Miguel Hidalgo</x:v>
      </x:c>
      <x:c r="B184" s="41" t="n">
        <x:v>1980</x:v>
      </x:c>
      <x:c r="C184" s="52" t="n">
        <x:f>INDEX(Population!$B$5:$R$20,MATCH(A184,Population!$A$5:$A$20,0),MATCH(B184,Population!$B$4:$R$4,0))</x:f>
        <x:v>543062</x:v>
      </x:c>
      <x:c r="D184" s="50" t="n">
        <x:f>COUNTIFS('Third Space Catalog'!$C:$C,A184,'Third Space Catalog'!$B:$B,"Museum",'Third Space Catalog'!$D:$D,"&lt;="&amp;B184,'Third Space Catalog'!$I:$I,1)</x:f>
        <x:v>3</x:v>
      </x:c>
      <x:c r="E184" s="50" t="n">
        <x:f>COUNTIFS('Third Space Catalog'!$C:$C,A184,'Third Space Catalog'!$B:$B,"Library",'Third Space Catalog'!$D:$D,"&lt;="&amp;B184,'Third Space Catalog'!$I:$I,1)</x:f>
        <x:v>0</x:v>
      </x:c>
      <x:c r="F184" s="50" t="n">
        <x:f>D184+E184</x:f>
        <x:v>3</x:v>
      </x:c>
      <x:c r="G184" s="53" t="n">
        <x:f>IFERROR(F184/C184*100000,0)</x:f>
        <x:v>0.552423111909874</x:v>
      </x:c>
      <x:c r="H184" s="53" t="n">
        <x:f>IFERROR(D184/C184*100000,0)</x:f>
        <x:v>0.552423111909874</x:v>
      </x:c>
      <x:c r="I184" s="53" t="n">
        <x:f>IFERROR(E184/C184*100000,0)</x:f>
        <x:v>0</x:v>
      </x:c>
      <x:c r="J184" s="41" t="str">
        <x:v>Count where opening year &lt;= decade and Include in metric = 1</x:v>
      </x:c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41" t="str">
        <x:v>Miguel Hidalgo</x:v>
      </x:c>
      <x:c r="B185" s="41" t="n">
        <x:v>1990</x:v>
      </x:c>
      <x:c r="C185" s="52" t="n">
        <x:f>INDEX(Population!$B$5:$R$20,MATCH(A185,Population!$A$5:$A$20,0),MATCH(B185,Population!$B$4:$R$4,0))</x:f>
        <x:v>406868</x:v>
      </x:c>
      <x:c r="D185" s="50" t="n">
        <x:f>COUNTIFS('Third Space Catalog'!$C:$C,A185,'Third Space Catalog'!$B:$B,"Museum",'Third Space Catalog'!$D:$D,"&lt;="&amp;B185,'Third Space Catalog'!$I:$I,1)</x:f>
        <x:v>4</x:v>
      </x:c>
      <x:c r="E185" s="50" t="n">
        <x:f>COUNTIFS('Third Space Catalog'!$C:$C,A185,'Third Space Catalog'!$B:$B,"Library",'Third Space Catalog'!$D:$D,"&lt;="&amp;B185,'Third Space Catalog'!$I:$I,1)</x:f>
        <x:v>0</x:v>
      </x:c>
      <x:c r="F185" s="50" t="n">
        <x:f>D185+E185</x:f>
        <x:v>4</x:v>
      </x:c>
      <x:c r="G185" s="53" t="n">
        <x:f>IFERROR(F185/C185*100000,0)</x:f>
        <x:v>0.9831198324763806</x:v>
      </x:c>
      <x:c r="H185" s="53" t="n">
        <x:f>IFERROR(D185/C185*100000,0)</x:f>
        <x:v>0.9831198324763806</x:v>
      </x:c>
      <x:c r="I185" s="53" t="n">
        <x:f>IFERROR(E185/C185*100000,0)</x:f>
        <x:v>0</x:v>
      </x:c>
      <x:c r="J185" s="41" t="str">
        <x:v>Count where opening year &lt;= decade and Include in metric = 1</x:v>
      </x:c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41" t="str">
        <x:v>Miguel Hidalgo</x:v>
      </x:c>
      <x:c r="B186" s="41" t="n">
        <x:v>2000</x:v>
      </x:c>
      <x:c r="C186" s="52" t="n">
        <x:f>INDEX(Population!$B$5:$R$20,MATCH(A186,Population!$A$5:$A$20,0),MATCH(B186,Population!$B$4:$R$4,0))</x:f>
        <x:v>352640</x:v>
      </x:c>
      <x:c r="D186" s="50" t="n">
        <x:f>COUNTIFS('Third Space Catalog'!$C:$C,A186,'Third Space Catalog'!$B:$B,"Museum",'Third Space Catalog'!$D:$D,"&lt;="&amp;B186,'Third Space Catalog'!$I:$I,1)</x:f>
        <x:v>5</x:v>
      </x:c>
      <x:c r="E186" s="50" t="n">
        <x:f>COUNTIFS('Third Space Catalog'!$C:$C,A186,'Third Space Catalog'!$B:$B,"Library",'Third Space Catalog'!$D:$D,"&lt;="&amp;B186,'Third Space Catalog'!$I:$I,1)</x:f>
        <x:v>0</x:v>
      </x:c>
      <x:c r="F186" s="50" t="n">
        <x:f>D186+E186</x:f>
        <x:v>5</x:v>
      </x:c>
      <x:c r="G186" s="53" t="n">
        <x:f>IFERROR(F186/C186*100000,0)</x:f>
        <x:v>1.4178765880217785</x:v>
      </x:c>
      <x:c r="H186" s="53" t="n">
        <x:f>IFERROR(D186/C186*100000,0)</x:f>
        <x:v>1.4178765880217785</x:v>
      </x:c>
      <x:c r="I186" s="53" t="n">
        <x:f>IFERROR(E186/C186*100000,0)</x:f>
        <x:v>0</x:v>
      </x:c>
      <x:c r="J186" s="41" t="str">
        <x:v>Count where opening year &lt;= decade and Include in metric = 1</x:v>
      </x:c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41" t="str">
        <x:v>Miguel Hidalgo</x:v>
      </x:c>
      <x:c r="B187" s="41" t="n">
        <x:v>2010</x:v>
      </x:c>
      <x:c r="C187" s="52" t="n">
        <x:f>INDEX(Population!$B$5:$R$20,MATCH(A187,Population!$A$5:$A$20,0),MATCH(B187,Population!$B$4:$R$4,0))</x:f>
        <x:v>372889</x:v>
      </x:c>
      <x:c r="D187" s="50" t="n">
        <x:f>COUNTIFS('Third Space Catalog'!$C:$C,A187,'Third Space Catalog'!$B:$B,"Museum",'Third Space Catalog'!$D:$D,"&lt;="&amp;B187,'Third Space Catalog'!$I:$I,1)</x:f>
        <x:v>5</x:v>
      </x:c>
      <x:c r="E187" s="50" t="n">
        <x:f>COUNTIFS('Third Space Catalog'!$C:$C,A187,'Third Space Catalog'!$B:$B,"Library",'Third Space Catalog'!$D:$D,"&lt;="&amp;B187,'Third Space Catalog'!$I:$I,1)</x:f>
        <x:v>0</x:v>
      </x:c>
      <x:c r="F187" s="50" t="n">
        <x:f>D187+E187</x:f>
        <x:v>5</x:v>
      </x:c>
      <x:c r="G187" s="53" t="n">
        <x:f>IFERROR(F187/C187*100000,0)</x:f>
        <x:v>1.3408816028362327</x:v>
      </x:c>
      <x:c r="H187" s="53" t="n">
        <x:f>IFERROR(D187/C187*100000,0)</x:f>
        <x:v>1.3408816028362327</x:v>
      </x:c>
      <x:c r="I187" s="53" t="n">
        <x:f>IFERROR(E187/C187*100000,0)</x:f>
        <x:v>0</x:v>
      </x:c>
      <x:c r="J187" s="41" t="str">
        <x:v>Count where opening year &lt;= decade and Include in metric = 1</x:v>
      </x:c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41" t="str">
        <x:v>Miguel Hidalgo</x:v>
      </x:c>
      <x:c r="B188" s="41" t="n">
        <x:v>2020</x:v>
      </x:c>
      <x:c r="C188" s="52" t="n">
        <x:f>INDEX(Population!$B$5:$R$20,MATCH(A188,Population!$A$5:$A$20,0),MATCH(B188,Population!$B$4:$R$4,0))</x:f>
        <x:v>414470</x:v>
      </x:c>
      <x:c r="D188" s="50" t="n">
        <x:f>COUNTIFS('Third Space Catalog'!$C:$C,A188,'Third Space Catalog'!$B:$B,"Museum",'Third Space Catalog'!$D:$D,"&lt;="&amp;B188,'Third Space Catalog'!$I:$I,1)</x:f>
        <x:v>7</x:v>
      </x:c>
      <x:c r="E188" s="50" t="n">
        <x:f>COUNTIFS('Third Space Catalog'!$C:$C,A188,'Third Space Catalog'!$B:$B,"Library",'Third Space Catalog'!$D:$D,"&lt;="&amp;B188,'Third Space Catalog'!$I:$I,1)</x:f>
        <x:v>0</x:v>
      </x:c>
      <x:c r="F188" s="50" t="n">
        <x:f>D188+E188</x:f>
        <x:v>7</x:v>
      </x:c>
      <x:c r="G188" s="53" t="n">
        <x:f>IFERROR(F188/C188*100000,0)</x:f>
        <x:v>1.688903901368012</x:v>
      </x:c>
      <x:c r="H188" s="53" t="n">
        <x:f>IFERROR(D188/C188*100000,0)</x:f>
        <x:v>1.688903901368012</x:v>
      </x:c>
      <x:c r="I188" s="53" t="n">
        <x:f>IFERROR(E188/C188*100000,0)</x:f>
        <x:v>0</x:v>
      </x:c>
      <x:c r="J188" s="41" t="str">
        <x:v>Count where opening year &lt;= decade and Include in metric = 1</x:v>
      </x:c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41" t="str">
        <x:v>Milpa Alta</x:v>
      </x:c>
      <x:c r="B189" s="41" t="n">
        <x:v>1860</x:v>
      </x:c>
      <x:c r="C189" s="52" t="n">
        <x:f>INDEX(Population!$B$5:$R$20,MATCH(A189,Population!$A$5:$A$20,0),MATCH(B189,Population!$B$4:$R$4,0))</x:f>
        <x:v>4022</x:v>
      </x:c>
      <x:c r="D189" s="50" t="n">
        <x:f>COUNTIFS('Third Space Catalog'!$C:$C,A189,'Third Space Catalog'!$B:$B,"Museum",'Third Space Catalog'!$D:$D,"&lt;="&amp;B189,'Third Space Catalog'!$I:$I,1)</x:f>
        <x:v>0</x:v>
      </x:c>
      <x:c r="E189" s="50" t="n">
        <x:f>COUNTIFS('Third Space Catalog'!$C:$C,A189,'Third Space Catalog'!$B:$B,"Library",'Third Space Catalog'!$D:$D,"&lt;="&amp;B189,'Third Space Catalog'!$I:$I,1)</x:f>
        <x:v>0</x:v>
      </x:c>
      <x:c r="F189" s="50" t="n">
        <x:f>D189+E189</x:f>
        <x:v>0</x:v>
      </x:c>
      <x:c r="G189" s="53" t="n">
        <x:f>IFERROR(F189/C189*100000,0)</x:f>
        <x:v>0</x:v>
      </x:c>
      <x:c r="H189" s="53" t="n">
        <x:f>IFERROR(D189/C189*100000,0)</x:f>
        <x:v>0</x:v>
      </x:c>
      <x:c r="I189" s="53" t="n">
        <x:f>IFERROR(E189/C189*100000,0)</x:f>
        <x:v>0</x:v>
      </x:c>
      <x:c r="J189" s="41" t="str">
        <x:v>Count where opening year &lt;= decade and Include in metric = 1</x:v>
      </x:c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41" t="str">
        <x:v>Milpa Alta</x:v>
      </x:c>
      <x:c r="B190" s="41" t="n">
        <x:v>1870</x:v>
      </x:c>
      <x:c r="C190" s="52" t="n">
        <x:f>INDEX(Population!$B$5:$R$20,MATCH(A190,Population!$A$5:$A$20,0),MATCH(B190,Population!$B$4:$R$4,0))</x:f>
        <x:v>4388</x:v>
      </x:c>
      <x:c r="D190" s="50" t="n">
        <x:f>COUNTIFS('Third Space Catalog'!$C:$C,A190,'Third Space Catalog'!$B:$B,"Museum",'Third Space Catalog'!$D:$D,"&lt;="&amp;B190,'Third Space Catalog'!$I:$I,1)</x:f>
        <x:v>0</x:v>
      </x:c>
      <x:c r="E190" s="50" t="n">
        <x:f>COUNTIFS('Third Space Catalog'!$C:$C,A190,'Third Space Catalog'!$B:$B,"Library",'Third Space Catalog'!$D:$D,"&lt;="&amp;B190,'Third Space Catalog'!$I:$I,1)</x:f>
        <x:v>0</x:v>
      </x:c>
      <x:c r="F190" s="50" t="n">
        <x:f>D190+E190</x:f>
        <x:v>0</x:v>
      </x:c>
      <x:c r="G190" s="53" t="n">
        <x:f>IFERROR(F190/C190*100000,0)</x:f>
        <x:v>0</x:v>
      </x:c>
      <x:c r="H190" s="53" t="n">
        <x:f>IFERROR(D190/C190*100000,0)</x:f>
        <x:v>0</x:v>
      </x:c>
      <x:c r="I190" s="53" t="n">
        <x:f>IFERROR(E190/C190*100000,0)</x:f>
        <x:v>0</x:v>
      </x:c>
      <x:c r="J190" s="41" t="str">
        <x:v>Count where opening year &lt;= decade and Include in metric = 1</x:v>
      </x:c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41" t="str">
        <x:v>Milpa Alta</x:v>
      </x:c>
      <x:c r="B191" s="41" t="n">
        <x:v>1880</x:v>
      </x:c>
      <x:c r="C191" s="52" t="n">
        <x:f>INDEX(Population!$B$5:$R$20,MATCH(A191,Population!$A$5:$A$20,0),MATCH(B191,Population!$B$4:$R$4,0))</x:f>
        <x:v>5302</x:v>
      </x:c>
      <x:c r="D191" s="50" t="n">
        <x:f>COUNTIFS('Third Space Catalog'!$C:$C,A191,'Third Space Catalog'!$B:$B,"Museum",'Third Space Catalog'!$D:$D,"&lt;="&amp;B191,'Third Space Catalog'!$I:$I,1)</x:f>
        <x:v>0</x:v>
      </x:c>
      <x:c r="E191" s="50" t="n">
        <x:f>COUNTIFS('Third Space Catalog'!$C:$C,A191,'Third Space Catalog'!$B:$B,"Library",'Third Space Catalog'!$D:$D,"&lt;="&amp;B191,'Third Space Catalog'!$I:$I,1)</x:f>
        <x:v>0</x:v>
      </x:c>
      <x:c r="F191" s="50" t="n">
        <x:f>D191+E191</x:f>
        <x:v>0</x:v>
      </x:c>
      <x:c r="G191" s="53" t="n">
        <x:f>IFERROR(F191/C191*100000,0)</x:f>
        <x:v>0</x:v>
      </x:c>
      <x:c r="H191" s="53" t="n">
        <x:f>IFERROR(D191/C191*100000,0)</x:f>
        <x:v>0</x:v>
      </x:c>
      <x:c r="I191" s="53" t="n">
        <x:f>IFERROR(E191/C191*100000,0)</x:f>
        <x:v>0</x:v>
      </x:c>
      <x:c r="J191" s="41" t="str">
        <x:v>Count where opening year &lt;= decade and Include in metric = 1</x:v>
      </x:c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41" t="str">
        <x:v>Milpa Alta</x:v>
      </x:c>
      <x:c r="B192" s="41" t="n">
        <x:v>1890</x:v>
      </x:c>
      <x:c r="C192" s="52" t="n">
        <x:f>INDEX(Population!$B$5:$R$20,MATCH(A192,Population!$A$5:$A$20,0),MATCH(B192,Population!$B$4:$R$4,0))</x:f>
        <x:v>7313</x:v>
      </x:c>
      <x:c r="D192" s="50" t="n">
        <x:f>COUNTIFS('Third Space Catalog'!$C:$C,A192,'Third Space Catalog'!$B:$B,"Museum",'Third Space Catalog'!$D:$D,"&lt;="&amp;B192,'Third Space Catalog'!$I:$I,1)</x:f>
        <x:v>0</x:v>
      </x:c>
      <x:c r="E192" s="50" t="n">
        <x:f>COUNTIFS('Third Space Catalog'!$C:$C,A192,'Third Space Catalog'!$B:$B,"Library",'Third Space Catalog'!$D:$D,"&lt;="&amp;B192,'Third Space Catalog'!$I:$I,1)</x:f>
        <x:v>0</x:v>
      </x:c>
      <x:c r="F192" s="50" t="n">
        <x:f>D192+E192</x:f>
        <x:v>0</x:v>
      </x:c>
      <x:c r="G192" s="53" t="n">
        <x:f>IFERROR(F192/C192*100000,0)</x:f>
        <x:v>0</x:v>
      </x:c>
      <x:c r="H192" s="53" t="n">
        <x:f>IFERROR(D192/C192*100000,0)</x:f>
        <x:v>0</x:v>
      </x:c>
      <x:c r="I192" s="53" t="n">
        <x:f>IFERROR(E192/C192*100000,0)</x:f>
        <x:v>0</x:v>
      </x:c>
      <x:c r="J192" s="41" t="str">
        <x:v>Count where opening year &lt;= decade and Include in metric = 1</x:v>
      </x:c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41" t="str">
        <x:v>Milpa Alta</x:v>
      </x:c>
      <x:c r="B193" s="41" t="n">
        <x:v>1900</x:v>
      </x:c>
      <x:c r="C193" s="52" t="n">
        <x:f>INDEX(Population!$B$5:$R$20,MATCH(A193,Population!$A$5:$A$20,0),MATCH(B193,Population!$B$4:$R$4,0))</x:f>
        <x:v>9896</x:v>
      </x:c>
      <x:c r="D193" s="50" t="n">
        <x:f>COUNTIFS('Third Space Catalog'!$C:$C,A193,'Third Space Catalog'!$B:$B,"Museum",'Third Space Catalog'!$D:$D,"&lt;="&amp;B193,'Third Space Catalog'!$I:$I,1)</x:f>
        <x:v>0</x:v>
      </x:c>
      <x:c r="E193" s="50" t="n">
        <x:f>COUNTIFS('Third Space Catalog'!$C:$C,A193,'Third Space Catalog'!$B:$B,"Library",'Third Space Catalog'!$D:$D,"&lt;="&amp;B193,'Third Space Catalog'!$I:$I,1)</x:f>
        <x:v>0</x:v>
      </x:c>
      <x:c r="F193" s="50" t="n">
        <x:f>D193+E193</x:f>
        <x:v>0</x:v>
      </x:c>
      <x:c r="G193" s="53" t="n">
        <x:f>IFERROR(F193/C193*100000,0)</x:f>
        <x:v>0</x:v>
      </x:c>
      <x:c r="H193" s="53" t="n">
        <x:f>IFERROR(D193/C193*100000,0)</x:f>
        <x:v>0</x:v>
      </x:c>
      <x:c r="I193" s="53" t="n">
        <x:f>IFERROR(E193/C193*100000,0)</x:f>
        <x:v>0</x:v>
      </x:c>
      <x:c r="J193" s="41" t="str">
        <x:v>Count where opening year &lt;= decade and Include in metric = 1</x:v>
      </x:c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41" t="str">
        <x:v>Milpa Alta</x:v>
      </x:c>
      <x:c r="B194" s="41" t="n">
        <x:v>1910</x:v>
      </x:c>
      <x:c r="C194" s="52" t="n">
        <x:f>INDEX(Population!$B$5:$R$20,MATCH(A194,Population!$A$5:$A$20,0),MATCH(B194,Population!$B$4:$R$4,0))</x:f>
        <x:v>7986</x:v>
      </x:c>
      <x:c r="D194" s="50" t="n">
        <x:f>COUNTIFS('Third Space Catalog'!$C:$C,A194,'Third Space Catalog'!$B:$B,"Museum",'Third Space Catalog'!$D:$D,"&lt;="&amp;B194,'Third Space Catalog'!$I:$I,1)</x:f>
        <x:v>0</x:v>
      </x:c>
      <x:c r="E194" s="50" t="n">
        <x:f>COUNTIFS('Third Space Catalog'!$C:$C,A194,'Third Space Catalog'!$B:$B,"Library",'Third Space Catalog'!$D:$D,"&lt;="&amp;B194,'Third Space Catalog'!$I:$I,1)</x:f>
        <x:v>0</x:v>
      </x:c>
      <x:c r="F194" s="50" t="n">
        <x:f>D194+E194</x:f>
        <x:v>0</x:v>
      </x:c>
      <x:c r="G194" s="53" t="n">
        <x:f>IFERROR(F194/C194*100000,0)</x:f>
        <x:v>0</x:v>
      </x:c>
      <x:c r="H194" s="53" t="n">
        <x:f>IFERROR(D194/C194*100000,0)</x:f>
        <x:v>0</x:v>
      </x:c>
      <x:c r="I194" s="53" t="n">
        <x:f>IFERROR(E194/C194*100000,0)</x:f>
        <x:v>0</x:v>
      </x:c>
      <x:c r="J194" s="41" t="str">
        <x:v>Count where opening year &lt;= decade and Include in metric = 1</x:v>
      </x:c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41" t="str">
        <x:v>Milpa Alta</x:v>
      </x:c>
      <x:c r="B195" s="41" t="n">
        <x:v>1920</x:v>
      </x:c>
      <x:c r="C195" s="52" t="n">
        <x:f>INDEX(Population!$B$5:$R$20,MATCH(A195,Population!$A$5:$A$20,0),MATCH(B195,Population!$B$4:$R$4,0))</x:f>
        <x:v>7755</x:v>
      </x:c>
      <x:c r="D195" s="50" t="n">
        <x:f>COUNTIFS('Third Space Catalog'!$C:$C,A195,'Third Space Catalog'!$B:$B,"Museum",'Third Space Catalog'!$D:$D,"&lt;="&amp;B195,'Third Space Catalog'!$I:$I,1)</x:f>
        <x:v>0</x:v>
      </x:c>
      <x:c r="E195" s="50" t="n">
        <x:f>COUNTIFS('Third Space Catalog'!$C:$C,A195,'Third Space Catalog'!$B:$B,"Library",'Third Space Catalog'!$D:$D,"&lt;="&amp;B195,'Third Space Catalog'!$I:$I,1)</x:f>
        <x:v>0</x:v>
      </x:c>
      <x:c r="F195" s="50" t="n">
        <x:f>D195+E195</x:f>
        <x:v>0</x:v>
      </x:c>
      <x:c r="G195" s="53" t="n">
        <x:f>IFERROR(F195/C195*100000,0)</x:f>
        <x:v>0</x:v>
      </x:c>
      <x:c r="H195" s="53" t="n">
        <x:f>IFERROR(D195/C195*100000,0)</x:f>
        <x:v>0</x:v>
      </x:c>
      <x:c r="I195" s="53" t="n">
        <x:f>IFERROR(E195/C195*100000,0)</x:f>
        <x:v>0</x:v>
      </x:c>
      <x:c r="J195" s="41" t="str">
        <x:v>Count where opening year &lt;= decade and Include in metric = 1</x:v>
      </x:c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41" t="str">
        <x:v>Milpa Alta</x:v>
      </x:c>
      <x:c r="B196" s="41" t="n">
        <x:v>1930</x:v>
      </x:c>
      <x:c r="C196" s="52" t="n">
        <x:f>INDEX(Population!$B$5:$R$20,MATCH(A196,Population!$A$5:$A$20,0),MATCH(B196,Population!$B$4:$R$4,0))</x:f>
        <x:v>8942</x:v>
      </x:c>
      <x:c r="D196" s="50" t="n">
        <x:f>COUNTIFS('Third Space Catalog'!$C:$C,A196,'Third Space Catalog'!$B:$B,"Museum",'Third Space Catalog'!$D:$D,"&lt;="&amp;B196,'Third Space Catalog'!$I:$I,1)</x:f>
        <x:v>0</x:v>
      </x:c>
      <x:c r="E196" s="50" t="n">
        <x:f>COUNTIFS('Third Space Catalog'!$C:$C,A196,'Third Space Catalog'!$B:$B,"Library",'Third Space Catalog'!$D:$D,"&lt;="&amp;B196,'Third Space Catalog'!$I:$I,1)</x:f>
        <x:v>0</x:v>
      </x:c>
      <x:c r="F196" s="50" t="n">
        <x:f>D196+E196</x:f>
        <x:v>0</x:v>
      </x:c>
      <x:c r="G196" s="53" t="n">
        <x:f>IFERROR(F196/C196*100000,0)</x:f>
        <x:v>0</x:v>
      </x:c>
      <x:c r="H196" s="53" t="n">
        <x:f>IFERROR(D196/C196*100000,0)</x:f>
        <x:v>0</x:v>
      </x:c>
      <x:c r="I196" s="53" t="n">
        <x:f>IFERROR(E196/C196*100000,0)</x:f>
        <x:v>0</x:v>
      </x:c>
      <x:c r="J196" s="41" t="str">
        <x:v>Count where opening year &lt;= decade and Include in metric = 1</x:v>
      </x:c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41" t="str">
        <x:v>Milpa Alta</x:v>
      </x:c>
      <x:c r="B197" s="41" t="n">
        <x:v>1940</x:v>
      </x:c>
      <x:c r="C197" s="52" t="n">
        <x:f>INDEX(Population!$B$5:$R$20,MATCH(A197,Population!$A$5:$A$20,0),MATCH(B197,Population!$B$4:$R$4,0))</x:f>
        <x:v>11412</x:v>
      </x:c>
      <x:c r="D197" s="50" t="n">
        <x:f>COUNTIFS('Third Space Catalog'!$C:$C,A197,'Third Space Catalog'!$B:$B,"Museum",'Third Space Catalog'!$D:$D,"&lt;="&amp;B197,'Third Space Catalog'!$I:$I,1)</x:f>
        <x:v>0</x:v>
      </x:c>
      <x:c r="E197" s="50" t="n">
        <x:f>COUNTIFS('Third Space Catalog'!$C:$C,A197,'Third Space Catalog'!$B:$B,"Library",'Third Space Catalog'!$D:$D,"&lt;="&amp;B197,'Third Space Catalog'!$I:$I,1)</x:f>
        <x:v>0</x:v>
      </x:c>
      <x:c r="F197" s="50" t="n">
        <x:f>D197+E197</x:f>
        <x:v>0</x:v>
      </x:c>
      <x:c r="G197" s="53" t="n">
        <x:f>IFERROR(F197/C197*100000,0)</x:f>
        <x:v>0</x:v>
      </x:c>
      <x:c r="H197" s="53" t="n">
        <x:f>IFERROR(D197/C197*100000,0)</x:f>
        <x:v>0</x:v>
      </x:c>
      <x:c r="I197" s="53" t="n">
        <x:f>IFERROR(E197/C197*100000,0)</x:f>
        <x:v>0</x:v>
      </x:c>
      <x:c r="J197" s="41" t="str">
        <x:v>Count where opening year &lt;= decade and Include in metric = 1</x:v>
      </x:c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41" t="str">
        <x:v>Milpa Alta</x:v>
      </x:c>
      <x:c r="B198" s="41" t="n">
        <x:v>1950</x:v>
      </x:c>
      <x:c r="C198" s="52" t="n">
        <x:f>INDEX(Population!$B$5:$R$20,MATCH(A198,Population!$A$5:$A$20,0),MATCH(B198,Population!$B$4:$R$4,0))</x:f>
        <x:v>18212</x:v>
      </x:c>
      <x:c r="D198" s="50" t="n">
        <x:f>COUNTIFS('Third Space Catalog'!$C:$C,A198,'Third Space Catalog'!$B:$B,"Museum",'Third Space Catalog'!$D:$D,"&lt;="&amp;B198,'Third Space Catalog'!$I:$I,1)</x:f>
        <x:v>0</x:v>
      </x:c>
      <x:c r="E198" s="50" t="n">
        <x:f>COUNTIFS('Third Space Catalog'!$C:$C,A198,'Third Space Catalog'!$B:$B,"Library",'Third Space Catalog'!$D:$D,"&lt;="&amp;B198,'Third Space Catalog'!$I:$I,1)</x:f>
        <x:v>0</x:v>
      </x:c>
      <x:c r="F198" s="50" t="n">
        <x:f>D198+E198</x:f>
        <x:v>0</x:v>
      </x:c>
      <x:c r="G198" s="53" t="n">
        <x:f>IFERROR(F198/C198*100000,0)</x:f>
        <x:v>0</x:v>
      </x:c>
      <x:c r="H198" s="53" t="n">
        <x:f>IFERROR(D198/C198*100000,0)</x:f>
        <x:v>0</x:v>
      </x:c>
      <x:c r="I198" s="53" t="n">
        <x:f>IFERROR(E198/C198*100000,0)</x:f>
        <x:v>0</x:v>
      </x:c>
      <x:c r="J198" s="41" t="str">
        <x:v>Count where opening year &lt;= decade and Include in metric = 1</x:v>
      </x:c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41" t="str">
        <x:v>Milpa Alta</x:v>
      </x:c>
      <x:c r="B199" s="41" t="n">
        <x:v>1960</x:v>
      </x:c>
      <x:c r="C199" s="52" t="n">
        <x:f>INDEX(Population!$B$5:$R$20,MATCH(A199,Population!$A$5:$A$20,0),MATCH(B199,Population!$B$4:$R$4,0))</x:f>
        <x:v>24379</x:v>
      </x:c>
      <x:c r="D199" s="50" t="n">
        <x:f>COUNTIFS('Third Space Catalog'!$C:$C,A199,'Third Space Catalog'!$B:$B,"Museum",'Third Space Catalog'!$D:$D,"&lt;="&amp;B199,'Third Space Catalog'!$I:$I,1)</x:f>
        <x:v>0</x:v>
      </x:c>
      <x:c r="E199" s="50" t="n">
        <x:f>COUNTIFS('Third Space Catalog'!$C:$C,A199,'Third Space Catalog'!$B:$B,"Library",'Third Space Catalog'!$D:$D,"&lt;="&amp;B199,'Third Space Catalog'!$I:$I,1)</x:f>
        <x:v>0</x:v>
      </x:c>
      <x:c r="F199" s="50" t="n">
        <x:f>D199+E199</x:f>
        <x:v>0</x:v>
      </x:c>
      <x:c r="G199" s="53" t="n">
        <x:f>IFERROR(F199/C199*100000,0)</x:f>
        <x:v>0</x:v>
      </x:c>
      <x:c r="H199" s="53" t="n">
        <x:f>IFERROR(D199/C199*100000,0)</x:f>
        <x:v>0</x:v>
      </x:c>
      <x:c r="I199" s="53" t="n">
        <x:f>IFERROR(E199/C199*100000,0)</x:f>
        <x:v>0</x:v>
      </x:c>
      <x:c r="J199" s="41" t="str">
        <x:v>Count where opening year &lt;= decade and Include in metric = 1</x:v>
      </x:c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41" t="str">
        <x:v>Milpa Alta</x:v>
      </x:c>
      <x:c r="B200" s="41" t="n">
        <x:v>1970</x:v>
      </x:c>
      <x:c r="C200" s="52" t="n">
        <x:f>INDEX(Population!$B$5:$R$20,MATCH(A200,Population!$A$5:$A$20,0),MATCH(B200,Population!$B$4:$R$4,0))</x:f>
        <x:v>33694</x:v>
      </x:c>
      <x:c r="D200" s="50" t="n">
        <x:f>COUNTIFS('Third Space Catalog'!$C:$C,A200,'Third Space Catalog'!$B:$B,"Museum",'Third Space Catalog'!$D:$D,"&lt;="&amp;B200,'Third Space Catalog'!$I:$I,1)</x:f>
        <x:v>0</x:v>
      </x:c>
      <x:c r="E200" s="50" t="n">
        <x:f>COUNTIFS('Third Space Catalog'!$C:$C,A200,'Third Space Catalog'!$B:$B,"Library",'Third Space Catalog'!$D:$D,"&lt;="&amp;B200,'Third Space Catalog'!$I:$I,1)</x:f>
        <x:v>0</x:v>
      </x:c>
      <x:c r="F200" s="50" t="n">
        <x:f>D200+E200</x:f>
        <x:v>0</x:v>
      </x:c>
      <x:c r="G200" s="53" t="n">
        <x:f>IFERROR(F200/C200*100000,0)</x:f>
        <x:v>0</x:v>
      </x:c>
      <x:c r="H200" s="53" t="n">
        <x:f>IFERROR(D200/C200*100000,0)</x:f>
        <x:v>0</x:v>
      </x:c>
      <x:c r="I200" s="53" t="n">
        <x:f>IFERROR(E200/C200*100000,0)</x:f>
        <x:v>0</x:v>
      </x:c>
      <x:c r="J200" s="41" t="str">
        <x:v>Count where opening year &lt;= decade and Include in metric = 1</x:v>
      </x:c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  <x:row r="201">
      <x:c r="A201" s="41" t="str">
        <x:v>Milpa Alta</x:v>
      </x:c>
      <x:c r="B201" s="41" t="n">
        <x:v>1980</x:v>
      </x:c>
      <x:c r="C201" s="52" t="n">
        <x:f>INDEX(Population!$B$5:$R$20,MATCH(A201,Population!$A$5:$A$20,0),MATCH(B201,Population!$B$4:$R$4,0))</x:f>
        <x:v>53616</x:v>
      </x:c>
      <x:c r="D201" s="50" t="n">
        <x:f>COUNTIFS('Third Space Catalog'!$C:$C,A201,'Third Space Catalog'!$B:$B,"Museum",'Third Space Catalog'!$D:$D,"&lt;="&amp;B201,'Third Space Catalog'!$I:$I,1)</x:f>
        <x:v>0</x:v>
      </x:c>
      <x:c r="E201" s="50" t="n">
        <x:f>COUNTIFS('Third Space Catalog'!$C:$C,A201,'Third Space Catalog'!$B:$B,"Library",'Third Space Catalog'!$D:$D,"&lt;="&amp;B201,'Third Space Catalog'!$I:$I,1)</x:f>
        <x:v>1</x:v>
      </x:c>
      <x:c r="F201" s="50" t="n">
        <x:f>D201+E201</x:f>
        <x:v>1</x:v>
      </x:c>
      <x:c r="G201" s="53" t="n">
        <x:f>IFERROR(F201/C201*100000,0)</x:f>
        <x:v>1.8651148910772906</x:v>
      </x:c>
      <x:c r="H201" s="53" t="n">
        <x:f>IFERROR(D201/C201*100000,0)</x:f>
        <x:v>0</x:v>
      </x:c>
      <x:c r="I201" s="53" t="n">
        <x:f>IFERROR(E201/C201*100000,0)</x:f>
        <x:v>1.8651148910772906</x:v>
      </x:c>
      <x:c r="J201" s="41" t="str">
        <x:v>Count where opening year &lt;= decade and Include in metric = 1</x:v>
      </x:c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</x:row>
    <x:row r="202">
      <x:c r="A202" s="41" t="str">
        <x:v>Milpa Alta</x:v>
      </x:c>
      <x:c r="B202" s="41" t="n">
        <x:v>1990</x:v>
      </x:c>
      <x:c r="C202" s="52" t="n">
        <x:f>INDEX(Population!$B$5:$R$20,MATCH(A202,Population!$A$5:$A$20,0),MATCH(B202,Population!$B$4:$R$4,0))</x:f>
        <x:v>63654</x:v>
      </x:c>
      <x:c r="D202" s="50" t="n">
        <x:f>COUNTIFS('Third Space Catalog'!$C:$C,A202,'Third Space Catalog'!$B:$B,"Museum",'Third Space Catalog'!$D:$D,"&lt;="&amp;B202,'Third Space Catalog'!$I:$I,1)</x:f>
        <x:v>0</x:v>
      </x:c>
      <x:c r="E202" s="50" t="n">
        <x:f>COUNTIFS('Third Space Catalog'!$C:$C,A202,'Third Space Catalog'!$B:$B,"Library",'Third Space Catalog'!$D:$D,"&lt;="&amp;B202,'Third Space Catalog'!$I:$I,1)</x:f>
        <x:v>1</x:v>
      </x:c>
      <x:c r="F202" s="50" t="n">
        <x:f>D202+E202</x:f>
        <x:v>1</x:v>
      </x:c>
      <x:c r="G202" s="53" t="n">
        <x:f>IFERROR(F202/C202*100000,0)</x:f>
        <x:v>1.5709931818895906</x:v>
      </x:c>
      <x:c r="H202" s="53" t="n">
        <x:f>IFERROR(D202/C202*100000,0)</x:f>
        <x:v>0</x:v>
      </x:c>
      <x:c r="I202" s="53" t="n">
        <x:f>IFERROR(E202/C202*100000,0)</x:f>
        <x:v>1.5709931818895906</x:v>
      </x:c>
      <x:c r="J202" s="41" t="str">
        <x:v>Count where opening year &lt;= decade and Include in metric = 1</x:v>
      </x:c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</x:row>
    <x:row r="203">
      <x:c r="A203" s="41" t="str">
        <x:v>Milpa Alta</x:v>
      </x:c>
      <x:c r="B203" s="41" t="n">
        <x:v>2000</x:v>
      </x:c>
      <x:c r="C203" s="52" t="n">
        <x:f>INDEX(Population!$B$5:$R$20,MATCH(A203,Population!$A$5:$A$20,0),MATCH(B203,Population!$B$4:$R$4,0))</x:f>
        <x:v>96773</x:v>
      </x:c>
      <x:c r="D203" s="50" t="n">
        <x:f>COUNTIFS('Third Space Catalog'!$C:$C,A203,'Third Space Catalog'!$B:$B,"Museum",'Third Space Catalog'!$D:$D,"&lt;="&amp;B203,'Third Space Catalog'!$I:$I,1)</x:f>
        <x:v>1</x:v>
      </x:c>
      <x:c r="E203" s="50" t="n">
        <x:f>COUNTIFS('Third Space Catalog'!$C:$C,A203,'Third Space Catalog'!$B:$B,"Library",'Third Space Catalog'!$D:$D,"&lt;="&amp;B203,'Third Space Catalog'!$I:$I,1)</x:f>
        <x:v>1</x:v>
      </x:c>
      <x:c r="F203" s="50" t="n">
        <x:f>D203+E203</x:f>
        <x:v>2</x:v>
      </x:c>
      <x:c r="G203" s="53" t="n">
        <x:f>IFERROR(F203/C203*100000,0)</x:f>
        <x:v>2.0666921558699225</x:v>
      </x:c>
      <x:c r="H203" s="53" t="n">
        <x:f>IFERROR(D203/C203*100000,0)</x:f>
        <x:v>1.0333460779349612</x:v>
      </x:c>
      <x:c r="I203" s="53" t="n">
        <x:f>IFERROR(E203/C203*100000,0)</x:f>
        <x:v>1.0333460779349612</x:v>
      </x:c>
      <x:c r="J203" s="41" t="str">
        <x:v>Count where opening year &lt;= decade and Include in metric = 1</x:v>
      </x:c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</x:row>
    <x:row r="204">
      <x:c r="A204" s="41" t="str">
        <x:v>Milpa Alta</x:v>
      </x:c>
      <x:c r="B204" s="41" t="n">
        <x:v>2010</x:v>
      </x:c>
      <x:c r="C204" s="52" t="n">
        <x:f>INDEX(Population!$B$5:$R$20,MATCH(A204,Population!$A$5:$A$20,0),MATCH(B204,Population!$B$4:$R$4,0))</x:f>
        <x:v>130582</x:v>
      </x:c>
      <x:c r="D204" s="50" t="n">
        <x:f>COUNTIFS('Third Space Catalog'!$C:$C,A204,'Third Space Catalog'!$B:$B,"Museum",'Third Space Catalog'!$D:$D,"&lt;="&amp;B204,'Third Space Catalog'!$I:$I,1)</x:f>
        <x:v>1</x:v>
      </x:c>
      <x:c r="E204" s="50" t="n">
        <x:f>COUNTIFS('Third Space Catalog'!$C:$C,A204,'Third Space Catalog'!$B:$B,"Library",'Third Space Catalog'!$D:$D,"&lt;="&amp;B204,'Third Space Catalog'!$I:$I,1)</x:f>
        <x:v>1</x:v>
      </x:c>
      <x:c r="F204" s="50" t="n">
        <x:f>D204+E204</x:f>
        <x:v>2</x:v>
      </x:c>
      <x:c r="G204" s="53" t="n">
        <x:f>IFERROR(F204/C204*100000,0)</x:f>
        <x:v>1.5316046622045918</x:v>
      </x:c>
      <x:c r="H204" s="53" t="n">
        <x:f>IFERROR(D204/C204*100000,0)</x:f>
        <x:v>0.7658023311022959</x:v>
      </x:c>
      <x:c r="I204" s="53" t="n">
        <x:f>IFERROR(E204/C204*100000,0)</x:f>
        <x:v>0.7658023311022959</x:v>
      </x:c>
      <x:c r="J204" s="41" t="str">
        <x:v>Count where opening year &lt;= decade and Include in metric = 1</x:v>
      </x:c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</x:row>
    <x:row r="205">
      <x:c r="A205" s="41" t="str">
        <x:v>Milpa Alta</x:v>
      </x:c>
      <x:c r="B205" s="41" t="n">
        <x:v>2020</x:v>
      </x:c>
      <x:c r="C205" s="52" t="n">
        <x:f>INDEX(Population!$B$5:$R$20,MATCH(A205,Population!$A$5:$A$20,0),MATCH(B205,Population!$B$4:$R$4,0))</x:f>
        <x:v>152685</x:v>
      </x:c>
      <x:c r="D205" s="50" t="n">
        <x:f>COUNTIFS('Third Space Catalog'!$C:$C,A205,'Third Space Catalog'!$B:$B,"Museum",'Third Space Catalog'!$D:$D,"&lt;="&amp;B205,'Third Space Catalog'!$I:$I,1)</x:f>
        <x:v>1</x:v>
      </x:c>
      <x:c r="E205" s="50" t="n">
        <x:f>COUNTIFS('Third Space Catalog'!$C:$C,A205,'Third Space Catalog'!$B:$B,"Library",'Third Space Catalog'!$D:$D,"&lt;="&amp;B205,'Third Space Catalog'!$I:$I,1)</x:f>
        <x:v>1</x:v>
      </x:c>
      <x:c r="F205" s="50" t="n">
        <x:f>D205+E205</x:f>
        <x:v>2</x:v>
      </x:c>
      <x:c r="G205" s="53" t="n">
        <x:f>IFERROR(F205/C205*100000,0)</x:f>
        <x:v>1.3098863673576318</x:v>
      </x:c>
      <x:c r="H205" s="53" t="n">
        <x:f>IFERROR(D205/C205*100000,0)</x:f>
        <x:v>0.6549431836788159</x:v>
      </x:c>
      <x:c r="I205" s="53" t="n">
        <x:f>IFERROR(E205/C205*100000,0)</x:f>
        <x:v>0.6549431836788159</x:v>
      </x:c>
      <x:c r="J205" s="41" t="str">
        <x:v>Count where opening year &lt;= decade and Include in metric = 1</x:v>
      </x:c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</x:row>
    <x:row r="206">
      <x:c r="A206" s="41" t="str">
        <x:v>Tláhuac</x:v>
      </x:c>
      <x:c r="B206" s="41" t="n">
        <x:v>1860</x:v>
      </x:c>
      <x:c r="C206" s="52" t="n">
        <x:f>INDEX(Population!$B$5:$R$20,MATCH(A206,Population!$A$5:$A$20,0),MATCH(B206,Population!$B$4:$R$4,0))</x:f>
        <x:v>1564</x:v>
      </x:c>
      <x:c r="D206" s="50" t="n">
        <x:f>COUNTIFS('Third Space Catalog'!$C:$C,A206,'Third Space Catalog'!$B:$B,"Museum",'Third Space Catalog'!$D:$D,"&lt;="&amp;B206,'Third Space Catalog'!$I:$I,1)</x:f>
        <x:v>0</x:v>
      </x:c>
      <x:c r="E206" s="50" t="n">
        <x:f>COUNTIFS('Third Space Catalog'!$C:$C,A206,'Third Space Catalog'!$B:$B,"Library",'Third Space Catalog'!$D:$D,"&lt;="&amp;B206,'Third Space Catalog'!$I:$I,1)</x:f>
        <x:v>0</x:v>
      </x:c>
      <x:c r="F206" s="50" t="n">
        <x:f>D206+E206</x:f>
        <x:v>0</x:v>
      </x:c>
      <x:c r="G206" s="53" t="n">
        <x:f>IFERROR(F206/C206*100000,0)</x:f>
        <x:v>0</x:v>
      </x:c>
      <x:c r="H206" s="53" t="n">
        <x:f>IFERROR(D206/C206*100000,0)</x:f>
        <x:v>0</x:v>
      </x:c>
      <x:c r="I206" s="53" t="n">
        <x:f>IFERROR(E206/C206*100000,0)</x:f>
        <x:v>0</x:v>
      </x:c>
      <x:c r="J206" s="41" t="str">
        <x:v>Count where opening year &lt;= decade and Include in metric = 1</x:v>
      </x:c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</x:row>
    <x:row r="207">
      <x:c r="A207" s="41" t="str">
        <x:v>Tláhuac</x:v>
      </x:c>
      <x:c r="B207" s="41" t="n">
        <x:v>1870</x:v>
      </x:c>
      <x:c r="C207" s="52" t="n">
        <x:f>INDEX(Population!$B$5:$R$20,MATCH(A207,Population!$A$5:$A$20,0),MATCH(B207,Population!$B$4:$R$4,0))</x:f>
        <x:v>1706</x:v>
      </x:c>
      <x:c r="D207" s="50" t="n">
        <x:f>COUNTIFS('Third Space Catalog'!$C:$C,A207,'Third Space Catalog'!$B:$B,"Museum",'Third Space Catalog'!$D:$D,"&lt;="&amp;B207,'Third Space Catalog'!$I:$I,1)</x:f>
        <x:v>0</x:v>
      </x:c>
      <x:c r="E207" s="50" t="n">
        <x:f>COUNTIFS('Third Space Catalog'!$C:$C,A207,'Third Space Catalog'!$B:$B,"Library",'Third Space Catalog'!$D:$D,"&lt;="&amp;B207,'Third Space Catalog'!$I:$I,1)</x:f>
        <x:v>0</x:v>
      </x:c>
      <x:c r="F207" s="50" t="n">
        <x:f>D207+E207</x:f>
        <x:v>0</x:v>
      </x:c>
      <x:c r="G207" s="53" t="n">
        <x:f>IFERROR(F207/C207*100000,0)</x:f>
        <x:v>0</x:v>
      </x:c>
      <x:c r="H207" s="53" t="n">
        <x:f>IFERROR(D207/C207*100000,0)</x:f>
        <x:v>0</x:v>
      </x:c>
      <x:c r="I207" s="53" t="n">
        <x:f>IFERROR(E207/C207*100000,0)</x:f>
        <x:v>0</x:v>
      </x:c>
      <x:c r="J207" s="41" t="str">
        <x:v>Count where opening year &lt;= decade and Include in metric = 1</x:v>
      </x:c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</x:row>
    <x:row r="208">
      <x:c r="A208" s="41" t="str">
        <x:v>Tláhuac</x:v>
      </x:c>
      <x:c r="B208" s="41" t="n">
        <x:v>1880</x:v>
      </x:c>
      <x:c r="C208" s="52" t="n">
        <x:f>INDEX(Population!$B$5:$R$20,MATCH(A208,Population!$A$5:$A$20,0),MATCH(B208,Population!$B$4:$R$4,0))</x:f>
        <x:v>2062</x:v>
      </x:c>
      <x:c r="D208" s="50" t="n">
        <x:f>COUNTIFS('Third Space Catalog'!$C:$C,A208,'Third Space Catalog'!$B:$B,"Museum",'Third Space Catalog'!$D:$D,"&lt;="&amp;B208,'Third Space Catalog'!$I:$I,1)</x:f>
        <x:v>0</x:v>
      </x:c>
      <x:c r="E208" s="50" t="n">
        <x:f>COUNTIFS('Third Space Catalog'!$C:$C,A208,'Third Space Catalog'!$B:$B,"Library",'Third Space Catalog'!$D:$D,"&lt;="&amp;B208,'Third Space Catalog'!$I:$I,1)</x:f>
        <x:v>0</x:v>
      </x:c>
      <x:c r="F208" s="50" t="n">
        <x:f>D208+E208</x:f>
        <x:v>0</x:v>
      </x:c>
      <x:c r="G208" s="53" t="n">
        <x:f>IFERROR(F208/C208*100000,0)</x:f>
        <x:v>0</x:v>
      </x:c>
      <x:c r="H208" s="53" t="n">
        <x:f>IFERROR(D208/C208*100000,0)</x:f>
        <x:v>0</x:v>
      </x:c>
      <x:c r="I208" s="53" t="n">
        <x:f>IFERROR(E208/C208*100000,0)</x:f>
        <x:v>0</x:v>
      </x:c>
      <x:c r="J208" s="41" t="str">
        <x:v>Count where opening year &lt;= decade and Include in metric = 1</x:v>
      </x:c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</x:row>
    <x:row r="209">
      <x:c r="A209" s="41" t="str">
        <x:v>Tláhuac</x:v>
      </x:c>
      <x:c r="B209" s="41" t="n">
        <x:v>1890</x:v>
      </x:c>
      <x:c r="C209" s="52" t="n">
        <x:f>INDEX(Population!$B$5:$R$20,MATCH(A209,Population!$A$5:$A$20,0),MATCH(B209,Population!$B$4:$R$4,0))</x:f>
        <x:v>2844</x:v>
      </x:c>
      <x:c r="D209" s="50" t="n">
        <x:f>COUNTIFS('Third Space Catalog'!$C:$C,A209,'Third Space Catalog'!$B:$B,"Museum",'Third Space Catalog'!$D:$D,"&lt;="&amp;B209,'Third Space Catalog'!$I:$I,1)</x:f>
        <x:v>0</x:v>
      </x:c>
      <x:c r="E209" s="50" t="n">
        <x:f>COUNTIFS('Third Space Catalog'!$C:$C,A209,'Third Space Catalog'!$B:$B,"Library",'Third Space Catalog'!$D:$D,"&lt;="&amp;B209,'Third Space Catalog'!$I:$I,1)</x:f>
        <x:v>0</x:v>
      </x:c>
      <x:c r="F209" s="50" t="n">
        <x:f>D209+E209</x:f>
        <x:v>0</x:v>
      </x:c>
      <x:c r="G209" s="53" t="n">
        <x:f>IFERROR(F209/C209*100000,0)</x:f>
        <x:v>0</x:v>
      </x:c>
      <x:c r="H209" s="53" t="n">
        <x:f>IFERROR(D209/C209*100000,0)</x:f>
        <x:v>0</x:v>
      </x:c>
      <x:c r="I209" s="53" t="n">
        <x:f>IFERROR(E209/C209*100000,0)</x:f>
        <x:v>0</x:v>
      </x:c>
      <x:c r="J209" s="41" t="str">
        <x:v>Count where opening year &lt;= decade and Include in metric = 1</x:v>
      </x:c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</x:row>
    <x:row r="210">
      <x:c r="A210" s="41" t="str">
        <x:v>Tláhuac</x:v>
      </x:c>
      <x:c r="B210" s="41" t="n">
        <x:v>1900</x:v>
      </x:c>
      <x:c r="C210" s="52" t="n">
        <x:f>INDEX(Population!$B$5:$R$20,MATCH(A210,Population!$A$5:$A$20,0),MATCH(B210,Population!$B$4:$R$4,0))</x:f>
        <x:v>3848</x:v>
      </x:c>
      <x:c r="D210" s="50" t="n">
        <x:f>COUNTIFS('Third Space Catalog'!$C:$C,A210,'Third Space Catalog'!$B:$B,"Museum",'Third Space Catalog'!$D:$D,"&lt;="&amp;B210,'Third Space Catalog'!$I:$I,1)</x:f>
        <x:v>0</x:v>
      </x:c>
      <x:c r="E210" s="50" t="n">
        <x:f>COUNTIFS('Third Space Catalog'!$C:$C,A210,'Third Space Catalog'!$B:$B,"Library",'Third Space Catalog'!$D:$D,"&lt;="&amp;B210,'Third Space Catalog'!$I:$I,1)</x:f>
        <x:v>0</x:v>
      </x:c>
      <x:c r="F210" s="50" t="n">
        <x:f>D210+E210</x:f>
        <x:v>0</x:v>
      </x:c>
      <x:c r="G210" s="53" t="n">
        <x:f>IFERROR(F210/C210*100000,0)</x:f>
        <x:v>0</x:v>
      </x:c>
      <x:c r="H210" s="53" t="n">
        <x:f>IFERROR(D210/C210*100000,0)</x:f>
        <x:v>0</x:v>
      </x:c>
      <x:c r="I210" s="53" t="n">
        <x:f>IFERROR(E210/C210*100000,0)</x:f>
        <x:v>0</x:v>
      </x:c>
      <x:c r="J210" s="41" t="str">
        <x:v>Count where opening year &lt;= decade and Include in metric = 1</x:v>
      </x:c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</x:row>
    <x:row r="211">
      <x:c r="A211" s="41" t="str">
        <x:v>Tláhuac</x:v>
      </x:c>
      <x:c r="B211" s="41" t="n">
        <x:v>1910</x:v>
      </x:c>
      <x:c r="C211" s="52" t="n">
        <x:f>INDEX(Population!$B$5:$R$20,MATCH(A211,Population!$A$5:$A$20,0),MATCH(B211,Population!$B$4:$R$4,0))</x:f>
        <x:v>4823</x:v>
      </x:c>
      <x:c r="D211" s="50" t="n">
        <x:f>COUNTIFS('Third Space Catalog'!$C:$C,A211,'Third Space Catalog'!$B:$B,"Museum",'Third Space Catalog'!$D:$D,"&lt;="&amp;B211,'Third Space Catalog'!$I:$I,1)</x:f>
        <x:v>0</x:v>
      </x:c>
      <x:c r="E211" s="50" t="n">
        <x:f>COUNTIFS('Third Space Catalog'!$C:$C,A211,'Third Space Catalog'!$B:$B,"Library",'Third Space Catalog'!$D:$D,"&lt;="&amp;B211,'Third Space Catalog'!$I:$I,1)</x:f>
        <x:v>0</x:v>
      </x:c>
      <x:c r="F211" s="50" t="n">
        <x:f>D211+E211</x:f>
        <x:v>0</x:v>
      </x:c>
      <x:c r="G211" s="53" t="n">
        <x:f>IFERROR(F211/C211*100000,0)</x:f>
        <x:v>0</x:v>
      </x:c>
      <x:c r="H211" s="53" t="n">
        <x:f>IFERROR(D211/C211*100000,0)</x:f>
        <x:v>0</x:v>
      </x:c>
      <x:c r="I211" s="53" t="n">
        <x:f>IFERROR(E211/C211*100000,0)</x:f>
        <x:v>0</x:v>
      </x:c>
      <x:c r="J211" s="41" t="str">
        <x:v>Count where opening year &lt;= decade and Include in metric = 1</x:v>
      </x:c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</x:row>
    <x:row r="212">
      <x:c r="A212" s="41" t="str">
        <x:v>Tláhuac</x:v>
      </x:c>
      <x:c r="B212" s="41" t="n">
        <x:v>1920</x:v>
      </x:c>
      <x:c r="C212" s="52" t="n">
        <x:f>INDEX(Population!$B$5:$R$20,MATCH(A212,Population!$A$5:$A$20,0),MATCH(B212,Population!$B$4:$R$4,0))</x:f>
        <x:v>5931</x:v>
      </x:c>
      <x:c r="D212" s="50" t="n">
        <x:f>COUNTIFS('Third Space Catalog'!$C:$C,A212,'Third Space Catalog'!$B:$B,"Museum",'Third Space Catalog'!$D:$D,"&lt;="&amp;B212,'Third Space Catalog'!$I:$I,1)</x:f>
        <x:v>0</x:v>
      </x:c>
      <x:c r="E212" s="50" t="n">
        <x:f>COUNTIFS('Third Space Catalog'!$C:$C,A212,'Third Space Catalog'!$B:$B,"Library",'Third Space Catalog'!$D:$D,"&lt;="&amp;B212,'Third Space Catalog'!$I:$I,1)</x:f>
        <x:v>0</x:v>
      </x:c>
      <x:c r="F212" s="50" t="n">
        <x:f>D212+E212</x:f>
        <x:v>0</x:v>
      </x:c>
      <x:c r="G212" s="53" t="n">
        <x:f>IFERROR(F212/C212*100000,0)</x:f>
        <x:v>0</x:v>
      </x:c>
      <x:c r="H212" s="53" t="n">
        <x:f>IFERROR(D212/C212*100000,0)</x:f>
        <x:v>0</x:v>
      </x:c>
      <x:c r="I212" s="53" t="n">
        <x:f>IFERROR(E212/C212*100000,0)</x:f>
        <x:v>0</x:v>
      </x:c>
      <x:c r="J212" s="41" t="str">
        <x:v>Count where opening year &lt;= decade and Include in metric = 1</x:v>
      </x:c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</x:row>
    <x:row r="213">
      <x:c r="A213" s="41" t="str">
        <x:v>Tláhuac</x:v>
      </x:c>
      <x:c r="B213" s="41" t="n">
        <x:v>1930</x:v>
      </x:c>
      <x:c r="C213" s="52" t="n">
        <x:f>INDEX(Population!$B$5:$R$20,MATCH(A213,Population!$A$5:$A$20,0),MATCH(B213,Population!$B$4:$R$4,0))</x:f>
        <x:v>7957</x:v>
      </x:c>
      <x:c r="D213" s="50" t="n">
        <x:f>COUNTIFS('Third Space Catalog'!$C:$C,A213,'Third Space Catalog'!$B:$B,"Museum",'Third Space Catalog'!$D:$D,"&lt;="&amp;B213,'Third Space Catalog'!$I:$I,1)</x:f>
        <x:v>0</x:v>
      </x:c>
      <x:c r="E213" s="50" t="n">
        <x:f>COUNTIFS('Third Space Catalog'!$C:$C,A213,'Third Space Catalog'!$B:$B,"Library",'Third Space Catalog'!$D:$D,"&lt;="&amp;B213,'Third Space Catalog'!$I:$I,1)</x:f>
        <x:v>0</x:v>
      </x:c>
      <x:c r="F213" s="50" t="n">
        <x:f>D213+E213</x:f>
        <x:v>0</x:v>
      </x:c>
      <x:c r="G213" s="53" t="n">
        <x:f>IFERROR(F213/C213*100000,0)</x:f>
        <x:v>0</x:v>
      </x:c>
      <x:c r="H213" s="53" t="n">
        <x:f>IFERROR(D213/C213*100000,0)</x:f>
        <x:v>0</x:v>
      </x:c>
      <x:c r="I213" s="53" t="n">
        <x:f>IFERROR(E213/C213*100000,0)</x:f>
        <x:v>0</x:v>
      </x:c>
      <x:c r="J213" s="41" t="str">
        <x:v>Count where opening year &lt;= decade and Include in metric = 1</x:v>
      </x:c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</x:row>
    <x:row r="214">
      <x:c r="A214" s="41" t="str">
        <x:v>Tláhuac</x:v>
      </x:c>
      <x:c r="B214" s="41" t="n">
        <x:v>1940</x:v>
      </x:c>
      <x:c r="C214" s="52" t="n">
        <x:f>INDEX(Population!$B$5:$R$20,MATCH(A214,Population!$A$5:$A$20,0),MATCH(B214,Population!$B$4:$R$4,0))</x:f>
        <x:v>11294</x:v>
      </x:c>
      <x:c r="D214" s="50" t="n">
        <x:f>COUNTIFS('Third Space Catalog'!$C:$C,A214,'Third Space Catalog'!$B:$B,"Museum",'Third Space Catalog'!$D:$D,"&lt;="&amp;B214,'Third Space Catalog'!$I:$I,1)</x:f>
        <x:v>0</x:v>
      </x:c>
      <x:c r="E214" s="50" t="n">
        <x:f>COUNTIFS('Third Space Catalog'!$C:$C,A214,'Third Space Catalog'!$B:$B,"Library",'Third Space Catalog'!$D:$D,"&lt;="&amp;B214,'Third Space Catalog'!$I:$I,1)</x:f>
        <x:v>0</x:v>
      </x:c>
      <x:c r="F214" s="50" t="n">
        <x:f>D214+E214</x:f>
        <x:v>0</x:v>
      </x:c>
      <x:c r="G214" s="53" t="n">
        <x:f>IFERROR(F214/C214*100000,0)</x:f>
        <x:v>0</x:v>
      </x:c>
      <x:c r="H214" s="53" t="n">
        <x:f>IFERROR(D214/C214*100000,0)</x:f>
        <x:v>0</x:v>
      </x:c>
      <x:c r="I214" s="53" t="n">
        <x:f>IFERROR(E214/C214*100000,0)</x:f>
        <x:v>0</x:v>
      </x:c>
      <x:c r="J214" s="41" t="str">
        <x:v>Count where opening year &lt;= decade and Include in metric = 1</x:v>
      </x:c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</x:row>
    <x:row r="215">
      <x:c r="A215" s="41" t="str">
        <x:v>Tláhuac</x:v>
      </x:c>
      <x:c r="B215" s="41" t="n">
        <x:v>1950</x:v>
      </x:c>
      <x:c r="C215" s="52" t="n">
        <x:f>INDEX(Population!$B$5:$R$20,MATCH(A215,Population!$A$5:$A$20,0),MATCH(B215,Population!$B$4:$R$4,0))</x:f>
        <x:v>19511</x:v>
      </x:c>
      <x:c r="D215" s="50" t="n">
        <x:f>COUNTIFS('Third Space Catalog'!$C:$C,A215,'Third Space Catalog'!$B:$B,"Museum",'Third Space Catalog'!$D:$D,"&lt;="&amp;B215,'Third Space Catalog'!$I:$I,1)</x:f>
        <x:v>0</x:v>
      </x:c>
      <x:c r="E215" s="50" t="n">
        <x:f>COUNTIFS('Third Space Catalog'!$C:$C,A215,'Third Space Catalog'!$B:$B,"Library",'Third Space Catalog'!$D:$D,"&lt;="&amp;B215,'Third Space Catalog'!$I:$I,1)</x:f>
        <x:v>0</x:v>
      </x:c>
      <x:c r="F215" s="50" t="n">
        <x:f>D215+E215</x:f>
        <x:v>0</x:v>
      </x:c>
      <x:c r="G215" s="53" t="n">
        <x:f>IFERROR(F215/C215*100000,0)</x:f>
        <x:v>0</x:v>
      </x:c>
      <x:c r="H215" s="53" t="n">
        <x:f>IFERROR(D215/C215*100000,0)</x:f>
        <x:v>0</x:v>
      </x:c>
      <x:c r="I215" s="53" t="n">
        <x:f>IFERROR(E215/C215*100000,0)</x:f>
        <x:v>0</x:v>
      </x:c>
      <x:c r="J215" s="41" t="str">
        <x:v>Count where opening year &lt;= decade and Include in metric = 1</x:v>
      </x:c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</x:row>
    <x:row r="216">
      <x:c r="A216" s="41" t="str">
        <x:v>Tláhuac</x:v>
      </x:c>
      <x:c r="B216" s="41" t="n">
        <x:v>1960</x:v>
      </x:c>
      <x:c r="C216" s="52" t="n">
        <x:f>INDEX(Population!$B$5:$R$20,MATCH(A216,Population!$A$5:$A$20,0),MATCH(B216,Population!$B$4:$R$4,0))</x:f>
        <x:v>29880</x:v>
      </x:c>
      <x:c r="D216" s="50" t="n">
        <x:f>COUNTIFS('Third Space Catalog'!$C:$C,A216,'Third Space Catalog'!$B:$B,"Museum",'Third Space Catalog'!$D:$D,"&lt;="&amp;B216,'Third Space Catalog'!$I:$I,1)</x:f>
        <x:v>0</x:v>
      </x:c>
      <x:c r="E216" s="50" t="n">
        <x:f>COUNTIFS('Third Space Catalog'!$C:$C,A216,'Third Space Catalog'!$B:$B,"Library",'Third Space Catalog'!$D:$D,"&lt;="&amp;B216,'Third Space Catalog'!$I:$I,1)</x:f>
        <x:v>0</x:v>
      </x:c>
      <x:c r="F216" s="50" t="n">
        <x:f>D216+E216</x:f>
        <x:v>0</x:v>
      </x:c>
      <x:c r="G216" s="53" t="n">
        <x:f>IFERROR(F216/C216*100000,0)</x:f>
        <x:v>0</x:v>
      </x:c>
      <x:c r="H216" s="53" t="n">
        <x:f>IFERROR(D216/C216*100000,0)</x:f>
        <x:v>0</x:v>
      </x:c>
      <x:c r="I216" s="53" t="n">
        <x:f>IFERROR(E216/C216*100000,0)</x:f>
        <x:v>0</x:v>
      </x:c>
      <x:c r="J216" s="41" t="str">
        <x:v>Count where opening year &lt;= decade and Include in metric = 1</x:v>
      </x:c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</x:row>
    <x:row r="217">
      <x:c r="A217" s="41" t="str">
        <x:v>Tláhuac</x:v>
      </x:c>
      <x:c r="B217" s="41" t="n">
        <x:v>1970</x:v>
      </x:c>
      <x:c r="C217" s="52" t="n">
        <x:f>INDEX(Population!$B$5:$R$20,MATCH(A217,Population!$A$5:$A$20,0),MATCH(B217,Population!$B$4:$R$4,0))</x:f>
        <x:v>62419</x:v>
      </x:c>
      <x:c r="D217" s="50" t="n">
        <x:f>COUNTIFS('Third Space Catalog'!$C:$C,A217,'Third Space Catalog'!$B:$B,"Museum",'Third Space Catalog'!$D:$D,"&lt;="&amp;B217,'Third Space Catalog'!$I:$I,1)</x:f>
        <x:v>0</x:v>
      </x:c>
      <x:c r="E217" s="50" t="n">
        <x:f>COUNTIFS('Third Space Catalog'!$C:$C,A217,'Third Space Catalog'!$B:$B,"Library",'Third Space Catalog'!$D:$D,"&lt;="&amp;B217,'Third Space Catalog'!$I:$I,1)</x:f>
        <x:v>0</x:v>
      </x:c>
      <x:c r="F217" s="50" t="n">
        <x:f>D217+E217</x:f>
        <x:v>0</x:v>
      </x:c>
      <x:c r="G217" s="53" t="n">
        <x:f>IFERROR(F217/C217*100000,0)</x:f>
        <x:v>0</x:v>
      </x:c>
      <x:c r="H217" s="53" t="n">
        <x:f>IFERROR(D217/C217*100000,0)</x:f>
        <x:v>0</x:v>
      </x:c>
      <x:c r="I217" s="53" t="n">
        <x:f>IFERROR(E217/C217*100000,0)</x:f>
        <x:v>0</x:v>
      </x:c>
      <x:c r="J217" s="41" t="str">
        <x:v>Count where opening year &lt;= decade and Include in metric = 1</x:v>
      </x:c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</x:row>
    <x:row r="218">
      <x:c r="A218" s="41" t="str">
        <x:v>Tláhuac</x:v>
      </x:c>
      <x:c r="B218" s="41" t="n">
        <x:v>1980</x:v>
      </x:c>
      <x:c r="C218" s="52" t="n">
        <x:f>INDEX(Population!$B$5:$R$20,MATCH(A218,Population!$A$5:$A$20,0),MATCH(B218,Population!$B$4:$R$4,0))</x:f>
        <x:v>146923</x:v>
      </x:c>
      <x:c r="D218" s="50" t="n">
        <x:f>COUNTIFS('Third Space Catalog'!$C:$C,A218,'Third Space Catalog'!$B:$B,"Museum",'Third Space Catalog'!$D:$D,"&lt;="&amp;B218,'Third Space Catalog'!$I:$I,1)</x:f>
        <x:v>0</x:v>
      </x:c>
      <x:c r="E218" s="50" t="n">
        <x:f>COUNTIFS('Third Space Catalog'!$C:$C,A218,'Third Space Catalog'!$B:$B,"Library",'Third Space Catalog'!$D:$D,"&lt;="&amp;B218,'Third Space Catalog'!$I:$I,1)</x:f>
        <x:v>1</x:v>
      </x:c>
      <x:c r="F218" s="50" t="n">
        <x:f>D218+E218</x:f>
        <x:v>1</x:v>
      </x:c>
      <x:c r="G218" s="53" t="n">
        <x:f>IFERROR(F218/C218*100000,0)</x:f>
        <x:v>0.6806286286013763</x:v>
      </x:c>
      <x:c r="H218" s="53" t="n">
        <x:f>IFERROR(D218/C218*100000,0)</x:f>
        <x:v>0</x:v>
      </x:c>
      <x:c r="I218" s="53" t="n">
        <x:f>IFERROR(E218/C218*100000,0)</x:f>
        <x:v>0.6806286286013763</x:v>
      </x:c>
      <x:c r="J218" s="41" t="str">
        <x:v>Count where opening year &lt;= decade and Include in metric = 1</x:v>
      </x:c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</x:row>
    <x:row r="219">
      <x:c r="A219" s="41" t="str">
        <x:v>Tláhuac</x:v>
      </x:c>
      <x:c r="B219" s="41" t="n">
        <x:v>1990</x:v>
      </x:c>
      <x:c r="C219" s="52" t="n">
        <x:f>INDEX(Population!$B$5:$R$20,MATCH(A219,Population!$A$5:$A$20,0),MATCH(B219,Population!$B$4:$R$4,0))</x:f>
        <x:v>206700</x:v>
      </x:c>
      <x:c r="D219" s="50" t="n">
        <x:f>COUNTIFS('Third Space Catalog'!$C:$C,A219,'Third Space Catalog'!$B:$B,"Museum",'Third Space Catalog'!$D:$D,"&lt;="&amp;B219,'Third Space Catalog'!$I:$I,1)</x:f>
        <x:v>1</x:v>
      </x:c>
      <x:c r="E219" s="50" t="n">
        <x:f>COUNTIFS('Third Space Catalog'!$C:$C,A219,'Third Space Catalog'!$B:$B,"Library",'Third Space Catalog'!$D:$D,"&lt;="&amp;B219,'Third Space Catalog'!$I:$I,1)</x:f>
        <x:v>1</x:v>
      </x:c>
      <x:c r="F219" s="50" t="n">
        <x:f>D219+E219</x:f>
        <x:v>2</x:v>
      </x:c>
      <x:c r="G219" s="53" t="n">
        <x:f>IFERROR(F219/C219*100000,0)</x:f>
        <x:v>0.9675858732462507</x:v>
      </x:c>
      <x:c r="H219" s="53" t="n">
        <x:f>IFERROR(D219/C219*100000,0)</x:f>
        <x:v>0.48379293662312534</x:v>
      </x:c>
      <x:c r="I219" s="53" t="n">
        <x:f>IFERROR(E219/C219*100000,0)</x:f>
        <x:v>0.48379293662312534</x:v>
      </x:c>
      <x:c r="J219" s="41" t="str">
        <x:v>Count where opening year &lt;= decade and Include in metric = 1</x:v>
      </x:c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</x:row>
    <x:row r="220">
      <x:c r="A220" s="41" t="str">
        <x:v>Tláhuac</x:v>
      </x:c>
      <x:c r="B220" s="41" t="n">
        <x:v>2000</x:v>
      </x:c>
      <x:c r="C220" s="52" t="n">
        <x:f>INDEX(Population!$B$5:$R$20,MATCH(A220,Population!$A$5:$A$20,0),MATCH(B220,Population!$B$4:$R$4,0))</x:f>
        <x:v>302790</x:v>
      </x:c>
      <x:c r="D220" s="50" t="n">
        <x:f>COUNTIFS('Third Space Catalog'!$C:$C,A220,'Third Space Catalog'!$B:$B,"Museum",'Third Space Catalog'!$D:$D,"&lt;="&amp;B220,'Third Space Catalog'!$I:$I,1)</x:f>
        <x:v>1</x:v>
      </x:c>
      <x:c r="E220" s="50" t="n">
        <x:f>COUNTIFS('Third Space Catalog'!$C:$C,A220,'Third Space Catalog'!$B:$B,"Library",'Third Space Catalog'!$D:$D,"&lt;="&amp;B220,'Third Space Catalog'!$I:$I,1)</x:f>
        <x:v>1</x:v>
      </x:c>
      <x:c r="F220" s="50" t="n">
        <x:f>D220+E220</x:f>
        <x:v>2</x:v>
      </x:c>
      <x:c r="G220" s="53" t="n">
        <x:f>IFERROR(F220/C220*100000,0)</x:f>
        <x:v>0.6605237953697282</x:v>
      </x:c>
      <x:c r="H220" s="53" t="n">
        <x:f>IFERROR(D220/C220*100000,0)</x:f>
        <x:v>0.3302618976848641</x:v>
      </x:c>
      <x:c r="I220" s="53" t="n">
        <x:f>IFERROR(E220/C220*100000,0)</x:f>
        <x:v>0.3302618976848641</x:v>
      </x:c>
      <x:c r="J220" s="41" t="str">
        <x:v>Count where opening year &lt;= decade and Include in metric = 1</x:v>
      </x:c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</x:row>
    <x:row r="221">
      <x:c r="A221" s="41" t="str">
        <x:v>Tláhuac</x:v>
      </x:c>
      <x:c r="B221" s="41" t="n">
        <x:v>2010</x:v>
      </x:c>
      <x:c r="C221" s="52" t="n">
        <x:f>INDEX(Population!$B$5:$R$20,MATCH(A221,Population!$A$5:$A$20,0),MATCH(B221,Population!$B$4:$R$4,0))</x:f>
        <x:v>360265</x:v>
      </x:c>
      <x:c r="D221" s="50" t="n">
        <x:f>COUNTIFS('Third Space Catalog'!$C:$C,A221,'Third Space Catalog'!$B:$B,"Museum",'Third Space Catalog'!$D:$D,"&lt;="&amp;B221,'Third Space Catalog'!$I:$I,1)</x:f>
        <x:v>1</x:v>
      </x:c>
      <x:c r="E221" s="50" t="n">
        <x:f>COUNTIFS('Third Space Catalog'!$C:$C,A221,'Third Space Catalog'!$B:$B,"Library",'Third Space Catalog'!$D:$D,"&lt;="&amp;B221,'Third Space Catalog'!$I:$I,1)</x:f>
        <x:v>1</x:v>
      </x:c>
      <x:c r="F221" s="50" t="n">
        <x:f>D221+E221</x:f>
        <x:v>2</x:v>
      </x:c>
      <x:c r="G221" s="53" t="n">
        <x:f>IFERROR(F221/C221*100000,0)</x:f>
        <x:v>0.5551469057499341</x:v>
      </x:c>
      <x:c r="H221" s="53" t="n">
        <x:f>IFERROR(D221/C221*100000,0)</x:f>
        <x:v>0.27757345287496704</x:v>
      </x:c>
      <x:c r="I221" s="53" t="n">
        <x:f>IFERROR(E221/C221*100000,0)</x:f>
        <x:v>0.27757345287496704</x:v>
      </x:c>
      <x:c r="J221" s="41" t="str">
        <x:v>Count where opening year &lt;= decade and Include in metric = 1</x:v>
      </x:c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</x:row>
    <x:row r="222">
      <x:c r="A222" s="41" t="str">
        <x:v>Tláhuac</x:v>
      </x:c>
      <x:c r="B222" s="41" t="n">
        <x:v>2020</x:v>
      </x:c>
      <x:c r="C222" s="52" t="n">
        <x:f>INDEX(Population!$B$5:$R$20,MATCH(A222,Population!$A$5:$A$20,0),MATCH(B222,Population!$B$4:$R$4,0))</x:f>
        <x:v>392313</x:v>
      </x:c>
      <x:c r="D222" s="50" t="n">
        <x:f>COUNTIFS('Third Space Catalog'!$C:$C,A222,'Third Space Catalog'!$B:$B,"Museum",'Third Space Catalog'!$D:$D,"&lt;="&amp;B222,'Third Space Catalog'!$I:$I,1)</x:f>
        <x:v>2</x:v>
      </x:c>
      <x:c r="E222" s="50" t="n">
        <x:f>COUNTIFS('Third Space Catalog'!$C:$C,A222,'Third Space Catalog'!$B:$B,"Library",'Third Space Catalog'!$D:$D,"&lt;="&amp;B222,'Third Space Catalog'!$I:$I,1)</x:f>
        <x:v>1</x:v>
      </x:c>
      <x:c r="F222" s="50" t="n">
        <x:f>D222+E222</x:f>
        <x:v>3</x:v>
      </x:c>
      <x:c r="G222" s="53" t="n">
        <x:f>IFERROR(F222/C222*100000,0)</x:f>
        <x:v>0.7646955364721537</x:v>
      </x:c>
      <x:c r="H222" s="53" t="n">
        <x:f>IFERROR(D222/C222*100000,0)</x:f>
        <x:v>0.5097970243147691</x:v>
      </x:c>
      <x:c r="I222" s="53" t="n">
        <x:f>IFERROR(E222/C222*100000,0)</x:f>
        <x:v>0.25489851215738457</x:v>
      </x:c>
      <x:c r="J222" s="41" t="str">
        <x:v>Count where opening year &lt;= decade and Include in metric = 1</x:v>
      </x:c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</x:row>
    <x:row r="223">
      <x:c r="A223" s="41" t="str">
        <x:v>Tlalpan</x:v>
      </x:c>
      <x:c r="B223" s="41" t="n">
        <x:v>1860</x:v>
      </x:c>
      <x:c r="C223" s="52" t="n">
        <x:f>INDEX(Population!$B$5:$R$20,MATCH(A223,Population!$A$5:$A$20,0),MATCH(B223,Population!$B$4:$R$4,0))</x:f>
        <x:v>2681</x:v>
      </x:c>
      <x:c r="D223" s="50" t="n">
        <x:f>COUNTIFS('Third Space Catalog'!$C:$C,A223,'Third Space Catalog'!$B:$B,"Museum",'Third Space Catalog'!$D:$D,"&lt;="&amp;B223,'Third Space Catalog'!$I:$I,1)</x:f>
        <x:v>0</x:v>
      </x:c>
      <x:c r="E223" s="50" t="n">
        <x:f>COUNTIFS('Third Space Catalog'!$C:$C,A223,'Third Space Catalog'!$B:$B,"Library",'Third Space Catalog'!$D:$D,"&lt;="&amp;B223,'Third Space Catalog'!$I:$I,1)</x:f>
        <x:v>0</x:v>
      </x:c>
      <x:c r="F223" s="50" t="n">
        <x:f>D223+E223</x:f>
        <x:v>0</x:v>
      </x:c>
      <x:c r="G223" s="53" t="n">
        <x:f>IFERROR(F223/C223*100000,0)</x:f>
        <x:v>0</x:v>
      </x:c>
      <x:c r="H223" s="53" t="n">
        <x:f>IFERROR(D223/C223*100000,0)</x:f>
        <x:v>0</x:v>
      </x:c>
      <x:c r="I223" s="53" t="n">
        <x:f>IFERROR(E223/C223*100000,0)</x:f>
        <x:v>0</x:v>
      </x:c>
      <x:c r="J223" s="41" t="str">
        <x:v>Count where opening year &lt;= decade and Include in metric = 1</x:v>
      </x:c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</x:row>
    <x:row r="224">
      <x:c r="A224" s="41" t="str">
        <x:v>Tlalpan</x:v>
      </x:c>
      <x:c r="B224" s="41" t="n">
        <x:v>1870</x:v>
      </x:c>
      <x:c r="C224" s="52" t="n">
        <x:f>INDEX(Population!$B$5:$R$20,MATCH(A224,Population!$A$5:$A$20,0),MATCH(B224,Population!$B$4:$R$4,0))</x:f>
        <x:v>2925</x:v>
      </x:c>
      <x:c r="D224" s="50" t="n">
        <x:f>COUNTIFS('Third Space Catalog'!$C:$C,A224,'Third Space Catalog'!$B:$B,"Museum",'Third Space Catalog'!$D:$D,"&lt;="&amp;B224,'Third Space Catalog'!$I:$I,1)</x:f>
        <x:v>0</x:v>
      </x:c>
      <x:c r="E224" s="50" t="n">
        <x:f>COUNTIFS('Third Space Catalog'!$C:$C,A224,'Third Space Catalog'!$B:$B,"Library",'Third Space Catalog'!$D:$D,"&lt;="&amp;B224,'Third Space Catalog'!$I:$I,1)</x:f>
        <x:v>0</x:v>
      </x:c>
      <x:c r="F224" s="50" t="n">
        <x:f>D224+E224</x:f>
        <x:v>0</x:v>
      </x:c>
      <x:c r="G224" s="53" t="n">
        <x:f>IFERROR(F224/C224*100000,0)</x:f>
        <x:v>0</x:v>
      </x:c>
      <x:c r="H224" s="53" t="n">
        <x:f>IFERROR(D224/C224*100000,0)</x:f>
        <x:v>0</x:v>
      </x:c>
      <x:c r="I224" s="53" t="n">
        <x:f>IFERROR(E224/C224*100000,0)</x:f>
        <x:v>0</x:v>
      </x:c>
      <x:c r="J224" s="41" t="str">
        <x:v>Count where opening year &lt;= decade and Include in metric = 1</x:v>
      </x:c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</x:row>
    <x:row r="225">
      <x:c r="A225" s="41" t="str">
        <x:v>Tlalpan</x:v>
      </x:c>
      <x:c r="B225" s="41" t="n">
        <x:v>1880</x:v>
      </x:c>
      <x:c r="C225" s="52" t="n">
        <x:f>INDEX(Population!$B$5:$R$20,MATCH(A225,Population!$A$5:$A$20,0),MATCH(B225,Population!$B$4:$R$4,0))</x:f>
        <x:v>3535</x:v>
      </x:c>
      <x:c r="D225" s="50" t="n">
        <x:f>COUNTIFS('Third Space Catalog'!$C:$C,A225,'Third Space Catalog'!$B:$B,"Museum",'Third Space Catalog'!$D:$D,"&lt;="&amp;B225,'Third Space Catalog'!$I:$I,1)</x:f>
        <x:v>0</x:v>
      </x:c>
      <x:c r="E225" s="50" t="n">
        <x:f>COUNTIFS('Third Space Catalog'!$C:$C,A225,'Third Space Catalog'!$B:$B,"Library",'Third Space Catalog'!$D:$D,"&lt;="&amp;B225,'Third Space Catalog'!$I:$I,1)</x:f>
        <x:v>0</x:v>
      </x:c>
      <x:c r="F225" s="50" t="n">
        <x:f>D225+E225</x:f>
        <x:v>0</x:v>
      </x:c>
      <x:c r="G225" s="53" t="n">
        <x:f>IFERROR(F225/C225*100000,0)</x:f>
        <x:v>0</x:v>
      </x:c>
      <x:c r="H225" s="53" t="n">
        <x:f>IFERROR(D225/C225*100000,0)</x:f>
        <x:v>0</x:v>
      </x:c>
      <x:c r="I225" s="53" t="n">
        <x:f>IFERROR(E225/C225*100000,0)</x:f>
        <x:v>0</x:v>
      </x:c>
      <x:c r="J225" s="41" t="str">
        <x:v>Count where opening year &lt;= decade and Include in metric = 1</x:v>
      </x:c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</x:row>
    <x:row r="226">
      <x:c r="A226" s="41" t="str">
        <x:v>Tlalpan</x:v>
      </x:c>
      <x:c r="B226" s="41" t="n">
        <x:v>1890</x:v>
      </x:c>
      <x:c r="C226" s="52" t="n">
        <x:f>INDEX(Population!$B$5:$R$20,MATCH(A226,Population!$A$5:$A$20,0),MATCH(B226,Population!$B$4:$R$4,0))</x:f>
        <x:v>4875</x:v>
      </x:c>
      <x:c r="D226" s="50" t="n">
        <x:f>COUNTIFS('Third Space Catalog'!$C:$C,A226,'Third Space Catalog'!$B:$B,"Museum",'Third Space Catalog'!$D:$D,"&lt;="&amp;B226,'Third Space Catalog'!$I:$I,1)</x:f>
        <x:v>0</x:v>
      </x:c>
      <x:c r="E226" s="50" t="n">
        <x:f>COUNTIFS('Third Space Catalog'!$C:$C,A226,'Third Space Catalog'!$B:$B,"Library",'Third Space Catalog'!$D:$D,"&lt;="&amp;B226,'Third Space Catalog'!$I:$I,1)</x:f>
        <x:v>0</x:v>
      </x:c>
      <x:c r="F226" s="50" t="n">
        <x:f>D226+E226</x:f>
        <x:v>0</x:v>
      </x:c>
      <x:c r="G226" s="53" t="n">
        <x:f>IFERROR(F226/C226*100000,0)</x:f>
        <x:v>0</x:v>
      </x:c>
      <x:c r="H226" s="53" t="n">
        <x:f>IFERROR(D226/C226*100000,0)</x:f>
        <x:v>0</x:v>
      </x:c>
      <x:c r="I226" s="53" t="n">
        <x:f>IFERROR(E226/C226*100000,0)</x:f>
        <x:v>0</x:v>
      </x:c>
      <x:c r="J226" s="41" t="str">
        <x:v>Count where opening year &lt;= decade and Include in metric = 1</x:v>
      </x:c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</x:row>
    <x:row r="227">
      <x:c r="A227" s="41" t="str">
        <x:v>Tlalpan</x:v>
      </x:c>
      <x:c r="B227" s="41" t="n">
        <x:v>1900</x:v>
      </x:c>
      <x:c r="C227" s="52" t="n">
        <x:f>INDEX(Population!$B$5:$R$20,MATCH(A227,Population!$A$5:$A$20,0),MATCH(B227,Population!$B$4:$R$4,0))</x:f>
        <x:v>6597</x:v>
      </x:c>
      <x:c r="D227" s="50" t="n">
        <x:f>COUNTIFS('Third Space Catalog'!$C:$C,A227,'Third Space Catalog'!$B:$B,"Museum",'Third Space Catalog'!$D:$D,"&lt;="&amp;B227,'Third Space Catalog'!$I:$I,1)</x:f>
        <x:v>0</x:v>
      </x:c>
      <x:c r="E227" s="50" t="n">
        <x:f>COUNTIFS('Third Space Catalog'!$C:$C,A227,'Third Space Catalog'!$B:$B,"Library",'Third Space Catalog'!$D:$D,"&lt;="&amp;B227,'Third Space Catalog'!$I:$I,1)</x:f>
        <x:v>0</x:v>
      </x:c>
      <x:c r="F227" s="50" t="n">
        <x:f>D227+E227</x:f>
        <x:v>0</x:v>
      </x:c>
      <x:c r="G227" s="53" t="n">
        <x:f>IFERROR(F227/C227*100000,0)</x:f>
        <x:v>0</x:v>
      </x:c>
      <x:c r="H227" s="53" t="n">
        <x:f>IFERROR(D227/C227*100000,0)</x:f>
        <x:v>0</x:v>
      </x:c>
      <x:c r="I227" s="53" t="n">
        <x:f>IFERROR(E227/C227*100000,0)</x:f>
        <x:v>0</x:v>
      </x:c>
      <x:c r="J227" s="41" t="str">
        <x:v>Count where opening year &lt;= decade and Include in metric = 1</x:v>
      </x:c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</x:row>
    <x:row r="228">
      <x:c r="A228" s="41" t="str">
        <x:v>Tlalpan</x:v>
      </x:c>
      <x:c r="B228" s="41" t="n">
        <x:v>1910</x:v>
      </x:c>
      <x:c r="C228" s="52" t="n">
        <x:f>INDEX(Population!$B$5:$R$20,MATCH(A228,Population!$A$5:$A$20,0),MATCH(B228,Population!$B$4:$R$4,0))</x:f>
        <x:v>8174</x:v>
      </x:c>
      <x:c r="D228" s="50" t="n">
        <x:f>COUNTIFS('Third Space Catalog'!$C:$C,A228,'Third Space Catalog'!$B:$B,"Museum",'Third Space Catalog'!$D:$D,"&lt;="&amp;B228,'Third Space Catalog'!$I:$I,1)</x:f>
        <x:v>0</x:v>
      </x:c>
      <x:c r="E228" s="50" t="n">
        <x:f>COUNTIFS('Third Space Catalog'!$C:$C,A228,'Third Space Catalog'!$B:$B,"Library",'Third Space Catalog'!$D:$D,"&lt;="&amp;B228,'Third Space Catalog'!$I:$I,1)</x:f>
        <x:v>0</x:v>
      </x:c>
      <x:c r="F228" s="50" t="n">
        <x:f>D228+E228</x:f>
        <x:v>0</x:v>
      </x:c>
      <x:c r="G228" s="53" t="n">
        <x:f>IFERROR(F228/C228*100000,0)</x:f>
        <x:v>0</x:v>
      </x:c>
      <x:c r="H228" s="53" t="n">
        <x:f>IFERROR(D228/C228*100000,0)</x:f>
        <x:v>0</x:v>
      </x:c>
      <x:c r="I228" s="53" t="n">
        <x:f>IFERROR(E228/C228*100000,0)</x:f>
        <x:v>0</x:v>
      </x:c>
      <x:c r="J228" s="41" t="str">
        <x:v>Count where opening year &lt;= decade and Include in metric = 1</x:v>
      </x:c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</x:row>
    <x:row r="229">
      <x:c r="A229" s="41" t="str">
        <x:v>Tlalpan</x:v>
      </x:c>
      <x:c r="B229" s="41" t="n">
        <x:v>1920</x:v>
      </x:c>
      <x:c r="C229" s="52" t="n">
        <x:f>INDEX(Population!$B$5:$R$20,MATCH(A229,Population!$A$5:$A$20,0),MATCH(B229,Population!$B$4:$R$4,0))</x:f>
        <x:v>10007</x:v>
      </x:c>
      <x:c r="D229" s="50" t="n">
        <x:f>COUNTIFS('Third Space Catalog'!$C:$C,A229,'Third Space Catalog'!$B:$B,"Museum",'Third Space Catalog'!$D:$D,"&lt;="&amp;B229,'Third Space Catalog'!$I:$I,1)</x:f>
        <x:v>0</x:v>
      </x:c>
      <x:c r="E229" s="50" t="n">
        <x:f>COUNTIFS('Third Space Catalog'!$C:$C,A229,'Third Space Catalog'!$B:$B,"Library",'Third Space Catalog'!$D:$D,"&lt;="&amp;B229,'Third Space Catalog'!$I:$I,1)</x:f>
        <x:v>0</x:v>
      </x:c>
      <x:c r="F229" s="50" t="n">
        <x:f>D229+E229</x:f>
        <x:v>0</x:v>
      </x:c>
      <x:c r="G229" s="53" t="n">
        <x:f>IFERROR(F229/C229*100000,0)</x:f>
        <x:v>0</x:v>
      </x:c>
      <x:c r="H229" s="53" t="n">
        <x:f>IFERROR(D229/C229*100000,0)</x:f>
        <x:v>0</x:v>
      </x:c>
      <x:c r="I229" s="53" t="n">
        <x:f>IFERROR(E229/C229*100000,0)</x:f>
        <x:v>0</x:v>
      </x:c>
      <x:c r="J229" s="41" t="str">
        <x:v>Count where opening year &lt;= decade and Include in metric = 1</x:v>
      </x:c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</x:row>
    <x:row r="230">
      <x:c r="A230" s="41" t="str">
        <x:v>Tlalpan</x:v>
      </x:c>
      <x:c r="B230" s="41" t="n">
        <x:v>1930</x:v>
      </x:c>
      <x:c r="C230" s="52" t="n">
        <x:f>INDEX(Population!$B$5:$R$20,MATCH(A230,Population!$A$5:$A$20,0),MATCH(B230,Population!$B$4:$R$4,0))</x:f>
        <x:v>13395</x:v>
      </x:c>
      <x:c r="D230" s="50" t="n">
        <x:f>COUNTIFS('Third Space Catalog'!$C:$C,A230,'Third Space Catalog'!$B:$B,"Museum",'Third Space Catalog'!$D:$D,"&lt;="&amp;B230,'Third Space Catalog'!$I:$I,1)</x:f>
        <x:v>0</x:v>
      </x:c>
      <x:c r="E230" s="50" t="n">
        <x:f>COUNTIFS('Third Space Catalog'!$C:$C,A230,'Third Space Catalog'!$B:$B,"Library",'Third Space Catalog'!$D:$D,"&lt;="&amp;B230,'Third Space Catalog'!$I:$I,1)</x:f>
        <x:v>0</x:v>
      </x:c>
      <x:c r="F230" s="50" t="n">
        <x:f>D230+E230</x:f>
        <x:v>0</x:v>
      </x:c>
      <x:c r="G230" s="53" t="n">
        <x:f>IFERROR(F230/C230*100000,0)</x:f>
        <x:v>0</x:v>
      </x:c>
      <x:c r="H230" s="53" t="n">
        <x:f>IFERROR(D230/C230*100000,0)</x:f>
        <x:v>0</x:v>
      </x:c>
      <x:c r="I230" s="53" t="n">
        <x:f>IFERROR(E230/C230*100000,0)</x:f>
        <x:v>0</x:v>
      </x:c>
      <x:c r="J230" s="41" t="str">
        <x:v>Count where opening year &lt;= decade and Include in metric = 1</x:v>
      </x:c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</x:row>
    <x:row r="231">
      <x:c r="A231" s="41" t="str">
        <x:v>Tlalpan</x:v>
      </x:c>
      <x:c r="B231" s="41" t="n">
        <x:v>1940</x:v>
      </x:c>
      <x:c r="C231" s="52" t="n">
        <x:f>INDEX(Population!$B$5:$R$20,MATCH(A231,Population!$A$5:$A$20,0),MATCH(B231,Population!$B$4:$R$4,0))</x:f>
        <x:v>18987</x:v>
      </x:c>
      <x:c r="D231" s="50" t="n">
        <x:f>COUNTIFS('Third Space Catalog'!$C:$C,A231,'Third Space Catalog'!$B:$B,"Museum",'Third Space Catalog'!$D:$D,"&lt;="&amp;B231,'Third Space Catalog'!$I:$I,1)</x:f>
        <x:v>0</x:v>
      </x:c>
      <x:c r="E231" s="50" t="n">
        <x:f>COUNTIFS('Third Space Catalog'!$C:$C,A231,'Third Space Catalog'!$B:$B,"Library",'Third Space Catalog'!$D:$D,"&lt;="&amp;B231,'Third Space Catalog'!$I:$I,1)</x:f>
        <x:v>0</x:v>
      </x:c>
      <x:c r="F231" s="50" t="n">
        <x:f>D231+E231</x:f>
        <x:v>0</x:v>
      </x:c>
      <x:c r="G231" s="53" t="n">
        <x:f>IFERROR(F231/C231*100000,0)</x:f>
        <x:v>0</x:v>
      </x:c>
      <x:c r="H231" s="53" t="n">
        <x:f>IFERROR(D231/C231*100000,0)</x:f>
        <x:v>0</x:v>
      </x:c>
      <x:c r="I231" s="53" t="n">
        <x:f>IFERROR(E231/C231*100000,0)</x:f>
        <x:v>0</x:v>
      </x:c>
      <x:c r="J231" s="41" t="str">
        <x:v>Count where opening year &lt;= decade and Include in metric = 1</x:v>
      </x:c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</x:row>
    <x:row r="232">
      <x:c r="A232" s="41" t="str">
        <x:v>Tlalpan</x:v>
      </x:c>
      <x:c r="B232" s="41" t="n">
        <x:v>1950</x:v>
      </x:c>
      <x:c r="C232" s="52" t="n">
        <x:f>INDEX(Population!$B$5:$R$20,MATCH(A232,Population!$A$5:$A$20,0),MATCH(B232,Population!$B$4:$R$4,0))</x:f>
        <x:v>32767</x:v>
      </x:c>
      <x:c r="D232" s="50" t="n">
        <x:f>COUNTIFS('Third Space Catalog'!$C:$C,A232,'Third Space Catalog'!$B:$B,"Museum",'Third Space Catalog'!$D:$D,"&lt;="&amp;B232,'Third Space Catalog'!$I:$I,1)</x:f>
        <x:v>0</x:v>
      </x:c>
      <x:c r="E232" s="50" t="n">
        <x:f>COUNTIFS('Third Space Catalog'!$C:$C,A232,'Third Space Catalog'!$B:$B,"Library",'Third Space Catalog'!$D:$D,"&lt;="&amp;B232,'Third Space Catalog'!$I:$I,1)</x:f>
        <x:v>0</x:v>
      </x:c>
      <x:c r="F232" s="50" t="n">
        <x:f>D232+E232</x:f>
        <x:v>0</x:v>
      </x:c>
      <x:c r="G232" s="53" t="n">
        <x:f>IFERROR(F232/C232*100000,0)</x:f>
        <x:v>0</x:v>
      </x:c>
      <x:c r="H232" s="53" t="n">
        <x:f>IFERROR(D232/C232*100000,0)</x:f>
        <x:v>0</x:v>
      </x:c>
      <x:c r="I232" s="53" t="n">
        <x:f>IFERROR(E232/C232*100000,0)</x:f>
        <x:v>0</x:v>
      </x:c>
      <x:c r="J232" s="41" t="str">
        <x:v>Count where opening year &lt;= decade and Include in metric = 1</x:v>
      </x:c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</x:row>
    <x:row r="233">
      <x:c r="A233" s="41" t="str">
        <x:v>Tlalpan</x:v>
      </x:c>
      <x:c r="B233" s="41" t="n">
        <x:v>1960</x:v>
      </x:c>
      <x:c r="C233" s="52" t="n">
        <x:f>INDEX(Population!$B$5:$R$20,MATCH(A233,Population!$A$5:$A$20,0),MATCH(B233,Population!$B$4:$R$4,0))</x:f>
        <x:v>61195</x:v>
      </x:c>
      <x:c r="D233" s="50" t="n">
        <x:f>COUNTIFS('Third Space Catalog'!$C:$C,A233,'Third Space Catalog'!$B:$B,"Museum",'Third Space Catalog'!$D:$D,"&lt;="&amp;B233,'Third Space Catalog'!$I:$I,1)</x:f>
        <x:v>0</x:v>
      </x:c>
      <x:c r="E233" s="50" t="n">
        <x:f>COUNTIFS('Third Space Catalog'!$C:$C,A233,'Third Space Catalog'!$B:$B,"Library",'Third Space Catalog'!$D:$D,"&lt;="&amp;B233,'Third Space Catalog'!$I:$I,1)</x:f>
        <x:v>0</x:v>
      </x:c>
      <x:c r="F233" s="50" t="n">
        <x:f>D233+E233</x:f>
        <x:v>0</x:v>
      </x:c>
      <x:c r="G233" s="53" t="n">
        <x:f>IFERROR(F233/C233*100000,0)</x:f>
        <x:v>0</x:v>
      </x:c>
      <x:c r="H233" s="53" t="n">
        <x:f>IFERROR(D233/C233*100000,0)</x:f>
        <x:v>0</x:v>
      </x:c>
      <x:c r="I233" s="53" t="n">
        <x:f>IFERROR(E233/C233*100000,0)</x:f>
        <x:v>0</x:v>
      </x:c>
      <x:c r="J233" s="41" t="str">
        <x:v>Count where opening year &lt;= decade and Include in metric = 1</x:v>
      </x:c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</x:row>
    <x:row r="234">
      <x:c r="A234" s="41" t="str">
        <x:v>Tlalpan</x:v>
      </x:c>
      <x:c r="B234" s="41" t="n">
        <x:v>1970</x:v>
      </x:c>
      <x:c r="C234" s="52" t="n">
        <x:f>INDEX(Population!$B$5:$R$20,MATCH(A234,Population!$A$5:$A$20,0),MATCH(B234,Population!$B$4:$R$4,0))</x:f>
        <x:v>130719</x:v>
      </x:c>
      <x:c r="D234" s="50" t="n">
        <x:f>COUNTIFS('Third Space Catalog'!$C:$C,A234,'Third Space Catalog'!$B:$B,"Museum",'Third Space Catalog'!$D:$D,"&lt;="&amp;B234,'Third Space Catalog'!$I:$I,1)</x:f>
        <x:v>0</x:v>
      </x:c>
      <x:c r="E234" s="50" t="n">
        <x:f>COUNTIFS('Third Space Catalog'!$C:$C,A234,'Third Space Catalog'!$B:$B,"Library",'Third Space Catalog'!$D:$D,"&lt;="&amp;B234,'Third Space Catalog'!$I:$I,1)</x:f>
        <x:v>0</x:v>
      </x:c>
      <x:c r="F234" s="50" t="n">
        <x:f>D234+E234</x:f>
        <x:v>0</x:v>
      </x:c>
      <x:c r="G234" s="53" t="n">
        <x:f>IFERROR(F234/C234*100000,0)</x:f>
        <x:v>0</x:v>
      </x:c>
      <x:c r="H234" s="53" t="n">
        <x:f>IFERROR(D234/C234*100000,0)</x:f>
        <x:v>0</x:v>
      </x:c>
      <x:c r="I234" s="53" t="n">
        <x:f>IFERROR(E234/C234*100000,0)</x:f>
        <x:v>0</x:v>
      </x:c>
      <x:c r="J234" s="41" t="str">
        <x:v>Count where opening year &lt;= decade and Include in metric = 1</x:v>
      </x:c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</x:row>
    <x:row r="235">
      <x:c r="A235" s="41" t="str">
        <x:v>Tlalpan</x:v>
      </x:c>
      <x:c r="B235" s="41" t="n">
        <x:v>1980</x:v>
      </x:c>
      <x:c r="C235" s="52" t="n">
        <x:f>INDEX(Population!$B$5:$R$20,MATCH(A235,Population!$A$5:$A$20,0),MATCH(B235,Population!$B$4:$R$4,0))</x:f>
        <x:v>368974</x:v>
      </x:c>
      <x:c r="D235" s="50" t="n">
        <x:f>COUNTIFS('Third Space Catalog'!$C:$C,A235,'Third Space Catalog'!$B:$B,"Museum",'Third Space Catalog'!$D:$D,"&lt;="&amp;B235,'Third Space Catalog'!$I:$I,1)</x:f>
        <x:v>0</x:v>
      </x:c>
      <x:c r="E235" s="50" t="n">
        <x:f>COUNTIFS('Third Space Catalog'!$C:$C,A235,'Third Space Catalog'!$B:$B,"Library",'Third Space Catalog'!$D:$D,"&lt;="&amp;B235,'Third Space Catalog'!$I:$I,1)</x:f>
        <x:v>1</x:v>
      </x:c>
      <x:c r="F235" s="50" t="n">
        <x:f>D235+E235</x:f>
        <x:v>1</x:v>
      </x:c>
      <x:c r="G235" s="53" t="n">
        <x:f>IFERROR(F235/C235*100000,0)</x:f>
        <x:v>0.27102180641454415</x:v>
      </x:c>
      <x:c r="H235" s="53" t="n">
        <x:f>IFERROR(D235/C235*100000,0)</x:f>
        <x:v>0</x:v>
      </x:c>
      <x:c r="I235" s="53" t="n">
        <x:f>IFERROR(E235/C235*100000,0)</x:f>
        <x:v>0.27102180641454415</x:v>
      </x:c>
      <x:c r="J235" s="41" t="str">
        <x:v>Count where opening year &lt;= decade and Include in metric = 1</x:v>
      </x:c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</x:row>
    <x:row r="236">
      <x:c r="A236" s="41" t="str">
        <x:v>Tlalpan</x:v>
      </x:c>
      <x:c r="B236" s="41" t="n">
        <x:v>1990</x:v>
      </x:c>
      <x:c r="C236" s="52" t="n">
        <x:f>INDEX(Population!$B$5:$R$20,MATCH(A236,Population!$A$5:$A$20,0),MATCH(B236,Population!$B$4:$R$4,0))</x:f>
        <x:v>484866</x:v>
      </x:c>
      <x:c r="D236" s="50" t="n">
        <x:f>COUNTIFS('Third Space Catalog'!$C:$C,A236,'Third Space Catalog'!$B:$B,"Museum",'Third Space Catalog'!$D:$D,"&lt;="&amp;B236,'Third Space Catalog'!$I:$I,1)</x:f>
        <x:v>0</x:v>
      </x:c>
      <x:c r="E236" s="50" t="n">
        <x:f>COUNTIFS('Third Space Catalog'!$C:$C,A236,'Third Space Catalog'!$B:$B,"Library",'Third Space Catalog'!$D:$D,"&lt;="&amp;B236,'Third Space Catalog'!$I:$I,1)</x:f>
        <x:v>1</x:v>
      </x:c>
      <x:c r="F236" s="50" t="n">
        <x:f>D236+E236</x:f>
        <x:v>1</x:v>
      </x:c>
      <x:c r="G236" s="53" t="n">
        <x:f>IFERROR(F236/C236*100000,0)</x:f>
        <x:v>0.20624254948789972</x:v>
      </x:c>
      <x:c r="H236" s="53" t="n">
        <x:f>IFERROR(D236/C236*100000,0)</x:f>
        <x:v>0</x:v>
      </x:c>
      <x:c r="I236" s="53" t="n">
        <x:f>IFERROR(E236/C236*100000,0)</x:f>
        <x:v>0.20624254948789972</x:v>
      </x:c>
      <x:c r="J236" s="41" t="str">
        <x:v>Count where opening year &lt;= decade and Include in metric = 1</x:v>
      </x:c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</x:row>
    <x:row r="237">
      <x:c r="A237" s="41" t="str">
        <x:v>Tlalpan</x:v>
      </x:c>
      <x:c r="B237" s="41" t="n">
        <x:v>2000</x:v>
      </x:c>
      <x:c r="C237" s="52" t="n">
        <x:f>INDEX(Population!$B$5:$R$20,MATCH(A237,Population!$A$5:$A$20,0),MATCH(B237,Population!$B$4:$R$4,0))</x:f>
        <x:v>581781</x:v>
      </x:c>
      <x:c r="D237" s="50" t="n">
        <x:f>COUNTIFS('Third Space Catalog'!$C:$C,A237,'Third Space Catalog'!$B:$B,"Museum",'Third Space Catalog'!$D:$D,"&lt;="&amp;B237,'Third Space Catalog'!$I:$I,1)</x:f>
        <x:v>0</x:v>
      </x:c>
      <x:c r="E237" s="50" t="n">
        <x:f>COUNTIFS('Third Space Catalog'!$C:$C,A237,'Third Space Catalog'!$B:$B,"Library",'Third Space Catalog'!$D:$D,"&lt;="&amp;B237,'Third Space Catalog'!$I:$I,1)</x:f>
        <x:v>1</x:v>
      </x:c>
      <x:c r="F237" s="50" t="n">
        <x:f>D237+E237</x:f>
        <x:v>1</x:v>
      </x:c>
      <x:c r="G237" s="53" t="n">
        <x:f>IFERROR(F237/C237*100000,0)</x:f>
        <x:v>0.1718859845887026</x:v>
      </x:c>
      <x:c r="H237" s="53" t="n">
        <x:f>IFERROR(D237/C237*100000,0)</x:f>
        <x:v>0</x:v>
      </x:c>
      <x:c r="I237" s="53" t="n">
        <x:f>IFERROR(E237/C237*100000,0)</x:f>
        <x:v>0.1718859845887026</x:v>
      </x:c>
      <x:c r="J237" s="41" t="str">
        <x:v>Count where opening year &lt;= decade and Include in metric = 1</x:v>
      </x:c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</x:row>
    <x:row r="238">
      <x:c r="A238" s="41" t="str">
        <x:v>Tlalpan</x:v>
      </x:c>
      <x:c r="B238" s="41" t="n">
        <x:v>2010</x:v>
      </x:c>
      <x:c r="C238" s="52" t="n">
        <x:f>INDEX(Population!$B$5:$R$20,MATCH(A238,Population!$A$5:$A$20,0),MATCH(B238,Population!$B$4:$R$4,0))</x:f>
        <x:v>650567</x:v>
      </x:c>
      <x:c r="D238" s="50" t="n">
        <x:f>COUNTIFS('Third Space Catalog'!$C:$C,A238,'Third Space Catalog'!$B:$B,"Museum",'Third Space Catalog'!$D:$D,"&lt;="&amp;B238,'Third Space Catalog'!$I:$I,1)</x:f>
        <x:v>2</x:v>
      </x:c>
      <x:c r="E238" s="50" t="n">
        <x:f>COUNTIFS('Third Space Catalog'!$C:$C,A238,'Third Space Catalog'!$B:$B,"Library",'Third Space Catalog'!$D:$D,"&lt;="&amp;B238,'Third Space Catalog'!$I:$I,1)</x:f>
        <x:v>1</x:v>
      </x:c>
      <x:c r="F238" s="50" t="n">
        <x:f>D238+E238</x:f>
        <x:v>3</x:v>
      </x:c>
      <x:c r="G238" s="53" t="n">
        <x:f>IFERROR(F238/C238*100000,0)</x:f>
        <x:v>0.4611362088762572</x:v>
      </x:c>
      <x:c r="H238" s="53" t="n">
        <x:f>IFERROR(D238/C238*100000,0)</x:f>
        <x:v>0.3074241392508381</x:v>
      </x:c>
      <x:c r="I238" s="53" t="n">
        <x:f>IFERROR(E238/C238*100000,0)</x:f>
        <x:v>0.15371206962541906</x:v>
      </x:c>
      <x:c r="J238" s="41" t="str">
        <x:v>Count where opening year &lt;= decade and Include in metric = 1</x:v>
      </x:c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</x:row>
    <x:row r="239">
      <x:c r="A239" s="41" t="str">
        <x:v>Tlalpan</x:v>
      </x:c>
      <x:c r="B239" s="41" t="n">
        <x:v>2020</x:v>
      </x:c>
      <x:c r="C239" s="52" t="n">
        <x:f>INDEX(Population!$B$5:$R$20,MATCH(A239,Population!$A$5:$A$20,0),MATCH(B239,Population!$B$4:$R$4,0))</x:f>
        <x:v>699928</x:v>
      </x:c>
      <x:c r="D239" s="50" t="n">
        <x:f>COUNTIFS('Third Space Catalog'!$C:$C,A239,'Third Space Catalog'!$B:$B,"Museum",'Third Space Catalog'!$D:$D,"&lt;="&amp;B239,'Third Space Catalog'!$I:$I,1)</x:f>
        <x:v>2</x:v>
      </x:c>
      <x:c r="E239" s="50" t="n">
        <x:f>COUNTIFS('Third Space Catalog'!$C:$C,A239,'Third Space Catalog'!$B:$B,"Library",'Third Space Catalog'!$D:$D,"&lt;="&amp;B239,'Third Space Catalog'!$I:$I,1)</x:f>
        <x:v>1</x:v>
      </x:c>
      <x:c r="F239" s="50" t="n">
        <x:f>D239+E239</x:f>
        <x:v>3</x:v>
      </x:c>
      <x:c r="G239" s="53" t="n">
        <x:f>IFERROR(F239/C239*100000,0)</x:f>
        <x:v>0.42861551473865883</x:v>
      </x:c>
      <x:c r="H239" s="53" t="n">
        <x:f>IFERROR(D239/C239*100000,0)</x:f>
        <x:v>0.28574367649243926</x:v>
      </x:c>
      <x:c r="I239" s="53" t="n">
        <x:f>IFERROR(E239/C239*100000,0)</x:f>
        <x:v>0.14287183824621963</x:v>
      </x:c>
      <x:c r="J239" s="41" t="str">
        <x:v>Count where opening year &lt;= decade and Include in metric = 1</x:v>
      </x:c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</x:row>
    <x:row r="240">
      <x:c r="A240" s="41" t="str">
        <x:v>Venustiano Carranza</x:v>
      </x:c>
      <x:c r="B240" s="41" t="n">
        <x:v>1860</x:v>
      </x:c>
      <x:c r="C240" s="52" t="n">
        <x:f>INDEX(Population!$B$5:$R$20,MATCH(A240,Population!$A$5:$A$20,0),MATCH(B240,Population!$B$4:$R$4,0))</x:f>
        <x:v>37986</x:v>
      </x:c>
      <x:c r="D240" s="50" t="n">
        <x:f>COUNTIFS('Third Space Catalog'!$C:$C,A240,'Third Space Catalog'!$B:$B,"Museum",'Third Space Catalog'!$D:$D,"&lt;="&amp;B240,'Third Space Catalog'!$I:$I,1)</x:f>
        <x:v>0</x:v>
      </x:c>
      <x:c r="E240" s="50" t="n">
        <x:f>COUNTIFS('Third Space Catalog'!$C:$C,A240,'Third Space Catalog'!$B:$B,"Library",'Third Space Catalog'!$D:$D,"&lt;="&amp;B240,'Third Space Catalog'!$I:$I,1)</x:f>
        <x:v>0</x:v>
      </x:c>
      <x:c r="F240" s="50" t="n">
        <x:f>D240+E240</x:f>
        <x:v>0</x:v>
      </x:c>
      <x:c r="G240" s="53" t="n">
        <x:f>IFERROR(F240/C240*100000,0)</x:f>
        <x:v>0</x:v>
      </x:c>
      <x:c r="H240" s="53" t="n">
        <x:f>IFERROR(D240/C240*100000,0)</x:f>
        <x:v>0</x:v>
      </x:c>
      <x:c r="I240" s="53" t="n">
        <x:f>IFERROR(E240/C240*100000,0)</x:f>
        <x:v>0</x:v>
      </x:c>
      <x:c r="J240" s="41" t="str">
        <x:v>Count where opening year &lt;= decade and Include in metric = 1</x:v>
      </x:c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</x:row>
    <x:row r="241">
      <x:c r="A241" s="41" t="str">
        <x:v>Venustiano Carranza</x:v>
      </x:c>
      <x:c r="B241" s="41" t="n">
        <x:v>1870</x:v>
      </x:c>
      <x:c r="C241" s="52" t="n">
        <x:f>INDEX(Population!$B$5:$R$20,MATCH(A241,Population!$A$5:$A$20,0),MATCH(B241,Population!$B$4:$R$4,0))</x:f>
        <x:v>41439</x:v>
      </x:c>
      <x:c r="D241" s="50" t="n">
        <x:f>COUNTIFS('Third Space Catalog'!$C:$C,A241,'Third Space Catalog'!$B:$B,"Museum",'Third Space Catalog'!$D:$D,"&lt;="&amp;B241,'Third Space Catalog'!$I:$I,1)</x:f>
        <x:v>0</x:v>
      </x:c>
      <x:c r="E241" s="50" t="n">
        <x:f>COUNTIFS('Third Space Catalog'!$C:$C,A241,'Third Space Catalog'!$B:$B,"Library",'Third Space Catalog'!$D:$D,"&lt;="&amp;B241,'Third Space Catalog'!$I:$I,1)</x:f>
        <x:v>0</x:v>
      </x:c>
      <x:c r="F241" s="50" t="n">
        <x:f>D241+E241</x:f>
        <x:v>0</x:v>
      </x:c>
      <x:c r="G241" s="53" t="n">
        <x:f>IFERROR(F241/C241*100000,0)</x:f>
        <x:v>0</x:v>
      </x:c>
      <x:c r="H241" s="53" t="n">
        <x:f>IFERROR(D241/C241*100000,0)</x:f>
        <x:v>0</x:v>
      </x:c>
      <x:c r="I241" s="53" t="n">
        <x:f>IFERROR(E241/C241*100000,0)</x:f>
        <x:v>0</x:v>
      </x:c>
      <x:c r="J241" s="41" t="str">
        <x:v>Count where opening year &lt;= decade and Include in metric = 1</x:v>
      </x:c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</x:row>
    <x:row r="242">
      <x:c r="A242" s="41" t="str">
        <x:v>Venustiano Carranza</x:v>
      </x:c>
      <x:c r="B242" s="41" t="n">
        <x:v>1880</x:v>
      </x:c>
      <x:c r="C242" s="52" t="n">
        <x:f>INDEX(Population!$B$5:$R$20,MATCH(A242,Population!$A$5:$A$20,0),MATCH(B242,Population!$B$4:$R$4,0))</x:f>
        <x:v>50072</x:v>
      </x:c>
      <x:c r="D242" s="50" t="n">
        <x:f>COUNTIFS('Third Space Catalog'!$C:$C,A242,'Third Space Catalog'!$B:$B,"Museum",'Third Space Catalog'!$D:$D,"&lt;="&amp;B242,'Third Space Catalog'!$I:$I,1)</x:f>
        <x:v>0</x:v>
      </x:c>
      <x:c r="E242" s="50" t="n">
        <x:f>COUNTIFS('Third Space Catalog'!$C:$C,A242,'Third Space Catalog'!$B:$B,"Library",'Third Space Catalog'!$D:$D,"&lt;="&amp;B242,'Third Space Catalog'!$I:$I,1)</x:f>
        <x:v>0</x:v>
      </x:c>
      <x:c r="F242" s="50" t="n">
        <x:f>D242+E242</x:f>
        <x:v>0</x:v>
      </x:c>
      <x:c r="G242" s="53" t="n">
        <x:f>IFERROR(F242/C242*100000,0)</x:f>
        <x:v>0</x:v>
      </x:c>
      <x:c r="H242" s="53" t="n">
        <x:f>IFERROR(D242/C242*100000,0)</x:f>
        <x:v>0</x:v>
      </x:c>
      <x:c r="I242" s="53" t="n">
        <x:f>IFERROR(E242/C242*100000,0)</x:f>
        <x:v>0</x:v>
      </x:c>
      <x:c r="J242" s="41" t="str">
        <x:v>Count where opening year &lt;= decade and Include in metric = 1</x:v>
      </x:c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</x:row>
    <x:row r="243">
      <x:c r="A243" s="41" t="str">
        <x:v>Venustiano Carranza</x:v>
      </x:c>
      <x:c r="B243" s="41" t="n">
        <x:v>1890</x:v>
      </x:c>
      <x:c r="C243" s="52" t="n">
        <x:f>INDEX(Population!$B$5:$R$20,MATCH(A243,Population!$A$5:$A$20,0),MATCH(B243,Population!$B$4:$R$4,0))</x:f>
        <x:v>69065</x:v>
      </x:c>
      <x:c r="D243" s="50" t="n">
        <x:f>COUNTIFS('Third Space Catalog'!$C:$C,A243,'Third Space Catalog'!$B:$B,"Museum",'Third Space Catalog'!$D:$D,"&lt;="&amp;B243,'Third Space Catalog'!$I:$I,1)</x:f>
        <x:v>0</x:v>
      </x:c>
      <x:c r="E243" s="50" t="n">
        <x:f>COUNTIFS('Third Space Catalog'!$C:$C,A243,'Third Space Catalog'!$B:$B,"Library",'Third Space Catalog'!$D:$D,"&lt;="&amp;B243,'Third Space Catalog'!$I:$I,1)</x:f>
        <x:v>0</x:v>
      </x:c>
      <x:c r="F243" s="50" t="n">
        <x:f>D243+E243</x:f>
        <x:v>0</x:v>
      </x:c>
      <x:c r="G243" s="53" t="n">
        <x:f>IFERROR(F243/C243*100000,0)</x:f>
        <x:v>0</x:v>
      </x:c>
      <x:c r="H243" s="53" t="n">
        <x:f>IFERROR(D243/C243*100000,0)</x:f>
        <x:v>0</x:v>
      </x:c>
      <x:c r="I243" s="53" t="n">
        <x:f>IFERROR(E243/C243*100000,0)</x:f>
        <x:v>0</x:v>
      </x:c>
      <x:c r="J243" s="41" t="str">
        <x:v>Count where opening year &lt;= decade and Include in metric = 1</x:v>
      </x:c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</x:row>
    <x:row r="244">
      <x:c r="A244" s="41" t="str">
        <x:v>Venustiano Carranza</x:v>
      </x:c>
      <x:c r="B244" s="41" t="n">
        <x:v>1900</x:v>
      </x:c>
      <x:c r="C244" s="52" t="n">
        <x:f>INDEX(Population!$B$5:$R$20,MATCH(A244,Population!$A$5:$A$20,0),MATCH(B244,Population!$B$4:$R$4,0))</x:f>
        <x:v>93460</x:v>
      </x:c>
      <x:c r="D244" s="50" t="n">
        <x:f>COUNTIFS('Third Space Catalog'!$C:$C,A244,'Third Space Catalog'!$B:$B,"Museum",'Third Space Catalog'!$D:$D,"&lt;="&amp;B244,'Third Space Catalog'!$I:$I,1)</x:f>
        <x:v>0</x:v>
      </x:c>
      <x:c r="E244" s="50" t="n">
        <x:f>COUNTIFS('Third Space Catalog'!$C:$C,A244,'Third Space Catalog'!$B:$B,"Library",'Third Space Catalog'!$D:$D,"&lt;="&amp;B244,'Third Space Catalog'!$I:$I,1)</x:f>
        <x:v>0</x:v>
      </x:c>
      <x:c r="F244" s="50" t="n">
        <x:f>D244+E244</x:f>
        <x:v>0</x:v>
      </x:c>
      <x:c r="G244" s="53" t="n">
        <x:f>IFERROR(F244/C244*100000,0)</x:f>
        <x:v>0</x:v>
      </x:c>
      <x:c r="H244" s="53" t="n">
        <x:f>IFERROR(D244/C244*100000,0)</x:f>
        <x:v>0</x:v>
      </x:c>
      <x:c r="I244" s="53" t="n">
        <x:f>IFERROR(E244/C244*100000,0)</x:f>
        <x:v>0</x:v>
      </x:c>
      <x:c r="J244" s="41" t="str">
        <x:v>Count where opening year &lt;= decade and Include in metric = 1</x:v>
      </x:c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</x:row>
    <x:row r="245">
      <x:c r="A245" s="41" t="str">
        <x:v>Venustiano Carranza</x:v>
      </x:c>
      <x:c r="B245" s="41" t="n">
        <x:v>1910</x:v>
      </x:c>
      <x:c r="C245" s="52" t="n">
        <x:f>INDEX(Population!$B$5:$R$20,MATCH(A245,Population!$A$5:$A$20,0),MATCH(B245,Population!$B$4:$R$4,0))</x:f>
        <x:v>134072</x:v>
      </x:c>
      <x:c r="D245" s="50" t="n">
        <x:f>COUNTIFS('Third Space Catalog'!$C:$C,A245,'Third Space Catalog'!$B:$B,"Museum",'Third Space Catalog'!$D:$D,"&lt;="&amp;B245,'Third Space Catalog'!$I:$I,1)</x:f>
        <x:v>0</x:v>
      </x:c>
      <x:c r="E245" s="50" t="n">
        <x:f>COUNTIFS('Third Space Catalog'!$C:$C,A245,'Third Space Catalog'!$B:$B,"Library",'Third Space Catalog'!$D:$D,"&lt;="&amp;B245,'Third Space Catalog'!$I:$I,1)</x:f>
        <x:v>0</x:v>
      </x:c>
      <x:c r="F245" s="50" t="n">
        <x:f>D245+E245</x:f>
        <x:v>0</x:v>
      </x:c>
      <x:c r="G245" s="53" t="n">
        <x:f>IFERROR(F245/C245*100000,0)</x:f>
        <x:v>0</x:v>
      </x:c>
      <x:c r="H245" s="53" t="n">
        <x:f>IFERROR(D245/C245*100000,0)</x:f>
        <x:v>0</x:v>
      </x:c>
      <x:c r="I245" s="53" t="n">
        <x:f>IFERROR(E245/C245*100000,0)</x:f>
        <x:v>0</x:v>
      </x:c>
      <x:c r="J245" s="41" t="str">
        <x:v>Count where opening year &lt;= decade and Include in metric = 1</x:v>
      </x:c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</x:row>
    <x:row r="246">
      <x:c r="A246" s="41" t="str">
        <x:v>Venustiano Carranza</x:v>
      </x:c>
      <x:c r="B246" s="41" t="n">
        <x:v>1920</x:v>
      </x:c>
      <x:c r="C246" s="52" t="n">
        <x:f>INDEX(Population!$B$5:$R$20,MATCH(A246,Population!$A$5:$A$20,0),MATCH(B246,Population!$B$4:$R$4,0))</x:f>
        <x:v>172808</x:v>
      </x:c>
      <x:c r="D246" s="50" t="n">
        <x:f>COUNTIFS('Third Space Catalog'!$C:$C,A246,'Third Space Catalog'!$B:$B,"Museum",'Third Space Catalog'!$D:$D,"&lt;="&amp;B246,'Third Space Catalog'!$I:$I,1)</x:f>
        <x:v>0</x:v>
      </x:c>
      <x:c r="E246" s="50" t="n">
        <x:f>COUNTIFS('Third Space Catalog'!$C:$C,A246,'Third Space Catalog'!$B:$B,"Library",'Third Space Catalog'!$D:$D,"&lt;="&amp;B246,'Third Space Catalog'!$I:$I,1)</x:f>
        <x:v>0</x:v>
      </x:c>
      <x:c r="F246" s="50" t="n">
        <x:f>D246+E246</x:f>
        <x:v>0</x:v>
      </x:c>
      <x:c r="G246" s="53" t="n">
        <x:f>IFERROR(F246/C246*100000,0)</x:f>
        <x:v>0</x:v>
      </x:c>
      <x:c r="H246" s="53" t="n">
        <x:f>IFERROR(D246/C246*100000,0)</x:f>
        <x:v>0</x:v>
      </x:c>
      <x:c r="I246" s="53" t="n">
        <x:f>IFERROR(E246/C246*100000,0)</x:f>
        <x:v>0</x:v>
      </x:c>
      <x:c r="J246" s="41" t="str">
        <x:v>Count where opening year &lt;= decade and Include in metric = 1</x:v>
      </x:c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</x:row>
    <x:row r="247">
      <x:c r="A247" s="41" t="str">
        <x:v>Venustiano Carranza</x:v>
      </x:c>
      <x:c r="B247" s="41" t="n">
        <x:v>1930</x:v>
      </x:c>
      <x:c r="C247" s="52" t="n">
        <x:f>INDEX(Population!$B$5:$R$20,MATCH(A247,Population!$A$5:$A$20,0),MATCH(B247,Population!$B$4:$R$4,0))</x:f>
        <x:v>237460</x:v>
      </x:c>
      <x:c r="D247" s="50" t="n">
        <x:f>COUNTIFS('Third Space Catalog'!$C:$C,A247,'Third Space Catalog'!$B:$B,"Museum",'Third Space Catalog'!$D:$D,"&lt;="&amp;B247,'Third Space Catalog'!$I:$I,1)</x:f>
        <x:v>0</x:v>
      </x:c>
      <x:c r="E247" s="50" t="n">
        <x:f>COUNTIFS('Third Space Catalog'!$C:$C,A247,'Third Space Catalog'!$B:$B,"Library",'Third Space Catalog'!$D:$D,"&lt;="&amp;B247,'Third Space Catalog'!$I:$I,1)</x:f>
        <x:v>0</x:v>
      </x:c>
      <x:c r="F247" s="50" t="n">
        <x:f>D247+E247</x:f>
        <x:v>0</x:v>
      </x:c>
      <x:c r="G247" s="53" t="n">
        <x:f>IFERROR(F247/C247*100000,0)</x:f>
        <x:v>0</x:v>
      </x:c>
      <x:c r="H247" s="53" t="n">
        <x:f>IFERROR(D247/C247*100000,0)</x:f>
        <x:v>0</x:v>
      </x:c>
      <x:c r="I247" s="53" t="n">
        <x:f>IFERROR(E247/C247*100000,0)</x:f>
        <x:v>0</x:v>
      </x:c>
      <x:c r="J247" s="41" t="str">
        <x:v>Count where opening year &lt;= decade and Include in metric = 1</x:v>
      </x:c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</x:row>
    <x:row r="248">
      <x:c r="A248" s="41" t="str">
        <x:v>Venustiano Carranza</x:v>
      </x:c>
      <x:c r="B248" s="41" t="n">
        <x:v>1940</x:v>
      </x:c>
      <x:c r="C248" s="52" t="n">
        <x:f>INDEX(Population!$B$5:$R$20,MATCH(A248,Population!$A$5:$A$20,0),MATCH(B248,Population!$B$4:$R$4,0))</x:f>
        <x:v>341977</x:v>
      </x:c>
      <x:c r="D248" s="50" t="n">
        <x:f>COUNTIFS('Third Space Catalog'!$C:$C,A248,'Third Space Catalog'!$B:$B,"Museum",'Third Space Catalog'!$D:$D,"&lt;="&amp;B248,'Third Space Catalog'!$I:$I,1)</x:f>
        <x:v>0</x:v>
      </x:c>
      <x:c r="E248" s="50" t="n">
        <x:f>COUNTIFS('Third Space Catalog'!$C:$C,A248,'Third Space Catalog'!$B:$B,"Library",'Third Space Catalog'!$D:$D,"&lt;="&amp;B248,'Third Space Catalog'!$I:$I,1)</x:f>
        <x:v>0</x:v>
      </x:c>
      <x:c r="F248" s="50" t="n">
        <x:f>D248+E248</x:f>
        <x:v>0</x:v>
      </x:c>
      <x:c r="G248" s="53" t="n">
        <x:f>IFERROR(F248/C248*100000,0)</x:f>
        <x:v>0</x:v>
      </x:c>
      <x:c r="H248" s="53" t="n">
        <x:f>IFERROR(D248/C248*100000,0)</x:f>
        <x:v>0</x:v>
      </x:c>
      <x:c r="I248" s="53" t="n">
        <x:f>IFERROR(E248/C248*100000,0)</x:f>
        <x:v>0</x:v>
      </x:c>
      <x:c r="J248" s="41" t="str">
        <x:v>Count where opening year &lt;= decade and Include in metric = 1</x:v>
      </x:c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</x:row>
    <x:row r="249">
      <x:c r="A249" s="41" t="str">
        <x:v>Venustiano Carranza</x:v>
      </x:c>
      <x:c r="B249" s="41" t="n">
        <x:v>1950</x:v>
      </x:c>
      <x:c r="C249" s="52" t="n">
        <x:f>INDEX(Population!$B$5:$R$20,MATCH(A249,Population!$A$5:$A$20,0),MATCH(B249,Population!$B$4:$R$4,0))</x:f>
        <x:v>596528</x:v>
      </x:c>
      <x:c r="D249" s="50" t="n">
        <x:f>COUNTIFS('Third Space Catalog'!$C:$C,A249,'Third Space Catalog'!$B:$B,"Museum",'Third Space Catalog'!$D:$D,"&lt;="&amp;B249,'Third Space Catalog'!$I:$I,1)</x:f>
        <x:v>0</x:v>
      </x:c>
      <x:c r="E249" s="50" t="n">
        <x:f>COUNTIFS('Third Space Catalog'!$C:$C,A249,'Third Space Catalog'!$B:$B,"Library",'Third Space Catalog'!$D:$D,"&lt;="&amp;B249,'Third Space Catalog'!$I:$I,1)</x:f>
        <x:v>0</x:v>
      </x:c>
      <x:c r="F249" s="50" t="n">
        <x:f>D249+E249</x:f>
        <x:v>0</x:v>
      </x:c>
      <x:c r="G249" s="53" t="n">
        <x:f>IFERROR(F249/C249*100000,0)</x:f>
        <x:v>0</x:v>
      </x:c>
      <x:c r="H249" s="53" t="n">
        <x:f>IFERROR(D249/C249*100000,0)</x:f>
        <x:v>0</x:v>
      </x:c>
      <x:c r="I249" s="53" t="n">
        <x:f>IFERROR(E249/C249*100000,0)</x:f>
        <x:v>0</x:v>
      </x:c>
      <x:c r="J249" s="41" t="str">
        <x:v>Count where opening year &lt;= decade and Include in metric = 1</x:v>
      </x:c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</x:row>
    <x:row r="250">
      <x:c r="A250" s="41" t="str">
        <x:v>Venustiano Carranza</x:v>
      </x:c>
      <x:c r="B250" s="41" t="n">
        <x:v>1960</x:v>
      </x:c>
      <x:c r="C250" s="52" t="n">
        <x:f>INDEX(Population!$B$5:$R$20,MATCH(A250,Population!$A$5:$A$20,0),MATCH(B250,Population!$B$4:$R$4,0))</x:f>
        <x:v>755974</x:v>
      </x:c>
      <x:c r="D250" s="50" t="n">
        <x:f>COUNTIFS('Third Space Catalog'!$C:$C,A250,'Third Space Catalog'!$B:$B,"Museum",'Third Space Catalog'!$D:$D,"&lt;="&amp;B250,'Third Space Catalog'!$I:$I,1)</x:f>
        <x:v>0</x:v>
      </x:c>
      <x:c r="E250" s="50" t="n">
        <x:f>COUNTIFS('Third Space Catalog'!$C:$C,A250,'Third Space Catalog'!$B:$B,"Library",'Third Space Catalog'!$D:$D,"&lt;="&amp;B250,'Third Space Catalog'!$I:$I,1)</x:f>
        <x:v>0</x:v>
      </x:c>
      <x:c r="F250" s="50" t="n">
        <x:f>D250+E250</x:f>
        <x:v>0</x:v>
      </x:c>
      <x:c r="G250" s="53" t="n">
        <x:f>IFERROR(F250/C250*100000,0)</x:f>
        <x:v>0</x:v>
      </x:c>
      <x:c r="H250" s="53" t="n">
        <x:f>IFERROR(D250/C250*100000,0)</x:f>
        <x:v>0</x:v>
      </x:c>
      <x:c r="I250" s="53" t="n">
        <x:f>IFERROR(E250/C250*100000,0)</x:f>
        <x:v>0</x:v>
      </x:c>
      <x:c r="J250" s="41" t="str">
        <x:v>Count where opening year &lt;= decade and Include in metric = 1</x:v>
      </x:c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</x:row>
    <x:row r="251">
      <x:c r="A251" s="41" t="str">
        <x:v>Venustiano Carranza</x:v>
      </x:c>
      <x:c r="B251" s="41" t="n">
        <x:v>1970</x:v>
      </x:c>
      <x:c r="C251" s="52" t="n">
        <x:f>INDEX(Population!$B$5:$R$20,MATCH(A251,Population!$A$5:$A$20,0),MATCH(B251,Population!$B$4:$R$4,0))</x:f>
        <x:v>774882</x:v>
      </x:c>
      <x:c r="D251" s="50" t="n">
        <x:f>COUNTIFS('Third Space Catalog'!$C:$C,A251,'Third Space Catalog'!$B:$B,"Museum",'Third Space Catalog'!$D:$D,"&lt;="&amp;B251,'Third Space Catalog'!$I:$I,1)</x:f>
        <x:v>0</x:v>
      </x:c>
      <x:c r="E251" s="50" t="n">
        <x:f>COUNTIFS('Third Space Catalog'!$C:$C,A251,'Third Space Catalog'!$B:$B,"Library",'Third Space Catalog'!$D:$D,"&lt;="&amp;B251,'Third Space Catalog'!$I:$I,1)</x:f>
        <x:v>0</x:v>
      </x:c>
      <x:c r="F251" s="50" t="n">
        <x:f>D251+E251</x:f>
        <x:v>0</x:v>
      </x:c>
      <x:c r="G251" s="53" t="n">
        <x:f>IFERROR(F251/C251*100000,0)</x:f>
        <x:v>0</x:v>
      </x:c>
      <x:c r="H251" s="53" t="n">
        <x:f>IFERROR(D251/C251*100000,0)</x:f>
        <x:v>0</x:v>
      </x:c>
      <x:c r="I251" s="53" t="n">
        <x:f>IFERROR(E251/C251*100000,0)</x:f>
        <x:v>0</x:v>
      </x:c>
      <x:c r="J251" s="41" t="str">
        <x:v>Count where opening year &lt;= decade and Include in metric = 1</x:v>
      </x:c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</x:row>
    <x:row r="252">
      <x:c r="A252" s="41" t="str">
        <x:v>Venustiano Carranza</x:v>
      </x:c>
      <x:c r="B252" s="41" t="n">
        <x:v>1980</x:v>
      </x:c>
      <x:c r="C252" s="52" t="n">
        <x:f>INDEX(Population!$B$5:$R$20,MATCH(A252,Population!$A$5:$A$20,0),MATCH(B252,Population!$B$4:$R$4,0))</x:f>
        <x:v>692896</x:v>
      </x:c>
      <x:c r="D252" s="50" t="n">
        <x:f>COUNTIFS('Third Space Catalog'!$C:$C,A252,'Third Space Catalog'!$B:$B,"Museum",'Third Space Catalog'!$D:$D,"&lt;="&amp;B252,'Third Space Catalog'!$I:$I,1)</x:f>
        <x:v>0</x:v>
      </x:c>
      <x:c r="E252" s="50" t="n">
        <x:f>COUNTIFS('Third Space Catalog'!$C:$C,A252,'Third Space Catalog'!$B:$B,"Library",'Third Space Catalog'!$D:$D,"&lt;="&amp;B252,'Third Space Catalog'!$I:$I,1)</x:f>
        <x:v>1</x:v>
      </x:c>
      <x:c r="F252" s="50" t="n">
        <x:f>D252+E252</x:f>
        <x:v>1</x:v>
      </x:c>
      <x:c r="G252" s="53" t="n">
        <x:f>IFERROR(F252/C252*100000,0)</x:f>
        <x:v>0.1443218029834203</x:v>
      </x:c>
      <x:c r="H252" s="53" t="n">
        <x:f>IFERROR(D252/C252*100000,0)</x:f>
        <x:v>0</x:v>
      </x:c>
      <x:c r="I252" s="53" t="n">
        <x:f>IFERROR(E252/C252*100000,0)</x:f>
        <x:v>0.1443218029834203</x:v>
      </x:c>
      <x:c r="J252" s="41" t="str">
        <x:v>Count where opening year &lt;= decade and Include in metric = 1</x:v>
      </x:c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</x:row>
    <x:row r="253">
      <x:c r="A253" s="41" t="str">
        <x:v>Venustiano Carranza</x:v>
      </x:c>
      <x:c r="B253" s="41" t="n">
        <x:v>1990</x:v>
      </x:c>
      <x:c r="C253" s="52" t="n">
        <x:f>INDEX(Population!$B$5:$R$20,MATCH(A253,Population!$A$5:$A$20,0),MATCH(B253,Population!$B$4:$R$4,0))</x:f>
        <x:v>519628</x:v>
      </x:c>
      <x:c r="D253" s="50" t="n">
        <x:f>COUNTIFS('Third Space Catalog'!$C:$C,A253,'Third Space Catalog'!$B:$B,"Museum",'Third Space Catalog'!$D:$D,"&lt;="&amp;B253,'Third Space Catalog'!$I:$I,1)</x:f>
        <x:v>0</x:v>
      </x:c>
      <x:c r="E253" s="50" t="n">
        <x:f>COUNTIFS('Third Space Catalog'!$C:$C,A253,'Third Space Catalog'!$B:$B,"Library",'Third Space Catalog'!$D:$D,"&lt;="&amp;B253,'Third Space Catalog'!$I:$I,1)</x:f>
        <x:v>2</x:v>
      </x:c>
      <x:c r="F253" s="50" t="n">
        <x:f>D253+E253</x:f>
        <x:v>2</x:v>
      </x:c>
      <x:c r="G253" s="53" t="n">
        <x:f>IFERROR(F253/C253*100000,0)</x:f>
        <x:v>0.38489072952188874</x:v>
      </x:c>
      <x:c r="H253" s="53" t="n">
        <x:f>IFERROR(D253/C253*100000,0)</x:f>
        <x:v>0</x:v>
      </x:c>
      <x:c r="I253" s="53" t="n">
        <x:f>IFERROR(E253/C253*100000,0)</x:f>
        <x:v>0.38489072952188874</x:v>
      </x:c>
      <x:c r="J253" s="41" t="str">
        <x:v>Count where opening year &lt;= decade and Include in metric = 1</x:v>
      </x:c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</x:row>
    <x:row r="254">
      <x:c r="A254" s="41" t="str">
        <x:v>Venustiano Carranza</x:v>
      </x:c>
      <x:c r="B254" s="41" t="n">
        <x:v>2000</x:v>
      </x:c>
      <x:c r="C254" s="52" t="n">
        <x:f>INDEX(Population!$B$5:$R$20,MATCH(A254,Population!$A$5:$A$20,0),MATCH(B254,Population!$B$4:$R$4,0))</x:f>
        <x:v>462806</x:v>
      </x:c>
      <x:c r="D254" s="50" t="n">
        <x:f>COUNTIFS('Third Space Catalog'!$C:$C,A254,'Third Space Catalog'!$B:$B,"Museum",'Third Space Catalog'!$D:$D,"&lt;="&amp;B254,'Third Space Catalog'!$I:$I,1)</x:f>
        <x:v>1</x:v>
      </x:c>
      <x:c r="E254" s="50" t="n">
        <x:f>COUNTIFS('Third Space Catalog'!$C:$C,A254,'Third Space Catalog'!$B:$B,"Library",'Third Space Catalog'!$D:$D,"&lt;="&amp;B254,'Third Space Catalog'!$I:$I,1)</x:f>
        <x:v>2</x:v>
      </x:c>
      <x:c r="F254" s="50" t="n">
        <x:f>D254+E254</x:f>
        <x:v>3</x:v>
      </x:c>
      <x:c r="G254" s="53" t="n">
        <x:f>IFERROR(F254/C254*100000,0)</x:f>
        <x:v>0.6482197724316453</x:v>
      </x:c>
      <x:c r="H254" s="53" t="n">
        <x:f>IFERROR(D254/C254*100000,0)</x:f>
        <x:v>0.21607325747721506</x:v>
      </x:c>
      <x:c r="I254" s="53" t="n">
        <x:f>IFERROR(E254/C254*100000,0)</x:f>
        <x:v>0.4321465149544301</x:v>
      </x:c>
      <x:c r="J254" s="41" t="str">
        <x:v>Count where opening year &lt;= decade and Include in metric = 1</x:v>
      </x:c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</x:row>
    <x:row r="255">
      <x:c r="A255" s="41" t="str">
        <x:v>Venustiano Carranza</x:v>
      </x:c>
      <x:c r="B255" s="41" t="n">
        <x:v>2010</x:v>
      </x:c>
      <x:c r="C255" s="52" t="n">
        <x:f>INDEX(Population!$B$5:$R$20,MATCH(A255,Population!$A$5:$A$20,0),MATCH(B255,Population!$B$4:$R$4,0))</x:f>
        <x:v>430978</x:v>
      </x:c>
      <x:c r="D255" s="50" t="n">
        <x:f>COUNTIFS('Third Space Catalog'!$C:$C,A255,'Third Space Catalog'!$B:$B,"Museum",'Third Space Catalog'!$D:$D,"&lt;="&amp;B255,'Third Space Catalog'!$I:$I,1)</x:f>
        <x:v>1</x:v>
      </x:c>
      <x:c r="E255" s="50" t="n">
        <x:f>COUNTIFS('Third Space Catalog'!$C:$C,A255,'Third Space Catalog'!$B:$B,"Library",'Third Space Catalog'!$D:$D,"&lt;="&amp;B255,'Third Space Catalog'!$I:$I,1)</x:f>
        <x:v>2</x:v>
      </x:c>
      <x:c r="F255" s="50" t="n">
        <x:f>D255+E255</x:f>
        <x:v>3</x:v>
      </x:c>
      <x:c r="G255" s="53" t="n">
        <x:f>IFERROR(F255/C255*100000,0)</x:f>
        <x:v>0.6960912157929176</x:v>
      </x:c>
      <x:c r="H255" s="53" t="n">
        <x:f>IFERROR(D255/C255*100000,0)</x:f>
        <x:v>0.23203040526430585</x:v>
      </x:c>
      <x:c r="I255" s="53" t="n">
        <x:f>IFERROR(E255/C255*100000,0)</x:f>
        <x:v>0.4640608105286117</x:v>
      </x:c>
      <x:c r="J255" s="41" t="str">
        <x:v>Count where opening year &lt;= decade and Include in metric = 1</x:v>
      </x:c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</x:row>
    <x:row r="256">
      <x:c r="A256" s="41" t="str">
        <x:v>Venustiano Carranza</x:v>
      </x:c>
      <x:c r="B256" s="41" t="n">
        <x:v>2020</x:v>
      </x:c>
      <x:c r="C256" s="52" t="n">
        <x:f>INDEX(Population!$B$5:$R$20,MATCH(A256,Population!$A$5:$A$20,0),MATCH(B256,Population!$B$4:$R$4,0))</x:f>
        <x:v>443704</x:v>
      </x:c>
      <x:c r="D256" s="50" t="n">
        <x:f>COUNTIFS('Third Space Catalog'!$C:$C,A256,'Third Space Catalog'!$B:$B,"Museum",'Third Space Catalog'!$D:$D,"&lt;="&amp;B256,'Third Space Catalog'!$I:$I,1)</x:f>
        <x:v>1</x:v>
      </x:c>
      <x:c r="E256" s="50" t="n">
        <x:f>COUNTIFS('Third Space Catalog'!$C:$C,A256,'Third Space Catalog'!$B:$B,"Library",'Third Space Catalog'!$D:$D,"&lt;="&amp;B256,'Third Space Catalog'!$I:$I,1)</x:f>
        <x:v>2</x:v>
      </x:c>
      <x:c r="F256" s="50" t="n">
        <x:f>D256+E256</x:f>
        <x:v>3</x:v>
      </x:c>
      <x:c r="G256" s="53" t="n">
        <x:f>IFERROR(F256/C256*100000,0)</x:f>
        <x:v>0.6761264266267601</x:v>
      </x:c>
      <x:c r="H256" s="53" t="n">
        <x:f>IFERROR(D256/C256*100000,0)</x:f>
        <x:v>0.2253754755422534</x:v>
      </x:c>
      <x:c r="I256" s="53" t="n">
        <x:f>IFERROR(E256/C256*100000,0)</x:f>
        <x:v>0.4507509510845068</x:v>
      </x:c>
      <x:c r="J256" s="41" t="str">
        <x:v>Count where opening year &lt;= decade and Include in metric = 1</x:v>
      </x:c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</x:row>
    <x:row r="257">
      <x:c r="A257" s="41" t="str">
        <x:v>Xochimilco</x:v>
      </x:c>
      <x:c r="B257" s="41" t="n">
        <x:v>1860</x:v>
      </x:c>
      <x:c r="C257" s="52" t="n">
        <x:f>INDEX(Population!$B$5:$R$20,MATCH(A257,Population!$A$5:$A$20,0),MATCH(B257,Population!$B$4:$R$4,0))</x:f>
        <x:v>7597</x:v>
      </x:c>
      <x:c r="D257" s="50" t="n">
        <x:f>COUNTIFS('Third Space Catalog'!$C:$C,A257,'Third Space Catalog'!$B:$B,"Museum",'Third Space Catalog'!$D:$D,"&lt;="&amp;B257,'Third Space Catalog'!$I:$I,1)</x:f>
        <x:v>0</x:v>
      </x:c>
      <x:c r="E257" s="50" t="n">
        <x:f>COUNTIFS('Third Space Catalog'!$C:$C,A257,'Third Space Catalog'!$B:$B,"Library",'Third Space Catalog'!$D:$D,"&lt;="&amp;B257,'Third Space Catalog'!$I:$I,1)</x:f>
        <x:v>0</x:v>
      </x:c>
      <x:c r="F257" s="50" t="n">
        <x:f>D257+E257</x:f>
        <x:v>0</x:v>
      </x:c>
      <x:c r="G257" s="53" t="n">
        <x:f>IFERROR(F257/C257*100000,0)</x:f>
        <x:v>0</x:v>
      </x:c>
      <x:c r="H257" s="53" t="n">
        <x:f>IFERROR(D257/C257*100000,0)</x:f>
        <x:v>0</x:v>
      </x:c>
      <x:c r="I257" s="53" t="n">
        <x:f>IFERROR(E257/C257*100000,0)</x:f>
        <x:v>0</x:v>
      </x:c>
      <x:c r="J257" s="41" t="str">
        <x:v>Count where opening year &lt;= decade and Include in metric = 1</x:v>
      </x:c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</x:row>
    <x:row r="258">
      <x:c r="A258" s="41" t="str">
        <x:v>Xochimilco</x:v>
      </x:c>
      <x:c r="B258" s="41" t="n">
        <x:v>1870</x:v>
      </x:c>
      <x:c r="C258" s="52" t="n">
        <x:f>INDEX(Population!$B$5:$R$20,MATCH(A258,Population!$A$5:$A$20,0),MATCH(B258,Population!$B$4:$R$4,0))</x:f>
        <x:v>8288</x:v>
      </x:c>
      <x:c r="D258" s="50" t="n">
        <x:f>COUNTIFS('Third Space Catalog'!$C:$C,A258,'Third Space Catalog'!$B:$B,"Museum",'Third Space Catalog'!$D:$D,"&lt;="&amp;B258,'Third Space Catalog'!$I:$I,1)</x:f>
        <x:v>0</x:v>
      </x:c>
      <x:c r="E258" s="50" t="n">
        <x:f>COUNTIFS('Third Space Catalog'!$C:$C,A258,'Third Space Catalog'!$B:$B,"Library",'Third Space Catalog'!$D:$D,"&lt;="&amp;B258,'Third Space Catalog'!$I:$I,1)</x:f>
        <x:v>0</x:v>
      </x:c>
      <x:c r="F258" s="50" t="n">
        <x:f>D258+E258</x:f>
        <x:v>0</x:v>
      </x:c>
      <x:c r="G258" s="53" t="n">
        <x:f>IFERROR(F258/C258*100000,0)</x:f>
        <x:v>0</x:v>
      </x:c>
      <x:c r="H258" s="53" t="n">
        <x:f>IFERROR(D258/C258*100000,0)</x:f>
        <x:v>0</x:v>
      </x:c>
      <x:c r="I258" s="53" t="n">
        <x:f>IFERROR(E258/C258*100000,0)</x:f>
        <x:v>0</x:v>
      </x:c>
      <x:c r="J258" s="41" t="str">
        <x:v>Count where opening year &lt;= decade and Include in metric = 1</x:v>
      </x:c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</x:row>
    <x:row r="259">
      <x:c r="A259" s="41" t="str">
        <x:v>Xochimilco</x:v>
      </x:c>
      <x:c r="B259" s="41" t="n">
        <x:v>1880</x:v>
      </x:c>
      <x:c r="C259" s="52" t="n">
        <x:f>INDEX(Population!$B$5:$R$20,MATCH(A259,Population!$A$5:$A$20,0),MATCH(B259,Population!$B$4:$R$4,0))</x:f>
        <x:v>10014</x:v>
      </x:c>
      <x:c r="D259" s="50" t="n">
        <x:f>COUNTIFS('Third Space Catalog'!$C:$C,A259,'Third Space Catalog'!$B:$B,"Museum",'Third Space Catalog'!$D:$D,"&lt;="&amp;B259,'Third Space Catalog'!$I:$I,1)</x:f>
        <x:v>0</x:v>
      </x:c>
      <x:c r="E259" s="50" t="n">
        <x:f>COUNTIFS('Third Space Catalog'!$C:$C,A259,'Third Space Catalog'!$B:$B,"Library",'Third Space Catalog'!$D:$D,"&lt;="&amp;B259,'Third Space Catalog'!$I:$I,1)</x:f>
        <x:v>0</x:v>
      </x:c>
      <x:c r="F259" s="50" t="n">
        <x:f>D259+E259</x:f>
        <x:v>0</x:v>
      </x:c>
      <x:c r="G259" s="53" t="n">
        <x:f>IFERROR(F259/C259*100000,0)</x:f>
        <x:v>0</x:v>
      </x:c>
      <x:c r="H259" s="53" t="n">
        <x:f>IFERROR(D259/C259*100000,0)</x:f>
        <x:v>0</x:v>
      </x:c>
      <x:c r="I259" s="53" t="n">
        <x:f>IFERROR(E259/C259*100000,0)</x:f>
        <x:v>0</x:v>
      </x:c>
      <x:c r="J259" s="41" t="str">
        <x:v>Count where opening year &lt;= decade and Include in metric = 1</x:v>
      </x:c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</x:row>
    <x:row r="260">
      <x:c r="A260" s="41" t="str">
        <x:v>Xochimilco</x:v>
      </x:c>
      <x:c r="B260" s="41" t="n">
        <x:v>1890</x:v>
      </x:c>
      <x:c r="C260" s="52" t="n">
        <x:f>INDEX(Population!$B$5:$R$20,MATCH(A260,Population!$A$5:$A$20,0),MATCH(B260,Population!$B$4:$R$4,0))</x:f>
        <x:v>13813</x:v>
      </x:c>
      <x:c r="D260" s="50" t="n">
        <x:f>COUNTIFS('Third Space Catalog'!$C:$C,A260,'Third Space Catalog'!$B:$B,"Museum",'Third Space Catalog'!$D:$D,"&lt;="&amp;B260,'Third Space Catalog'!$I:$I,1)</x:f>
        <x:v>0</x:v>
      </x:c>
      <x:c r="E260" s="50" t="n">
        <x:f>COUNTIFS('Third Space Catalog'!$C:$C,A260,'Third Space Catalog'!$B:$B,"Library",'Third Space Catalog'!$D:$D,"&lt;="&amp;B260,'Third Space Catalog'!$I:$I,1)</x:f>
        <x:v>0</x:v>
      </x:c>
      <x:c r="F260" s="50" t="n">
        <x:f>D260+E260</x:f>
        <x:v>0</x:v>
      </x:c>
      <x:c r="G260" s="53" t="n">
        <x:f>IFERROR(F260/C260*100000,0)</x:f>
        <x:v>0</x:v>
      </x:c>
      <x:c r="H260" s="53" t="n">
        <x:f>IFERROR(D260/C260*100000,0)</x:f>
        <x:v>0</x:v>
      </x:c>
      <x:c r="I260" s="53" t="n">
        <x:f>IFERROR(E260/C260*100000,0)</x:f>
        <x:v>0</x:v>
      </x:c>
      <x:c r="J260" s="41" t="str">
        <x:v>Count where opening year &lt;= decade and Include in metric = 1</x:v>
      </x:c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</x:row>
    <x:row r="261">
      <x:c r="A261" s="41" t="str">
        <x:v>Xochimilco</x:v>
      </x:c>
      <x:c r="B261" s="41" t="n">
        <x:v>1900</x:v>
      </x:c>
      <x:c r="C261" s="52" t="n">
        <x:f>INDEX(Population!$B$5:$R$20,MATCH(A261,Population!$A$5:$A$20,0),MATCH(B261,Population!$B$4:$R$4,0))</x:f>
        <x:v>18692</x:v>
      </x:c>
      <x:c r="D261" s="50" t="n">
        <x:f>COUNTIFS('Third Space Catalog'!$C:$C,A261,'Third Space Catalog'!$B:$B,"Museum",'Third Space Catalog'!$D:$D,"&lt;="&amp;B261,'Third Space Catalog'!$I:$I,1)</x:f>
        <x:v>0</x:v>
      </x:c>
      <x:c r="E261" s="50" t="n">
        <x:f>COUNTIFS('Third Space Catalog'!$C:$C,A261,'Third Space Catalog'!$B:$B,"Library",'Third Space Catalog'!$D:$D,"&lt;="&amp;B261,'Third Space Catalog'!$I:$I,1)</x:f>
        <x:v>0</x:v>
      </x:c>
      <x:c r="F261" s="50" t="n">
        <x:f>D261+E261</x:f>
        <x:v>0</x:v>
      </x:c>
      <x:c r="G261" s="53" t="n">
        <x:f>IFERROR(F261/C261*100000,0)</x:f>
        <x:v>0</x:v>
      </x:c>
      <x:c r="H261" s="53" t="n">
        <x:f>IFERROR(D261/C261*100000,0)</x:f>
        <x:v>0</x:v>
      </x:c>
      <x:c r="I261" s="53" t="n">
        <x:f>IFERROR(E261/C261*100000,0)</x:f>
        <x:v>0</x:v>
      </x:c>
      <x:c r="J261" s="41" t="str">
        <x:v>Count where opening year &lt;= decade and Include in metric = 1</x:v>
      </x:c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</x:row>
    <x:row r="262">
      <x:c r="A262" s="41" t="str">
        <x:v>Xochimilco</x:v>
      </x:c>
      <x:c r="B262" s="41" t="n">
        <x:v>1910</x:v>
      </x:c>
      <x:c r="C262" s="52" t="n">
        <x:f>INDEX(Population!$B$5:$R$20,MATCH(A262,Population!$A$5:$A$20,0),MATCH(B262,Population!$B$4:$R$4,0))</x:f>
        <x:v>16837</x:v>
      </x:c>
      <x:c r="D262" s="50" t="n">
        <x:f>COUNTIFS('Third Space Catalog'!$C:$C,A262,'Third Space Catalog'!$B:$B,"Museum",'Third Space Catalog'!$D:$D,"&lt;="&amp;B262,'Third Space Catalog'!$I:$I,1)</x:f>
        <x:v>0</x:v>
      </x:c>
      <x:c r="E262" s="50" t="n">
        <x:f>COUNTIFS('Third Space Catalog'!$C:$C,A262,'Third Space Catalog'!$B:$B,"Library",'Third Space Catalog'!$D:$D,"&lt;="&amp;B262,'Third Space Catalog'!$I:$I,1)</x:f>
        <x:v>0</x:v>
      </x:c>
      <x:c r="F262" s="50" t="n">
        <x:f>D262+E262</x:f>
        <x:v>0</x:v>
      </x:c>
      <x:c r="G262" s="53" t="n">
        <x:f>IFERROR(F262/C262*100000,0)</x:f>
        <x:v>0</x:v>
      </x:c>
      <x:c r="H262" s="53" t="n">
        <x:f>IFERROR(D262/C262*100000,0)</x:f>
        <x:v>0</x:v>
      </x:c>
      <x:c r="I262" s="53" t="n">
        <x:f>IFERROR(E262/C262*100000,0)</x:f>
        <x:v>0</x:v>
      </x:c>
      <x:c r="J262" s="41" t="str">
        <x:v>Count where opening year &lt;= decade and Include in metric = 1</x:v>
      </x:c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</x:row>
    <x:row r="263">
      <x:c r="A263" s="41" t="str">
        <x:v>Xochimilco</x:v>
      </x:c>
      <x:c r="B263" s="41" t="n">
        <x:v>1920</x:v>
      </x:c>
      <x:c r="C263" s="52" t="n">
        <x:f>INDEX(Population!$B$5:$R$20,MATCH(A263,Population!$A$5:$A$20,0),MATCH(B263,Population!$B$4:$R$4,0))</x:f>
        <x:v>17622</x:v>
      </x:c>
      <x:c r="D263" s="50" t="n">
        <x:f>COUNTIFS('Third Space Catalog'!$C:$C,A263,'Third Space Catalog'!$B:$B,"Museum",'Third Space Catalog'!$D:$D,"&lt;="&amp;B263,'Third Space Catalog'!$I:$I,1)</x:f>
        <x:v>0</x:v>
      </x:c>
      <x:c r="E263" s="50" t="n">
        <x:f>COUNTIFS('Third Space Catalog'!$C:$C,A263,'Third Space Catalog'!$B:$B,"Library",'Third Space Catalog'!$D:$D,"&lt;="&amp;B263,'Third Space Catalog'!$I:$I,1)</x:f>
        <x:v>0</x:v>
      </x:c>
      <x:c r="F263" s="50" t="n">
        <x:f>D263+E263</x:f>
        <x:v>0</x:v>
      </x:c>
      <x:c r="G263" s="53" t="n">
        <x:f>IFERROR(F263/C263*100000,0)</x:f>
        <x:v>0</x:v>
      </x:c>
      <x:c r="H263" s="53" t="n">
        <x:f>IFERROR(D263/C263*100000,0)</x:f>
        <x:v>0</x:v>
      </x:c>
      <x:c r="I263" s="53" t="n">
        <x:f>IFERROR(E263/C263*100000,0)</x:f>
        <x:v>0</x:v>
      </x:c>
      <x:c r="J263" s="41" t="str">
        <x:v>Count where opening year &lt;= decade and Include in metric = 1</x:v>
      </x:c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</x:row>
    <x:row r="264">
      <x:c r="A264" s="41" t="str">
        <x:v>Xochimilco</x:v>
      </x:c>
      <x:c r="B264" s="41" t="n">
        <x:v>1930</x:v>
      </x:c>
      <x:c r="C264" s="52" t="n">
        <x:f>INDEX(Population!$B$5:$R$20,MATCH(A264,Population!$A$5:$A$20,0),MATCH(B264,Population!$B$4:$R$4,0))</x:f>
        <x:v>21462</x:v>
      </x:c>
      <x:c r="D264" s="50" t="n">
        <x:f>COUNTIFS('Third Space Catalog'!$C:$C,A264,'Third Space Catalog'!$B:$B,"Museum",'Third Space Catalog'!$D:$D,"&lt;="&amp;B264,'Third Space Catalog'!$I:$I,1)</x:f>
        <x:v>0</x:v>
      </x:c>
      <x:c r="E264" s="50" t="n">
        <x:f>COUNTIFS('Third Space Catalog'!$C:$C,A264,'Third Space Catalog'!$B:$B,"Library",'Third Space Catalog'!$D:$D,"&lt;="&amp;B264,'Third Space Catalog'!$I:$I,1)</x:f>
        <x:v>0</x:v>
      </x:c>
      <x:c r="F264" s="50" t="n">
        <x:f>D264+E264</x:f>
        <x:v>0</x:v>
      </x:c>
      <x:c r="G264" s="53" t="n">
        <x:f>IFERROR(F264/C264*100000,0)</x:f>
        <x:v>0</x:v>
      </x:c>
      <x:c r="H264" s="53" t="n">
        <x:f>IFERROR(D264/C264*100000,0)</x:f>
        <x:v>0</x:v>
      </x:c>
      <x:c r="I264" s="53" t="n">
        <x:f>IFERROR(E264/C264*100000,0)</x:f>
        <x:v>0</x:v>
      </x:c>
      <x:c r="J264" s="41" t="str">
        <x:v>Count where opening year &lt;= decade and Include in metric = 1</x:v>
      </x:c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</x:row>
    <x:row r="265">
      <x:c r="A265" s="41" t="str">
        <x:v>Xochimilco</x:v>
      </x:c>
      <x:c r="B265" s="41" t="n">
        <x:v>1940</x:v>
      </x:c>
      <x:c r="C265" s="52" t="n">
        <x:f>INDEX(Population!$B$5:$R$20,MATCH(A265,Population!$A$5:$A$20,0),MATCH(B265,Population!$B$4:$R$4,0))</x:f>
        <x:v>28552</x:v>
      </x:c>
      <x:c r="D265" s="50" t="n">
        <x:f>COUNTIFS('Third Space Catalog'!$C:$C,A265,'Third Space Catalog'!$B:$B,"Museum",'Third Space Catalog'!$D:$D,"&lt;="&amp;B265,'Third Space Catalog'!$I:$I,1)</x:f>
        <x:v>0</x:v>
      </x:c>
      <x:c r="E265" s="50" t="n">
        <x:f>COUNTIFS('Third Space Catalog'!$C:$C,A265,'Third Space Catalog'!$B:$B,"Library",'Third Space Catalog'!$D:$D,"&lt;="&amp;B265,'Third Space Catalog'!$I:$I,1)</x:f>
        <x:v>0</x:v>
      </x:c>
      <x:c r="F265" s="50" t="n">
        <x:f>D265+E265</x:f>
        <x:v>0</x:v>
      </x:c>
      <x:c r="G265" s="53" t="n">
        <x:f>IFERROR(F265/C265*100000,0)</x:f>
        <x:v>0</x:v>
      </x:c>
      <x:c r="H265" s="53" t="n">
        <x:f>IFERROR(D265/C265*100000,0)</x:f>
        <x:v>0</x:v>
      </x:c>
      <x:c r="I265" s="53" t="n">
        <x:f>IFERROR(E265/C265*100000,0)</x:f>
        <x:v>0</x:v>
      </x:c>
      <x:c r="J265" s="41" t="str">
        <x:v>Count where opening year &lt;= decade and Include in metric = 1</x:v>
      </x:c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</x:row>
    <x:row r="266">
      <x:c r="A266" s="41" t="str">
        <x:v>Xochimilco</x:v>
      </x:c>
      <x:c r="B266" s="41" t="n">
        <x:v>1950</x:v>
      </x:c>
      <x:c r="C266" s="52" t="n">
        <x:f>INDEX(Population!$B$5:$R$20,MATCH(A266,Population!$A$5:$A$20,0),MATCH(B266,Population!$B$4:$R$4,0))</x:f>
        <x:v>47082</x:v>
      </x:c>
      <x:c r="D266" s="50" t="n">
        <x:f>COUNTIFS('Third Space Catalog'!$C:$C,A266,'Third Space Catalog'!$B:$B,"Museum",'Third Space Catalog'!$D:$D,"&lt;="&amp;B266,'Third Space Catalog'!$I:$I,1)</x:f>
        <x:v>0</x:v>
      </x:c>
      <x:c r="E266" s="50" t="n">
        <x:f>COUNTIFS('Third Space Catalog'!$C:$C,A266,'Third Space Catalog'!$B:$B,"Library",'Third Space Catalog'!$D:$D,"&lt;="&amp;B266,'Third Space Catalog'!$I:$I,1)</x:f>
        <x:v>0</x:v>
      </x:c>
      <x:c r="F266" s="50" t="n">
        <x:f>D266+E266</x:f>
        <x:v>0</x:v>
      </x:c>
      <x:c r="G266" s="53" t="n">
        <x:f>IFERROR(F266/C266*100000,0)</x:f>
        <x:v>0</x:v>
      </x:c>
      <x:c r="H266" s="53" t="n">
        <x:f>IFERROR(D266/C266*100000,0)</x:f>
        <x:v>0</x:v>
      </x:c>
      <x:c r="I266" s="53" t="n">
        <x:f>IFERROR(E266/C266*100000,0)</x:f>
        <x:v>0</x:v>
      </x:c>
      <x:c r="J266" s="41" t="str">
        <x:v>Count where opening year &lt;= decade and Include in metric = 1</x:v>
      </x:c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</x:row>
    <x:row r="267">
      <x:c r="A267" s="41" t="str">
        <x:v>Xochimilco</x:v>
      </x:c>
      <x:c r="B267" s="41" t="n">
        <x:v>1960</x:v>
      </x:c>
      <x:c r="C267" s="52" t="n">
        <x:f>INDEX(Population!$B$5:$R$20,MATCH(A267,Population!$A$5:$A$20,0),MATCH(B267,Population!$B$4:$R$4,0))</x:f>
        <x:v>70381</x:v>
      </x:c>
      <x:c r="D267" s="50" t="n">
        <x:f>COUNTIFS('Third Space Catalog'!$C:$C,A267,'Third Space Catalog'!$B:$B,"Museum",'Third Space Catalog'!$D:$D,"&lt;="&amp;B267,'Third Space Catalog'!$I:$I,1)</x:f>
        <x:v>0</x:v>
      </x:c>
      <x:c r="E267" s="50" t="n">
        <x:f>COUNTIFS('Third Space Catalog'!$C:$C,A267,'Third Space Catalog'!$B:$B,"Library",'Third Space Catalog'!$D:$D,"&lt;="&amp;B267,'Third Space Catalog'!$I:$I,1)</x:f>
        <x:v>0</x:v>
      </x:c>
      <x:c r="F267" s="50" t="n">
        <x:f>D267+E267</x:f>
        <x:v>0</x:v>
      </x:c>
      <x:c r="G267" s="53" t="n">
        <x:f>IFERROR(F267/C267*100000,0)</x:f>
        <x:v>0</x:v>
      </x:c>
      <x:c r="H267" s="53" t="n">
        <x:f>IFERROR(D267/C267*100000,0)</x:f>
        <x:v>0</x:v>
      </x:c>
      <x:c r="I267" s="53" t="n">
        <x:f>IFERROR(E267/C267*100000,0)</x:f>
        <x:v>0</x:v>
      </x:c>
      <x:c r="J267" s="41" t="str">
        <x:v>Count where opening year &lt;= decade and Include in metric = 1</x:v>
      </x:c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</x:row>
    <x:row r="268">
      <x:c r="A268" s="41" t="str">
        <x:v>Xochimilco</x:v>
      </x:c>
      <x:c r="B268" s="41" t="n">
        <x:v>1970</x:v>
      </x:c>
      <x:c r="C268" s="52" t="n">
        <x:f>INDEX(Population!$B$5:$R$20,MATCH(A268,Population!$A$5:$A$20,0),MATCH(B268,Population!$B$4:$R$4,0))</x:f>
        <x:v>116493</x:v>
      </x:c>
      <x:c r="D268" s="50" t="n">
        <x:f>COUNTIFS('Third Space Catalog'!$C:$C,A268,'Third Space Catalog'!$B:$B,"Museum",'Third Space Catalog'!$D:$D,"&lt;="&amp;B268,'Third Space Catalog'!$I:$I,1)</x:f>
        <x:v>0</x:v>
      </x:c>
      <x:c r="E268" s="50" t="n">
        <x:f>COUNTIFS('Third Space Catalog'!$C:$C,A268,'Third Space Catalog'!$B:$B,"Library",'Third Space Catalog'!$D:$D,"&lt;="&amp;B268,'Third Space Catalog'!$I:$I,1)</x:f>
        <x:v>0</x:v>
      </x:c>
      <x:c r="F268" s="50" t="n">
        <x:f>D268+E268</x:f>
        <x:v>0</x:v>
      </x:c>
      <x:c r="G268" s="53" t="n">
        <x:f>IFERROR(F268/C268*100000,0)</x:f>
        <x:v>0</x:v>
      </x:c>
      <x:c r="H268" s="53" t="n">
        <x:f>IFERROR(D268/C268*100000,0)</x:f>
        <x:v>0</x:v>
      </x:c>
      <x:c r="I268" s="53" t="n">
        <x:f>IFERROR(E268/C268*100000,0)</x:f>
        <x:v>0</x:v>
      </x:c>
      <x:c r="J268" s="41" t="str">
        <x:v>Count where opening year &lt;= decade and Include in metric = 1</x:v>
      </x:c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</x:row>
    <x:row r="269">
      <x:c r="A269" s="41" t="str">
        <x:v>Xochimilco</x:v>
      </x:c>
      <x:c r="B269" s="41" t="n">
        <x:v>1980</x:v>
      </x:c>
      <x:c r="C269" s="52" t="n">
        <x:f>INDEX(Population!$B$5:$R$20,MATCH(A269,Population!$A$5:$A$20,0),MATCH(B269,Population!$B$4:$R$4,0))</x:f>
        <x:v>217481</x:v>
      </x:c>
      <x:c r="D269" s="50" t="n">
        <x:f>COUNTIFS('Third Space Catalog'!$C:$C,A269,'Third Space Catalog'!$B:$B,"Museum",'Third Space Catalog'!$D:$D,"&lt;="&amp;B269,'Third Space Catalog'!$I:$I,1)</x:f>
        <x:v>0</x:v>
      </x:c>
      <x:c r="E269" s="50" t="n">
        <x:f>COUNTIFS('Third Space Catalog'!$C:$C,A269,'Third Space Catalog'!$B:$B,"Library",'Third Space Catalog'!$D:$D,"&lt;="&amp;B269,'Third Space Catalog'!$I:$I,1)</x:f>
        <x:v>1</x:v>
      </x:c>
      <x:c r="F269" s="50" t="n">
        <x:f>D269+E269</x:f>
        <x:v>1</x:v>
      </x:c>
      <x:c r="G269" s="53" t="n">
        <x:f>IFERROR(F269/C269*100000,0)</x:f>
        <x:v>0.4598102822775323</x:v>
      </x:c>
      <x:c r="H269" s="53" t="n">
        <x:f>IFERROR(D269/C269*100000,0)</x:f>
        <x:v>0</x:v>
      </x:c>
      <x:c r="I269" s="53" t="n">
        <x:f>IFERROR(E269/C269*100000,0)</x:f>
        <x:v>0.4598102822775323</x:v>
      </x:c>
      <x:c r="J269" s="41" t="str">
        <x:v>Count where opening year &lt;= decade and Include in metric = 1</x:v>
      </x:c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</x:row>
    <x:row r="270">
      <x:c r="A270" s="41" t="str">
        <x:v>Xochimilco</x:v>
      </x:c>
      <x:c r="B270" s="41" t="n">
        <x:v>1990</x:v>
      </x:c>
      <x:c r="C270" s="52" t="n">
        <x:f>INDEX(Population!$B$5:$R$20,MATCH(A270,Population!$A$5:$A$20,0),MATCH(B270,Population!$B$4:$R$4,0))</x:f>
        <x:v>271151</x:v>
      </x:c>
      <x:c r="D270" s="50" t="n">
        <x:f>COUNTIFS('Third Space Catalog'!$C:$C,A270,'Third Space Catalog'!$B:$B,"Museum",'Third Space Catalog'!$D:$D,"&lt;="&amp;B270,'Third Space Catalog'!$I:$I,1)</x:f>
        <x:v>1</x:v>
      </x:c>
      <x:c r="E270" s="50" t="n">
        <x:f>COUNTIFS('Third Space Catalog'!$C:$C,A270,'Third Space Catalog'!$B:$B,"Library",'Third Space Catalog'!$D:$D,"&lt;="&amp;B270,'Third Space Catalog'!$I:$I,1)</x:f>
        <x:v>1</x:v>
      </x:c>
      <x:c r="F270" s="50" t="n">
        <x:f>D270+E270</x:f>
        <x:v>2</x:v>
      </x:c>
      <x:c r="G270" s="53" t="n">
        <x:f>IFERROR(F270/C270*100000,0)</x:f>
        <x:v>0.7375963946288231</x:v>
      </x:c>
      <x:c r="H270" s="53" t="n">
        <x:f>IFERROR(D270/C270*100000,0)</x:f>
        <x:v>0.36879819731441155</x:v>
      </x:c>
      <x:c r="I270" s="53" t="n">
        <x:f>IFERROR(E270/C270*100000,0)</x:f>
        <x:v>0.36879819731441155</x:v>
      </x:c>
      <x:c r="J270" s="41" t="str">
        <x:v>Count where opening year &lt;= decade and Include in metric = 1</x:v>
      </x:c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</x:row>
    <x:row r="271">
      <x:c r="A271" s="41" t="str">
        <x:v>Xochimilco</x:v>
      </x:c>
      <x:c r="B271" s="41" t="n">
        <x:v>2000</x:v>
      </x:c>
      <x:c r="C271" s="52" t="n">
        <x:f>INDEX(Population!$B$5:$R$20,MATCH(A271,Population!$A$5:$A$20,0),MATCH(B271,Population!$B$4:$R$4,0))</x:f>
        <x:v>369787</x:v>
      </x:c>
      <x:c r="D271" s="50" t="n">
        <x:f>COUNTIFS('Third Space Catalog'!$C:$C,A271,'Third Space Catalog'!$B:$B,"Museum",'Third Space Catalog'!$D:$D,"&lt;="&amp;B271,'Third Space Catalog'!$I:$I,1)</x:f>
        <x:v>2</x:v>
      </x:c>
      <x:c r="E271" s="50" t="n">
        <x:f>COUNTIFS('Third Space Catalog'!$C:$C,A271,'Third Space Catalog'!$B:$B,"Library",'Third Space Catalog'!$D:$D,"&lt;="&amp;B271,'Third Space Catalog'!$I:$I,1)</x:f>
        <x:v>1</x:v>
      </x:c>
      <x:c r="F271" s="50" t="n">
        <x:f>D271+E271</x:f>
        <x:v>3</x:v>
      </x:c>
      <x:c r="G271" s="53" t="n">
        <x:f>IFERROR(F271/C271*100000,0)</x:f>
        <x:v>0.8112778437316617</x:v>
      </x:c>
      <x:c r="H271" s="53" t="n">
        <x:f>IFERROR(D271/C271*100000,0)</x:f>
        <x:v>0.5408518958211078</x:v>
      </x:c>
      <x:c r="I271" s="53" t="n">
        <x:f>IFERROR(E271/C271*100000,0)</x:f>
        <x:v>0.2704259479105539</x:v>
      </x:c>
      <x:c r="J271" s="41" t="str">
        <x:v>Count where opening year &lt;= decade and Include in metric = 1</x:v>
      </x:c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</x:row>
    <x:row r="272">
      <x:c r="A272" s="41" t="str">
        <x:v>Xochimilco</x:v>
      </x:c>
      <x:c r="B272" s="41" t="n">
        <x:v>2010</x:v>
      </x:c>
      <x:c r="C272" s="52" t="n">
        <x:f>INDEX(Population!$B$5:$R$20,MATCH(A272,Population!$A$5:$A$20,0),MATCH(B272,Population!$B$4:$R$4,0))</x:f>
        <x:v>415007</x:v>
      </x:c>
      <x:c r="D272" s="50" t="n">
        <x:f>COUNTIFS('Third Space Catalog'!$C:$C,A272,'Third Space Catalog'!$B:$B,"Museum",'Third Space Catalog'!$D:$D,"&lt;="&amp;B272,'Third Space Catalog'!$I:$I,1)</x:f>
        <x:v>2</x:v>
      </x:c>
      <x:c r="E272" s="50" t="n">
        <x:f>COUNTIFS('Third Space Catalog'!$C:$C,A272,'Third Space Catalog'!$B:$B,"Library",'Third Space Catalog'!$D:$D,"&lt;="&amp;B272,'Third Space Catalog'!$I:$I,1)</x:f>
        <x:v>1</x:v>
      </x:c>
      <x:c r="F272" s="50" t="n">
        <x:f>D272+E272</x:f>
        <x:v>3</x:v>
      </x:c>
      <x:c r="G272" s="53" t="n">
        <x:f>IFERROR(F272/C272*100000,0)</x:f>
        <x:v>0.7228793731190076</x:v>
      </x:c>
      <x:c r="H272" s="53" t="n">
        <x:f>IFERROR(D272/C272*100000,0)</x:f>
        <x:v>0.48191958207933844</x:v>
      </x:c>
      <x:c r="I272" s="53" t="n">
        <x:f>IFERROR(E272/C272*100000,0)</x:f>
        <x:v>0.24095979103966922</x:v>
      </x:c>
      <x:c r="J272" s="41" t="str">
        <x:v>Count where opening year &lt;= decade and Include in metric = 1</x:v>
      </x:c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</x:row>
    <x:row r="273">
      <x:c r="A273" s="41" t="str">
        <x:v>Xochimilco</x:v>
      </x:c>
      <x:c r="B273" s="41" t="n">
        <x:v>2020</x:v>
      </x:c>
      <x:c r="C273" s="52" t="n">
        <x:f>INDEX(Population!$B$5:$R$20,MATCH(A273,Population!$A$5:$A$20,0),MATCH(B273,Population!$B$4:$R$4,0))</x:f>
        <x:v>442178</x:v>
      </x:c>
      <x:c r="D273" s="50" t="n">
        <x:f>COUNTIFS('Third Space Catalog'!$C:$C,A273,'Third Space Catalog'!$B:$B,"Museum",'Third Space Catalog'!$D:$D,"&lt;="&amp;B273,'Third Space Catalog'!$I:$I,1)</x:f>
        <x:v>2</x:v>
      </x:c>
      <x:c r="E273" s="50" t="n">
        <x:f>COUNTIFS('Third Space Catalog'!$C:$C,A273,'Third Space Catalog'!$B:$B,"Library",'Third Space Catalog'!$D:$D,"&lt;="&amp;B273,'Third Space Catalog'!$I:$I,1)</x:f>
        <x:v>1</x:v>
      </x:c>
      <x:c r="F273" s="50" t="n">
        <x:f>D273+E273</x:f>
        <x:v>3</x:v>
      </x:c>
      <x:c r="G273" s="53" t="n">
        <x:f>IFERROR(F273/C273*100000,0)</x:f>
        <x:v>0.6784598057795729</x:v>
      </x:c>
      <x:c r="H273" s="53" t="n">
        <x:f>IFERROR(D273/C273*100000,0)</x:f>
        <x:v>0.4523065371863819</x:v>
      </x:c>
      <x:c r="I273" s="53" t="n">
        <x:f>IFERROR(E273/C273*100000,0)</x:f>
        <x:v>0.22615326859319096</x:v>
      </x:c>
      <x:c r="J273" s="41" t="str">
        <x:v>Count where opening year &lt;= decade and Include in metric = 1</x:v>
      </x:c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</x:row>
  </x:sheetData>
  <x:pageMargins left="0.7" right="0.7" top="0.75" bottom="0.75" header="0.3" footer="0.3"/>
  <x:tableParts count="1">
    <x:tablePart xmlns:r="http://schemas.openxmlformats.org/officeDocument/2006/relationships" r:id="Rf137c67eb8f748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42" t="str">
        <x:v>Decade</x:v>
      </x:c>
      <x:c r="B1" s="42" t="str">
        <x:v>Álvaro Obregón</x:v>
      </x:c>
      <x:c r="C1" s="42" t="str">
        <x:v>Azcapotzalco</x:v>
      </x:c>
      <x:c r="D1" s="42" t="str">
        <x:v>Benito Juárez</x:v>
      </x:c>
      <x:c r="E1" s="42" t="str">
        <x:v>Coyoacán</x:v>
      </x:c>
      <x:c r="F1" s="42" t="str">
        <x:v>Cuajimalpa de Morelos</x:v>
      </x:c>
      <x:c r="G1" s="42" t="str">
        <x:v>Cuauhtémoc</x:v>
      </x:c>
      <x:c r="H1" s="42" t="str">
        <x:v>Gustavo A. Madero</x:v>
      </x:c>
      <x:c r="I1" s="42" t="str">
        <x:v>Iztacalco</x:v>
      </x:c>
      <x:c r="J1" s="42" t="str">
        <x:v>Iztapalapa</x:v>
      </x:c>
      <x:c r="K1" s="42" t="str">
        <x:v>La Magdalena Contreras</x:v>
      </x:c>
      <x:c r="L1" s="42" t="str">
        <x:v>Miguel Hidalgo</x:v>
      </x:c>
      <x:c r="M1" s="42" t="str">
        <x:v>Milpa Alta</x:v>
      </x:c>
      <x:c r="N1" s="42" t="str">
        <x:v>Tláhuac</x:v>
      </x:c>
      <x:c r="O1" s="42" t="str">
        <x:v>Tlalpan</x:v>
      </x:c>
      <x:c r="P1" s="42" t="str">
        <x:v>Venustiano Carranza</x:v>
      </x:c>
      <x:c r="Q1" s="42" t="str">
        <x:v>Xochimilco</x:v>
      </x:c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n">
        <x:v>1860</x:v>
      </x:c>
      <x:c r="B2" s="53" t="n">
        <x:f>SUMIFS('Decade Metric'!$G:$G,'Decade Metric'!$A:$A,B$1,'Decade Metric'!$B:$B,$A2)</x:f>
        <x:v>0</x:v>
      </x:c>
      <x:c r="C2" s="53" t="n">
        <x:f>SUMIFS('Decade Metric'!$G:$G,'Decade Metric'!$A:$A,C$1,'Decade Metric'!$B:$B,$A2)</x:f>
        <x:v>0</x:v>
      </x:c>
      <x:c r="D2" s="53" t="n">
        <x:f>SUMIFS('Decade Metric'!$G:$G,'Decade Metric'!$A:$A,D$1,'Decade Metric'!$B:$B,$A2)</x:f>
        <x:v>0</x:v>
      </x:c>
      <x:c r="E2" s="53" t="n">
        <x:f>SUMIFS('Decade Metric'!$G:$G,'Decade Metric'!$A:$A,E$1,'Decade Metric'!$B:$B,$A2)</x:f>
        <x:v>0</x:v>
      </x:c>
      <x:c r="F2" s="53" t="n">
        <x:f>SUMIFS('Decade Metric'!$G:$G,'Decade Metric'!$A:$A,F$1,'Decade Metric'!$B:$B,$A2)</x:f>
        <x:v>0</x:v>
      </x:c>
      <x:c r="G2" s="53" t="n">
        <x:f>SUMIFS('Decade Metric'!$G:$G,'Decade Metric'!$A:$A,G$1,'Decade Metric'!$B:$B,$A2)</x:f>
        <x:v>0</x:v>
      </x:c>
      <x:c r="H2" s="53" t="n">
        <x:f>SUMIFS('Decade Metric'!$G:$G,'Decade Metric'!$A:$A,H$1,'Decade Metric'!$B:$B,$A2)</x:f>
        <x:v>0</x:v>
      </x:c>
      <x:c r="I2" s="53" t="n">
        <x:f>SUMIFS('Decade Metric'!$G:$G,'Decade Metric'!$A:$A,I$1,'Decade Metric'!$B:$B,$A2)</x:f>
        <x:v>0</x:v>
      </x:c>
      <x:c r="J2" s="53" t="n">
        <x:f>SUMIFS('Decade Metric'!$G:$G,'Decade Metric'!$A:$A,J$1,'Decade Metric'!$B:$B,$A2)</x:f>
        <x:v>0</x:v>
      </x:c>
      <x:c r="K2" s="53" t="n">
        <x:f>SUMIFS('Decade Metric'!$G:$G,'Decade Metric'!$A:$A,K$1,'Decade Metric'!$B:$B,$A2)</x:f>
        <x:v>0</x:v>
      </x:c>
      <x:c r="L2" s="53" t="n">
        <x:f>SUMIFS('Decade Metric'!$G:$G,'Decade Metric'!$A:$A,L$1,'Decade Metric'!$B:$B,$A2)</x:f>
        <x:v>0</x:v>
      </x:c>
      <x:c r="M2" s="53" t="n">
        <x:f>SUMIFS('Decade Metric'!$G:$G,'Decade Metric'!$A:$A,M$1,'Decade Metric'!$B:$B,$A2)</x:f>
        <x:v>0</x:v>
      </x:c>
      <x:c r="N2" s="53" t="n">
        <x:f>SUMIFS('Decade Metric'!$G:$G,'Decade Metric'!$A:$A,N$1,'Decade Metric'!$B:$B,$A2)</x:f>
        <x:v>0</x:v>
      </x:c>
      <x:c r="O2" s="53" t="n">
        <x:f>SUMIFS('Decade Metric'!$G:$G,'Decade Metric'!$A:$A,O$1,'Decade Metric'!$B:$B,$A2)</x:f>
        <x:v>0</x:v>
      </x:c>
      <x:c r="P2" s="53" t="n">
        <x:f>SUMIFS('Decade Metric'!$G:$G,'Decade Metric'!$A:$A,P$1,'Decade Metric'!$B:$B,$A2)</x:f>
        <x:v>0</x:v>
      </x:c>
      <x:c r="Q2" s="53" t="n">
        <x:f>SUMIFS('Decade Metric'!$G:$G,'Decade Metric'!$A:$A,Q$1,'Decade Metric'!$B:$B,$A2)</x:f>
        <x:v>0</x:v>
      </x:c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n">
        <x:v>1870</x:v>
      </x:c>
      <x:c r="B3" s="53" t="n">
        <x:f>SUMIFS('Decade Metric'!$G:$G,'Decade Metric'!$A:$A,B$1,'Decade Metric'!$B:$B,$A3)</x:f>
        <x:v>0</x:v>
      </x:c>
      <x:c r="C3" s="53" t="n">
        <x:f>SUMIFS('Decade Metric'!$G:$G,'Decade Metric'!$A:$A,C$1,'Decade Metric'!$B:$B,$A3)</x:f>
        <x:v>0</x:v>
      </x:c>
      <x:c r="D3" s="53" t="n">
        <x:f>SUMIFS('Decade Metric'!$G:$G,'Decade Metric'!$A:$A,D$1,'Decade Metric'!$B:$B,$A3)</x:f>
        <x:v>0</x:v>
      </x:c>
      <x:c r="E3" s="53" t="n">
        <x:f>SUMIFS('Decade Metric'!$G:$G,'Decade Metric'!$A:$A,E$1,'Decade Metric'!$B:$B,$A3)</x:f>
        <x:v>0</x:v>
      </x:c>
      <x:c r="F3" s="53" t="n">
        <x:f>SUMIFS('Decade Metric'!$G:$G,'Decade Metric'!$A:$A,F$1,'Decade Metric'!$B:$B,$A3)</x:f>
        <x:v>0</x:v>
      </x:c>
      <x:c r="G3" s="53" t="n">
        <x:f>SUMIFS('Decade Metric'!$G:$G,'Decade Metric'!$A:$A,G$1,'Decade Metric'!$B:$B,$A3)</x:f>
        <x:v>0</x:v>
      </x:c>
      <x:c r="H3" s="53" t="n">
        <x:f>SUMIFS('Decade Metric'!$G:$G,'Decade Metric'!$A:$A,H$1,'Decade Metric'!$B:$B,$A3)</x:f>
        <x:v>0</x:v>
      </x:c>
      <x:c r="I3" s="53" t="n">
        <x:f>SUMIFS('Decade Metric'!$G:$G,'Decade Metric'!$A:$A,I$1,'Decade Metric'!$B:$B,$A3)</x:f>
        <x:v>0</x:v>
      </x:c>
      <x:c r="J3" s="53" t="n">
        <x:f>SUMIFS('Decade Metric'!$G:$G,'Decade Metric'!$A:$A,J$1,'Decade Metric'!$B:$B,$A3)</x:f>
        <x:v>0</x:v>
      </x:c>
      <x:c r="K3" s="53" t="n">
        <x:f>SUMIFS('Decade Metric'!$G:$G,'Decade Metric'!$A:$A,K$1,'Decade Metric'!$B:$B,$A3)</x:f>
        <x:v>0</x:v>
      </x:c>
      <x:c r="L3" s="53" t="n">
        <x:f>SUMIFS('Decade Metric'!$G:$G,'Decade Metric'!$A:$A,L$1,'Decade Metric'!$B:$B,$A3)</x:f>
        <x:v>0</x:v>
      </x:c>
      <x:c r="M3" s="53" t="n">
        <x:f>SUMIFS('Decade Metric'!$G:$G,'Decade Metric'!$A:$A,M$1,'Decade Metric'!$B:$B,$A3)</x:f>
        <x:v>0</x:v>
      </x:c>
      <x:c r="N3" s="53" t="n">
        <x:f>SUMIFS('Decade Metric'!$G:$G,'Decade Metric'!$A:$A,N$1,'Decade Metric'!$B:$B,$A3)</x:f>
        <x:v>0</x:v>
      </x:c>
      <x:c r="O3" s="53" t="n">
        <x:f>SUMIFS('Decade Metric'!$G:$G,'Decade Metric'!$A:$A,O$1,'Decade Metric'!$B:$B,$A3)</x:f>
        <x:v>0</x:v>
      </x:c>
      <x:c r="P3" s="53" t="n">
        <x:f>SUMIFS('Decade Metric'!$G:$G,'Decade Metric'!$A:$A,P$1,'Decade Metric'!$B:$B,$A3)</x:f>
        <x:v>0</x:v>
      </x:c>
      <x:c r="Q3" s="53" t="n">
        <x:f>SUMIFS('Decade Metric'!$G:$G,'Decade Metric'!$A:$A,Q$1,'Decade Metric'!$B:$B,$A3)</x:f>
        <x:v>0</x:v>
      </x:c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n">
        <x:v>1880</x:v>
      </x:c>
      <x:c r="B4" s="53" t="n">
        <x:f>SUMIFS('Decade Metric'!$G:$G,'Decade Metric'!$A:$A,B$1,'Decade Metric'!$B:$B,$A4)</x:f>
        <x:v>0</x:v>
      </x:c>
      <x:c r="C4" s="53" t="n">
        <x:f>SUMIFS('Decade Metric'!$G:$G,'Decade Metric'!$A:$A,C$1,'Decade Metric'!$B:$B,$A4)</x:f>
        <x:v>0</x:v>
      </x:c>
      <x:c r="D4" s="53" t="n">
        <x:f>SUMIFS('Decade Metric'!$G:$G,'Decade Metric'!$A:$A,D$1,'Decade Metric'!$B:$B,$A4)</x:f>
        <x:v>0</x:v>
      </x:c>
      <x:c r="E4" s="53" t="n">
        <x:f>SUMIFS('Decade Metric'!$G:$G,'Decade Metric'!$A:$A,E$1,'Decade Metric'!$B:$B,$A4)</x:f>
        <x:v>0</x:v>
      </x:c>
      <x:c r="F4" s="53" t="n">
        <x:f>SUMIFS('Decade Metric'!$G:$G,'Decade Metric'!$A:$A,F$1,'Decade Metric'!$B:$B,$A4)</x:f>
        <x:v>0</x:v>
      </x:c>
      <x:c r="G4" s="53" t="n">
        <x:f>SUMIFS('Decade Metric'!$G:$G,'Decade Metric'!$A:$A,G$1,'Decade Metric'!$B:$B,$A4)</x:f>
        <x:v>0</x:v>
      </x:c>
      <x:c r="H4" s="53" t="n">
        <x:f>SUMIFS('Decade Metric'!$G:$G,'Decade Metric'!$A:$A,H$1,'Decade Metric'!$B:$B,$A4)</x:f>
        <x:v>0</x:v>
      </x:c>
      <x:c r="I4" s="53" t="n">
        <x:f>SUMIFS('Decade Metric'!$G:$G,'Decade Metric'!$A:$A,I$1,'Decade Metric'!$B:$B,$A4)</x:f>
        <x:v>0</x:v>
      </x:c>
      <x:c r="J4" s="53" t="n">
        <x:f>SUMIFS('Decade Metric'!$G:$G,'Decade Metric'!$A:$A,J$1,'Decade Metric'!$B:$B,$A4)</x:f>
        <x:v>0</x:v>
      </x:c>
      <x:c r="K4" s="53" t="n">
        <x:f>SUMIFS('Decade Metric'!$G:$G,'Decade Metric'!$A:$A,K$1,'Decade Metric'!$B:$B,$A4)</x:f>
        <x:v>0</x:v>
      </x:c>
      <x:c r="L4" s="53" t="n">
        <x:f>SUMIFS('Decade Metric'!$G:$G,'Decade Metric'!$A:$A,L$1,'Decade Metric'!$B:$B,$A4)</x:f>
        <x:v>0</x:v>
      </x:c>
      <x:c r="M4" s="53" t="n">
        <x:f>SUMIFS('Decade Metric'!$G:$G,'Decade Metric'!$A:$A,M$1,'Decade Metric'!$B:$B,$A4)</x:f>
        <x:v>0</x:v>
      </x:c>
      <x:c r="N4" s="53" t="n">
        <x:f>SUMIFS('Decade Metric'!$G:$G,'Decade Metric'!$A:$A,N$1,'Decade Metric'!$B:$B,$A4)</x:f>
        <x:v>0</x:v>
      </x:c>
      <x:c r="O4" s="53" t="n">
        <x:f>SUMIFS('Decade Metric'!$G:$G,'Decade Metric'!$A:$A,O$1,'Decade Metric'!$B:$B,$A4)</x:f>
        <x:v>0</x:v>
      </x:c>
      <x:c r="P4" s="53" t="n">
        <x:f>SUMIFS('Decade Metric'!$G:$G,'Decade Metric'!$A:$A,P$1,'Decade Metric'!$B:$B,$A4)</x:f>
        <x:v>0</x:v>
      </x:c>
      <x:c r="Q4" s="53" t="n">
        <x:f>SUMIFS('Decade Metric'!$G:$G,'Decade Metric'!$A:$A,Q$1,'Decade Metric'!$B:$B,$A4)</x:f>
        <x:v>0</x:v>
      </x:c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n">
        <x:v>1890</x:v>
      </x:c>
      <x:c r="B5" s="53" t="n">
        <x:f>SUMIFS('Decade Metric'!$G:$G,'Decade Metric'!$A:$A,B$1,'Decade Metric'!$B:$B,$A5)</x:f>
        <x:v>0</x:v>
      </x:c>
      <x:c r="C5" s="53" t="n">
        <x:f>SUMIFS('Decade Metric'!$G:$G,'Decade Metric'!$A:$A,C$1,'Decade Metric'!$B:$B,$A5)</x:f>
        <x:v>0</x:v>
      </x:c>
      <x:c r="D5" s="53" t="n">
        <x:f>SUMIFS('Decade Metric'!$G:$G,'Decade Metric'!$A:$A,D$1,'Decade Metric'!$B:$B,$A5)</x:f>
        <x:v>0</x:v>
      </x:c>
      <x:c r="E5" s="53" t="n">
        <x:f>SUMIFS('Decade Metric'!$G:$G,'Decade Metric'!$A:$A,E$1,'Decade Metric'!$B:$B,$A5)</x:f>
        <x:v>0</x:v>
      </x:c>
      <x:c r="F5" s="53" t="n">
        <x:f>SUMIFS('Decade Metric'!$G:$G,'Decade Metric'!$A:$A,F$1,'Decade Metric'!$B:$B,$A5)</x:f>
        <x:v>0</x:v>
      </x:c>
      <x:c r="G5" s="53" t="n">
        <x:f>SUMIFS('Decade Metric'!$G:$G,'Decade Metric'!$A:$A,G$1,'Decade Metric'!$B:$B,$A5)</x:f>
        <x:v>0</x:v>
      </x:c>
      <x:c r="H5" s="53" t="n">
        <x:f>SUMIFS('Decade Metric'!$G:$G,'Decade Metric'!$A:$A,H$1,'Decade Metric'!$B:$B,$A5)</x:f>
        <x:v>0</x:v>
      </x:c>
      <x:c r="I5" s="53" t="n">
        <x:f>SUMIFS('Decade Metric'!$G:$G,'Decade Metric'!$A:$A,I$1,'Decade Metric'!$B:$B,$A5)</x:f>
        <x:v>0</x:v>
      </x:c>
      <x:c r="J5" s="53" t="n">
        <x:f>SUMIFS('Decade Metric'!$G:$G,'Decade Metric'!$A:$A,J$1,'Decade Metric'!$B:$B,$A5)</x:f>
        <x:v>0</x:v>
      </x:c>
      <x:c r="K5" s="53" t="n">
        <x:f>SUMIFS('Decade Metric'!$G:$G,'Decade Metric'!$A:$A,K$1,'Decade Metric'!$B:$B,$A5)</x:f>
        <x:v>0</x:v>
      </x:c>
      <x:c r="L5" s="53" t="n">
        <x:f>SUMIFS('Decade Metric'!$G:$G,'Decade Metric'!$A:$A,L$1,'Decade Metric'!$B:$B,$A5)</x:f>
        <x:v>0</x:v>
      </x:c>
      <x:c r="M5" s="53" t="n">
        <x:f>SUMIFS('Decade Metric'!$G:$G,'Decade Metric'!$A:$A,M$1,'Decade Metric'!$B:$B,$A5)</x:f>
        <x:v>0</x:v>
      </x:c>
      <x:c r="N5" s="53" t="n">
        <x:f>SUMIFS('Decade Metric'!$G:$G,'Decade Metric'!$A:$A,N$1,'Decade Metric'!$B:$B,$A5)</x:f>
        <x:v>0</x:v>
      </x:c>
      <x:c r="O5" s="53" t="n">
        <x:f>SUMIFS('Decade Metric'!$G:$G,'Decade Metric'!$A:$A,O$1,'Decade Metric'!$B:$B,$A5)</x:f>
        <x:v>0</x:v>
      </x:c>
      <x:c r="P5" s="53" t="n">
        <x:f>SUMIFS('Decade Metric'!$G:$G,'Decade Metric'!$A:$A,P$1,'Decade Metric'!$B:$B,$A5)</x:f>
        <x:v>0</x:v>
      </x:c>
      <x:c r="Q5" s="53" t="n">
        <x:f>SUMIFS('Decade Metric'!$G:$G,'Decade Metric'!$A:$A,Q$1,'Decade Metric'!$B:$B,$A5)</x:f>
        <x:v>0</x:v>
      </x:c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n">
        <x:v>1900</x:v>
      </x:c>
      <x:c r="B6" s="53" t="n">
        <x:f>SUMIFS('Decade Metric'!$G:$G,'Decade Metric'!$A:$A,B$1,'Decade Metric'!$B:$B,$A6)</x:f>
        <x:v>0</x:v>
      </x:c>
      <x:c r="C6" s="53" t="n">
        <x:f>SUMIFS('Decade Metric'!$G:$G,'Decade Metric'!$A:$A,C$1,'Decade Metric'!$B:$B,$A6)</x:f>
        <x:v>0</x:v>
      </x:c>
      <x:c r="D6" s="53" t="n">
        <x:f>SUMIFS('Decade Metric'!$G:$G,'Decade Metric'!$A:$A,D$1,'Decade Metric'!$B:$B,$A6)</x:f>
        <x:v>0</x:v>
      </x:c>
      <x:c r="E6" s="53" t="n">
        <x:f>SUMIFS('Decade Metric'!$G:$G,'Decade Metric'!$A:$A,E$1,'Decade Metric'!$B:$B,$A6)</x:f>
        <x:v>0</x:v>
      </x:c>
      <x:c r="F6" s="53" t="n">
        <x:f>SUMIFS('Decade Metric'!$G:$G,'Decade Metric'!$A:$A,F$1,'Decade Metric'!$B:$B,$A6)</x:f>
        <x:v>0</x:v>
      </x:c>
      <x:c r="G6" s="53" t="n">
        <x:f>SUMIFS('Decade Metric'!$G:$G,'Decade Metric'!$A:$A,G$1,'Decade Metric'!$B:$B,$A6)</x:f>
        <x:v>0</x:v>
      </x:c>
      <x:c r="H6" s="53" t="n">
        <x:f>SUMIFS('Decade Metric'!$G:$G,'Decade Metric'!$A:$A,H$1,'Decade Metric'!$B:$B,$A6)</x:f>
        <x:v>0</x:v>
      </x:c>
      <x:c r="I6" s="53" t="n">
        <x:f>SUMIFS('Decade Metric'!$G:$G,'Decade Metric'!$A:$A,I$1,'Decade Metric'!$B:$B,$A6)</x:f>
        <x:v>0</x:v>
      </x:c>
      <x:c r="J6" s="53" t="n">
        <x:f>SUMIFS('Decade Metric'!$G:$G,'Decade Metric'!$A:$A,J$1,'Decade Metric'!$B:$B,$A6)</x:f>
        <x:v>0</x:v>
      </x:c>
      <x:c r="K6" s="53" t="n">
        <x:f>SUMIFS('Decade Metric'!$G:$G,'Decade Metric'!$A:$A,K$1,'Decade Metric'!$B:$B,$A6)</x:f>
        <x:v>0</x:v>
      </x:c>
      <x:c r="L6" s="53" t="n">
        <x:f>SUMIFS('Decade Metric'!$G:$G,'Decade Metric'!$A:$A,L$1,'Decade Metric'!$B:$B,$A6)</x:f>
        <x:v>0</x:v>
      </x:c>
      <x:c r="M6" s="53" t="n">
        <x:f>SUMIFS('Decade Metric'!$G:$G,'Decade Metric'!$A:$A,M$1,'Decade Metric'!$B:$B,$A6)</x:f>
        <x:v>0</x:v>
      </x:c>
      <x:c r="N6" s="53" t="n">
        <x:f>SUMIFS('Decade Metric'!$G:$G,'Decade Metric'!$A:$A,N$1,'Decade Metric'!$B:$B,$A6)</x:f>
        <x:v>0</x:v>
      </x:c>
      <x:c r="O6" s="53" t="n">
        <x:f>SUMIFS('Decade Metric'!$G:$G,'Decade Metric'!$A:$A,O$1,'Decade Metric'!$B:$B,$A6)</x:f>
        <x:v>0</x:v>
      </x:c>
      <x:c r="P6" s="53" t="n">
        <x:f>SUMIFS('Decade Metric'!$G:$G,'Decade Metric'!$A:$A,P$1,'Decade Metric'!$B:$B,$A6)</x:f>
        <x:v>0</x:v>
      </x:c>
      <x:c r="Q6" s="53" t="n">
        <x:f>SUMIFS('Decade Metric'!$G:$G,'Decade Metric'!$A:$A,Q$1,'Decade Metric'!$B:$B,$A6)</x:f>
        <x:v>0</x:v>
      </x:c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n">
        <x:v>1910</x:v>
      </x:c>
      <x:c r="B7" s="53" t="n">
        <x:f>SUMIFS('Decade Metric'!$G:$G,'Decade Metric'!$A:$A,B$1,'Decade Metric'!$B:$B,$A7)</x:f>
        <x:v>0</x:v>
      </x:c>
      <x:c r="C7" s="53" t="n">
        <x:f>SUMIFS('Decade Metric'!$G:$G,'Decade Metric'!$A:$A,C$1,'Decade Metric'!$B:$B,$A7)</x:f>
        <x:v>0</x:v>
      </x:c>
      <x:c r="D7" s="53" t="n">
        <x:f>SUMIFS('Decade Metric'!$G:$G,'Decade Metric'!$A:$A,D$1,'Decade Metric'!$B:$B,$A7)</x:f>
        <x:v>0</x:v>
      </x:c>
      <x:c r="E7" s="53" t="n">
        <x:f>SUMIFS('Decade Metric'!$G:$G,'Decade Metric'!$A:$A,E$1,'Decade Metric'!$B:$B,$A7)</x:f>
        <x:v>0</x:v>
      </x:c>
      <x:c r="F7" s="53" t="n">
        <x:f>SUMIFS('Decade Metric'!$G:$G,'Decade Metric'!$A:$A,F$1,'Decade Metric'!$B:$B,$A7)</x:f>
        <x:v>0</x:v>
      </x:c>
      <x:c r="G7" s="53" t="n">
        <x:f>SUMIFS('Decade Metric'!$G:$G,'Decade Metric'!$A:$A,G$1,'Decade Metric'!$B:$B,$A7)</x:f>
        <x:v>0</x:v>
      </x:c>
      <x:c r="H7" s="53" t="n">
        <x:f>SUMIFS('Decade Metric'!$G:$G,'Decade Metric'!$A:$A,H$1,'Decade Metric'!$B:$B,$A7)</x:f>
        <x:v>0</x:v>
      </x:c>
      <x:c r="I7" s="53" t="n">
        <x:f>SUMIFS('Decade Metric'!$G:$G,'Decade Metric'!$A:$A,I$1,'Decade Metric'!$B:$B,$A7)</x:f>
        <x:v>0</x:v>
      </x:c>
      <x:c r="J7" s="53" t="n">
        <x:f>SUMIFS('Decade Metric'!$G:$G,'Decade Metric'!$A:$A,J$1,'Decade Metric'!$B:$B,$A7)</x:f>
        <x:v>0</x:v>
      </x:c>
      <x:c r="K7" s="53" t="n">
        <x:f>SUMIFS('Decade Metric'!$G:$G,'Decade Metric'!$A:$A,K$1,'Decade Metric'!$B:$B,$A7)</x:f>
        <x:v>0</x:v>
      </x:c>
      <x:c r="L7" s="53" t="n">
        <x:f>SUMIFS('Decade Metric'!$G:$G,'Decade Metric'!$A:$A,L$1,'Decade Metric'!$B:$B,$A7)</x:f>
        <x:v>0</x:v>
      </x:c>
      <x:c r="M7" s="53" t="n">
        <x:f>SUMIFS('Decade Metric'!$G:$G,'Decade Metric'!$A:$A,M$1,'Decade Metric'!$B:$B,$A7)</x:f>
        <x:v>0</x:v>
      </x:c>
      <x:c r="N7" s="53" t="n">
        <x:f>SUMIFS('Decade Metric'!$G:$G,'Decade Metric'!$A:$A,N$1,'Decade Metric'!$B:$B,$A7)</x:f>
        <x:v>0</x:v>
      </x:c>
      <x:c r="O7" s="53" t="n">
        <x:f>SUMIFS('Decade Metric'!$G:$G,'Decade Metric'!$A:$A,O$1,'Decade Metric'!$B:$B,$A7)</x:f>
        <x:v>0</x:v>
      </x:c>
      <x:c r="P7" s="53" t="n">
        <x:f>SUMIFS('Decade Metric'!$G:$G,'Decade Metric'!$A:$A,P$1,'Decade Metric'!$B:$B,$A7)</x:f>
        <x:v>0</x:v>
      </x:c>
      <x:c r="Q7" s="53" t="n">
        <x:f>SUMIFS('Decade Metric'!$G:$G,'Decade Metric'!$A:$A,Q$1,'Decade Metric'!$B:$B,$A7)</x:f>
        <x:v>0</x:v>
      </x:c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n">
        <x:v>1920</x:v>
      </x:c>
      <x:c r="B8" s="53" t="n">
        <x:f>SUMIFS('Decade Metric'!$G:$G,'Decade Metric'!$A:$A,B$1,'Decade Metric'!$B:$B,$A8)</x:f>
        <x:v>0</x:v>
      </x:c>
      <x:c r="C8" s="53" t="n">
        <x:f>SUMIFS('Decade Metric'!$G:$G,'Decade Metric'!$A:$A,C$1,'Decade Metric'!$B:$B,$A8)</x:f>
        <x:v>0</x:v>
      </x:c>
      <x:c r="D8" s="53" t="n">
        <x:f>SUMIFS('Decade Metric'!$G:$G,'Decade Metric'!$A:$A,D$1,'Decade Metric'!$B:$B,$A8)</x:f>
        <x:v>0</x:v>
      </x:c>
      <x:c r="E8" s="53" t="n">
        <x:f>SUMIFS('Decade Metric'!$G:$G,'Decade Metric'!$A:$A,E$1,'Decade Metric'!$B:$B,$A8)</x:f>
        <x:v>0</x:v>
      </x:c>
      <x:c r="F8" s="53" t="n">
        <x:f>SUMIFS('Decade Metric'!$G:$G,'Decade Metric'!$A:$A,F$1,'Decade Metric'!$B:$B,$A8)</x:f>
        <x:v>0</x:v>
      </x:c>
      <x:c r="G8" s="53" t="n">
        <x:f>SUMIFS('Decade Metric'!$G:$G,'Decade Metric'!$A:$A,G$1,'Decade Metric'!$B:$B,$A8)</x:f>
        <x:v>0</x:v>
      </x:c>
      <x:c r="H8" s="53" t="n">
        <x:f>SUMIFS('Decade Metric'!$G:$G,'Decade Metric'!$A:$A,H$1,'Decade Metric'!$B:$B,$A8)</x:f>
        <x:v>0</x:v>
      </x:c>
      <x:c r="I8" s="53" t="n">
        <x:f>SUMIFS('Decade Metric'!$G:$G,'Decade Metric'!$A:$A,I$1,'Decade Metric'!$B:$B,$A8)</x:f>
        <x:v>0</x:v>
      </x:c>
      <x:c r="J8" s="53" t="n">
        <x:f>SUMIFS('Decade Metric'!$G:$G,'Decade Metric'!$A:$A,J$1,'Decade Metric'!$B:$B,$A8)</x:f>
        <x:v>0</x:v>
      </x:c>
      <x:c r="K8" s="53" t="n">
        <x:f>SUMIFS('Decade Metric'!$G:$G,'Decade Metric'!$A:$A,K$1,'Decade Metric'!$B:$B,$A8)</x:f>
        <x:v>0</x:v>
      </x:c>
      <x:c r="L8" s="53" t="n">
        <x:f>SUMIFS('Decade Metric'!$G:$G,'Decade Metric'!$A:$A,L$1,'Decade Metric'!$B:$B,$A8)</x:f>
        <x:v>0</x:v>
      </x:c>
      <x:c r="M8" s="53" t="n">
        <x:f>SUMIFS('Decade Metric'!$G:$G,'Decade Metric'!$A:$A,M$1,'Decade Metric'!$B:$B,$A8)</x:f>
        <x:v>0</x:v>
      </x:c>
      <x:c r="N8" s="53" t="n">
        <x:f>SUMIFS('Decade Metric'!$G:$G,'Decade Metric'!$A:$A,N$1,'Decade Metric'!$B:$B,$A8)</x:f>
        <x:v>0</x:v>
      </x:c>
      <x:c r="O8" s="53" t="n">
        <x:f>SUMIFS('Decade Metric'!$G:$G,'Decade Metric'!$A:$A,O$1,'Decade Metric'!$B:$B,$A8)</x:f>
        <x:v>0</x:v>
      </x:c>
      <x:c r="P8" s="53" t="n">
        <x:f>SUMIFS('Decade Metric'!$G:$G,'Decade Metric'!$A:$A,P$1,'Decade Metric'!$B:$B,$A8)</x:f>
        <x:v>0</x:v>
      </x:c>
      <x:c r="Q8" s="53" t="n">
        <x:f>SUMIFS('Decade Metric'!$G:$G,'Decade Metric'!$A:$A,Q$1,'Decade Metric'!$B:$B,$A8)</x:f>
        <x:v>0</x:v>
      </x:c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n">
        <x:v>1930</x:v>
      </x:c>
      <x:c r="B9" s="53" t="n">
        <x:f>SUMIFS('Decade Metric'!$G:$G,'Decade Metric'!$A:$A,B$1,'Decade Metric'!$B:$B,$A9)</x:f>
        <x:v>2.72086632383751</x:v>
      </x:c>
      <x:c r="C9" s="53" t="n">
        <x:f>SUMIFS('Decade Metric'!$G:$G,'Decade Metric'!$A:$A,C$1,'Decade Metric'!$B:$B,$A9)</x:f>
        <x:v>0</x:v>
      </x:c>
      <x:c r="D9" s="53" t="n">
        <x:f>SUMIFS('Decade Metric'!$G:$G,'Decade Metric'!$A:$A,D$1,'Decade Metric'!$B:$B,$A9)</x:f>
        <x:v>0</x:v>
      </x:c>
      <x:c r="E9" s="53" t="n">
        <x:f>SUMIFS('Decade Metric'!$G:$G,'Decade Metric'!$A:$A,E$1,'Decade Metric'!$B:$B,$A9)</x:f>
        <x:v>0</x:v>
      </x:c>
      <x:c r="F9" s="53" t="n">
        <x:f>SUMIFS('Decade Metric'!$G:$G,'Decade Metric'!$A:$A,F$1,'Decade Metric'!$B:$B,$A9)</x:f>
        <x:v>0</x:v>
      </x:c>
      <x:c r="G9" s="53" t="n">
        <x:f>SUMIFS('Decade Metric'!$G:$G,'Decade Metric'!$A:$A,G$1,'Decade Metric'!$B:$B,$A9)</x:f>
        <x:v>0</x:v>
      </x:c>
      <x:c r="H9" s="53" t="n">
        <x:f>SUMIFS('Decade Metric'!$G:$G,'Decade Metric'!$A:$A,H$1,'Decade Metric'!$B:$B,$A9)</x:f>
        <x:v>0</x:v>
      </x:c>
      <x:c r="I9" s="53" t="n">
        <x:f>SUMIFS('Decade Metric'!$G:$G,'Decade Metric'!$A:$A,I$1,'Decade Metric'!$B:$B,$A9)</x:f>
        <x:v>0</x:v>
      </x:c>
      <x:c r="J9" s="53" t="n">
        <x:f>SUMIFS('Decade Metric'!$G:$G,'Decade Metric'!$A:$A,J$1,'Decade Metric'!$B:$B,$A9)</x:f>
        <x:v>0</x:v>
      </x:c>
      <x:c r="K9" s="53" t="n">
        <x:f>SUMIFS('Decade Metric'!$G:$G,'Decade Metric'!$A:$A,K$1,'Decade Metric'!$B:$B,$A9)</x:f>
        <x:v>0</x:v>
      </x:c>
      <x:c r="L9" s="53" t="n">
        <x:f>SUMIFS('Decade Metric'!$G:$G,'Decade Metric'!$A:$A,L$1,'Decade Metric'!$B:$B,$A9)</x:f>
        <x:v>0</x:v>
      </x:c>
      <x:c r="M9" s="53" t="n">
        <x:f>SUMIFS('Decade Metric'!$G:$G,'Decade Metric'!$A:$A,M$1,'Decade Metric'!$B:$B,$A9)</x:f>
        <x:v>0</x:v>
      </x:c>
      <x:c r="N9" s="53" t="n">
        <x:f>SUMIFS('Decade Metric'!$G:$G,'Decade Metric'!$A:$A,N$1,'Decade Metric'!$B:$B,$A9)</x:f>
        <x:v>0</x:v>
      </x:c>
      <x:c r="O9" s="53" t="n">
        <x:f>SUMIFS('Decade Metric'!$G:$G,'Decade Metric'!$A:$A,O$1,'Decade Metric'!$B:$B,$A9)</x:f>
        <x:v>0</x:v>
      </x:c>
      <x:c r="P9" s="53" t="n">
        <x:f>SUMIFS('Decade Metric'!$G:$G,'Decade Metric'!$A:$A,P$1,'Decade Metric'!$B:$B,$A9)</x:f>
        <x:v>0</x:v>
      </x:c>
      <x:c r="Q9" s="53" t="n">
        <x:f>SUMIFS('Decade Metric'!$G:$G,'Decade Metric'!$A:$A,Q$1,'Decade Metric'!$B:$B,$A9)</x:f>
        <x:v>0</x:v>
      </x:c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n">
        <x:v>1940</x:v>
      </x:c>
      <x:c r="B10" s="53" t="n">
        <x:f>SUMIFS('Decade Metric'!$G:$G,'Decade Metric'!$A:$A,B$1,'Decade Metric'!$B:$B,$A10)</x:f>
        <x:v>1.8789222501972869</x:v>
      </x:c>
      <x:c r="C10" s="53" t="n">
        <x:f>SUMIFS('Decade Metric'!$G:$G,'Decade Metric'!$A:$A,C$1,'Decade Metric'!$B:$B,$A10)</x:f>
        <x:v>0</x:v>
      </x:c>
      <x:c r="D10" s="53" t="n">
        <x:f>SUMIFS('Decade Metric'!$G:$G,'Decade Metric'!$A:$A,D$1,'Decade Metric'!$B:$B,$A10)</x:f>
        <x:v>0</x:v>
      </x:c>
      <x:c r="E10" s="53" t="n">
        <x:f>SUMIFS('Decade Metric'!$G:$G,'Decade Metric'!$A:$A,E$1,'Decade Metric'!$B:$B,$A10)</x:f>
        <x:v>0</x:v>
      </x:c>
      <x:c r="F10" s="53" t="n">
        <x:f>SUMIFS('Decade Metric'!$G:$G,'Decade Metric'!$A:$A,F$1,'Decade Metric'!$B:$B,$A10)</x:f>
        <x:v>0</x:v>
      </x:c>
      <x:c r="G10" s="53" t="n">
        <x:f>SUMIFS('Decade Metric'!$G:$G,'Decade Metric'!$A:$A,G$1,'Decade Metric'!$B:$B,$A10)</x:f>
        <x:v>0.24310848229805584</x:v>
      </x:c>
      <x:c r="H10" s="53" t="n">
        <x:f>SUMIFS('Decade Metric'!$G:$G,'Decade Metric'!$A:$A,H$1,'Decade Metric'!$B:$B,$A10)</x:f>
        <x:v>0</x:v>
      </x:c>
      <x:c r="I10" s="53" t="n">
        <x:f>SUMIFS('Decade Metric'!$G:$G,'Decade Metric'!$A:$A,I$1,'Decade Metric'!$B:$B,$A10)</x:f>
        <x:v>0</x:v>
      </x:c>
      <x:c r="J10" s="53" t="n">
        <x:f>SUMIFS('Decade Metric'!$G:$G,'Decade Metric'!$A:$A,J$1,'Decade Metric'!$B:$B,$A10)</x:f>
        <x:v>0</x:v>
      </x:c>
      <x:c r="K10" s="53" t="n">
        <x:f>SUMIFS('Decade Metric'!$G:$G,'Decade Metric'!$A:$A,K$1,'Decade Metric'!$B:$B,$A10)</x:f>
        <x:v>0</x:v>
      </x:c>
      <x:c r="L10" s="53" t="n">
        <x:f>SUMIFS('Decade Metric'!$G:$G,'Decade Metric'!$A:$A,L$1,'Decade Metric'!$B:$B,$A10)</x:f>
        <x:v>0</x:v>
      </x:c>
      <x:c r="M10" s="53" t="n">
        <x:f>SUMIFS('Decade Metric'!$G:$G,'Decade Metric'!$A:$A,M$1,'Decade Metric'!$B:$B,$A10)</x:f>
        <x:v>0</x:v>
      </x:c>
      <x:c r="N10" s="53" t="n">
        <x:f>SUMIFS('Decade Metric'!$G:$G,'Decade Metric'!$A:$A,N$1,'Decade Metric'!$B:$B,$A10)</x:f>
        <x:v>0</x:v>
      </x:c>
      <x:c r="O10" s="53" t="n">
        <x:f>SUMIFS('Decade Metric'!$G:$G,'Decade Metric'!$A:$A,O$1,'Decade Metric'!$B:$B,$A10)</x:f>
        <x:v>0</x:v>
      </x:c>
      <x:c r="P10" s="53" t="n">
        <x:f>SUMIFS('Decade Metric'!$G:$G,'Decade Metric'!$A:$A,P$1,'Decade Metric'!$B:$B,$A10)</x:f>
        <x:v>0</x:v>
      </x:c>
      <x:c r="Q10" s="53" t="n">
        <x:f>SUMIFS('Decade Metric'!$G:$G,'Decade Metric'!$A:$A,Q$1,'Decade Metric'!$B:$B,$A10)</x:f>
        <x:v>0</x:v>
      </x:c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1" t="n">
        <x:v>1950</x:v>
      </x:c>
      <x:c r="B11" s="53" t="n">
        <x:f>SUMIFS('Decade Metric'!$G:$G,'Decade Metric'!$A:$A,B$1,'Decade Metric'!$B:$B,$A11)</x:f>
        <x:v>1.0732377436249678</x:v>
      </x:c>
      <x:c r="C11" s="53" t="n">
        <x:f>SUMIFS('Decade Metric'!$G:$G,'Decade Metric'!$A:$A,C$1,'Decade Metric'!$B:$B,$A11)</x:f>
        <x:v>0</x:v>
      </x:c>
      <x:c r="D11" s="53" t="n">
        <x:f>SUMIFS('Decade Metric'!$G:$G,'Decade Metric'!$A:$A,D$1,'Decade Metric'!$B:$B,$A11)</x:f>
        <x:v>0</x:v>
      </x:c>
      <x:c r="E11" s="53" t="n">
        <x:f>SUMIFS('Decade Metric'!$G:$G,'Decade Metric'!$A:$A,E$1,'Decade Metric'!$B:$B,$A11)</x:f>
        <x:v>0</x:v>
      </x:c>
      <x:c r="F11" s="53" t="n">
        <x:f>SUMIFS('Decade Metric'!$G:$G,'Decade Metric'!$A:$A,F$1,'Decade Metric'!$B:$B,$A11)</x:f>
        <x:v>0</x:v>
      </x:c>
      <x:c r="G11" s="53" t="n">
        <x:f>SUMIFS('Decade Metric'!$G:$G,'Decade Metric'!$A:$A,G$1,'Decade Metric'!$B:$B,$A11)</x:f>
        <x:v>0.2850484938750205</x:v>
      </x:c>
      <x:c r="H11" s="53" t="n">
        <x:f>SUMIFS('Decade Metric'!$G:$G,'Decade Metric'!$A:$A,H$1,'Decade Metric'!$B:$B,$A11)</x:f>
        <x:v>0.48820258454448257</x:v>
      </x:c>
      <x:c r="I11" s="53" t="n">
        <x:f>SUMIFS('Decade Metric'!$G:$G,'Decade Metric'!$A:$A,I$1,'Decade Metric'!$B:$B,$A11)</x:f>
        <x:v>0</x:v>
      </x:c>
      <x:c r="J11" s="53" t="n">
        <x:f>SUMIFS('Decade Metric'!$G:$G,'Decade Metric'!$A:$A,J$1,'Decade Metric'!$B:$B,$A11)</x:f>
        <x:v>0</x:v>
      </x:c>
      <x:c r="K11" s="53" t="n">
        <x:f>SUMIFS('Decade Metric'!$G:$G,'Decade Metric'!$A:$A,K$1,'Decade Metric'!$B:$B,$A11)</x:f>
        <x:v>0</x:v>
      </x:c>
      <x:c r="L11" s="53" t="n">
        <x:f>SUMIFS('Decade Metric'!$G:$G,'Decade Metric'!$A:$A,L$1,'Decade Metric'!$B:$B,$A11)</x:f>
        <x:v>0.2138886452934873</x:v>
      </x:c>
      <x:c r="M11" s="53" t="n">
        <x:f>SUMIFS('Decade Metric'!$G:$G,'Decade Metric'!$A:$A,M$1,'Decade Metric'!$B:$B,$A11)</x:f>
        <x:v>0</x:v>
      </x:c>
      <x:c r="N11" s="53" t="n">
        <x:f>SUMIFS('Decade Metric'!$G:$G,'Decade Metric'!$A:$A,N$1,'Decade Metric'!$B:$B,$A11)</x:f>
        <x:v>0</x:v>
      </x:c>
      <x:c r="O11" s="53" t="n">
        <x:f>SUMIFS('Decade Metric'!$G:$G,'Decade Metric'!$A:$A,O$1,'Decade Metric'!$B:$B,$A11)</x:f>
        <x:v>0</x:v>
      </x:c>
      <x:c r="P11" s="53" t="n">
        <x:f>SUMIFS('Decade Metric'!$G:$G,'Decade Metric'!$A:$A,P$1,'Decade Metric'!$B:$B,$A11)</x:f>
        <x:v>0</x:v>
      </x:c>
      <x:c r="Q11" s="53" t="n">
        <x:f>SUMIFS('Decade Metric'!$G:$G,'Decade Metric'!$A:$A,Q$1,'Decade Metric'!$B:$B,$A11)</x:f>
        <x:v>0</x:v>
      </x:c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1" t="n">
        <x:v>1960</x:v>
      </x:c>
      <x:c r="B12" s="53" t="n">
        <x:f>SUMIFS('Decade Metric'!$G:$G,'Decade Metric'!$A:$A,B$1,'Decade Metric'!$B:$B,$A12)</x:f>
        <x:v>0.9090454568180681</x:v>
      </x:c>
      <x:c r="C12" s="53" t="n">
        <x:f>SUMIFS('Decade Metric'!$G:$G,'Decade Metric'!$A:$A,C$1,'Decade Metric'!$B:$B,$A12)</x:f>
        <x:v>0</x:v>
      </x:c>
      <x:c r="D12" s="53" t="n">
        <x:f>SUMIFS('Decade Metric'!$G:$G,'Decade Metric'!$A:$A,D$1,'Decade Metric'!$B:$B,$A12)</x:f>
        <x:v>0</x:v>
      </x:c>
      <x:c r="E12" s="53" t="n">
        <x:f>SUMIFS('Decade Metric'!$G:$G,'Decade Metric'!$A:$A,E$1,'Decade Metric'!$B:$B,$A12)</x:f>
        <x:v>1.177780002473338</x:v>
      </x:c>
      <x:c r="F12" s="53" t="n">
        <x:f>SUMIFS('Decade Metric'!$G:$G,'Decade Metric'!$A:$A,F$1,'Decade Metric'!$B:$B,$A12)</x:f>
        <x:v>0</x:v>
      </x:c>
      <x:c r="G12" s="53" t="n">
        <x:f>SUMIFS('Decade Metric'!$G:$G,'Decade Metric'!$A:$A,G$1,'Decade Metric'!$B:$B,$A12)</x:f>
        <x:v>0.4498552028565806</x:v>
      </x:c>
      <x:c r="H12" s="53" t="n">
        <x:f>SUMIFS('Decade Metric'!$G:$G,'Decade Metric'!$A:$A,H$1,'Decade Metric'!$B:$B,$A12)</x:f>
        <x:v>0.17265789564556788</x:v>
      </x:c>
      <x:c r="I12" s="53" t="n">
        <x:f>SUMIFS('Decade Metric'!$G:$G,'Decade Metric'!$A:$A,I$1,'Decade Metric'!$B:$B,$A12)</x:f>
        <x:v>0</x:v>
      </x:c>
      <x:c r="J12" s="53" t="n">
        <x:f>SUMIFS('Decade Metric'!$G:$G,'Decade Metric'!$A:$A,J$1,'Decade Metric'!$B:$B,$A12)</x:f>
        <x:v>0</x:v>
      </x:c>
      <x:c r="K12" s="53" t="n">
        <x:f>SUMIFS('Decade Metric'!$G:$G,'Decade Metric'!$A:$A,K$1,'Decade Metric'!$B:$B,$A12)</x:f>
        <x:v>0</x:v>
      </x:c>
      <x:c r="L12" s="53" t="n">
        <x:f>SUMIFS('Decade Metric'!$G:$G,'Decade Metric'!$A:$A,L$1,'Decade Metric'!$B:$B,$A12)</x:f>
        <x:v>0.16877665616313275</x:v>
      </x:c>
      <x:c r="M12" s="53" t="n">
        <x:f>SUMIFS('Decade Metric'!$G:$G,'Decade Metric'!$A:$A,M$1,'Decade Metric'!$B:$B,$A12)</x:f>
        <x:v>0</x:v>
      </x:c>
      <x:c r="N12" s="53" t="n">
        <x:f>SUMIFS('Decade Metric'!$G:$G,'Decade Metric'!$A:$A,N$1,'Decade Metric'!$B:$B,$A12)</x:f>
        <x:v>0</x:v>
      </x:c>
      <x:c r="O12" s="53" t="n">
        <x:f>SUMIFS('Decade Metric'!$G:$G,'Decade Metric'!$A:$A,O$1,'Decade Metric'!$B:$B,$A12)</x:f>
        <x:v>0</x:v>
      </x:c>
      <x:c r="P12" s="53" t="n">
        <x:f>SUMIFS('Decade Metric'!$G:$G,'Decade Metric'!$A:$A,P$1,'Decade Metric'!$B:$B,$A12)</x:f>
        <x:v>0</x:v>
      </x:c>
      <x:c r="Q12" s="53" t="n">
        <x:f>SUMIFS('Decade Metric'!$G:$G,'Decade Metric'!$A:$A,Q$1,'Decade Metric'!$B:$B,$A12)</x:f>
        <x:v>0</x:v>
      </x:c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1" t="n">
        <x:v>1970</x:v>
      </x:c>
      <x:c r="B13" s="53" t="n">
        <x:f>SUMIFS('Decade Metric'!$G:$G,'Decade Metric'!$A:$A,B$1,'Decade Metric'!$B:$B,$A13)</x:f>
        <x:v>0.4379156092829351</x:v>
      </x:c>
      <x:c r="C13" s="53" t="n">
        <x:f>SUMIFS('Decade Metric'!$G:$G,'Decade Metric'!$A:$A,C$1,'Decade Metric'!$B:$B,$A13)</x:f>
        <x:v>0</x:v>
      </x:c>
      <x:c r="D13" s="53" t="n">
        <x:f>SUMIFS('Decade Metric'!$G:$G,'Decade Metric'!$A:$A,D$1,'Decade Metric'!$B:$B,$A13)</x:f>
        <x:v>0</x:v>
      </x:c>
      <x:c r="E13" s="53" t="n">
        <x:f>SUMIFS('Decade Metric'!$G:$G,'Decade Metric'!$A:$A,E$1,'Decade Metric'!$B:$B,$A13)</x:f>
        <x:v>0.8837930038945812</x:v>
      </x:c>
      <x:c r="F13" s="53" t="n">
        <x:f>SUMIFS('Decade Metric'!$G:$G,'Decade Metric'!$A:$A,F$1,'Decade Metric'!$B:$B,$A13)</x:f>
        <x:v>0</x:v>
      </x:c>
      <x:c r="G13" s="53" t="n">
        <x:f>SUMIFS('Decade Metric'!$G:$G,'Decade Metric'!$A:$A,G$1,'Decade Metric'!$B:$B,$A13)</x:f>
        <x:v>0.658317734860338</x:v>
      </x:c>
      <x:c r="H13" s="53" t="n">
        <x:f>SUMIFS('Decade Metric'!$G:$G,'Decade Metric'!$A:$A,H$1,'Decade Metric'!$B:$B,$A13)</x:f>
        <x:v>0.1686188514189698</x:v>
      </x:c>
      <x:c r="I13" s="53" t="n">
        <x:f>SUMIFS('Decade Metric'!$G:$G,'Decade Metric'!$A:$A,I$1,'Decade Metric'!$B:$B,$A13)</x:f>
        <x:v>0</x:v>
      </x:c>
      <x:c r="J13" s="53" t="n">
        <x:f>SUMIFS('Decade Metric'!$G:$G,'Decade Metric'!$A:$A,J$1,'Decade Metric'!$B:$B,$A13)</x:f>
        <x:v>0</x:v>
      </x:c>
      <x:c r="K13" s="53" t="n">
        <x:f>SUMIFS('Decade Metric'!$G:$G,'Decade Metric'!$A:$A,K$1,'Decade Metric'!$B:$B,$A13)</x:f>
        <x:v>0</x:v>
      </x:c>
      <x:c r="L13" s="53" t="n">
        <x:f>SUMIFS('Decade Metric'!$G:$G,'Decade Metric'!$A:$A,L$1,'Decade Metric'!$B:$B,$A13)</x:f>
        <x:v>0.4939743363866436</x:v>
      </x:c>
      <x:c r="M13" s="53" t="n">
        <x:f>SUMIFS('Decade Metric'!$G:$G,'Decade Metric'!$A:$A,M$1,'Decade Metric'!$B:$B,$A13)</x:f>
        <x:v>0</x:v>
      </x:c>
      <x:c r="N13" s="53" t="n">
        <x:f>SUMIFS('Decade Metric'!$G:$G,'Decade Metric'!$A:$A,N$1,'Decade Metric'!$B:$B,$A13)</x:f>
        <x:v>0</x:v>
      </x:c>
      <x:c r="O13" s="53" t="n">
        <x:f>SUMIFS('Decade Metric'!$G:$G,'Decade Metric'!$A:$A,O$1,'Decade Metric'!$B:$B,$A13)</x:f>
        <x:v>0</x:v>
      </x:c>
      <x:c r="P13" s="53" t="n">
        <x:f>SUMIFS('Decade Metric'!$G:$G,'Decade Metric'!$A:$A,P$1,'Decade Metric'!$B:$B,$A13)</x:f>
        <x:v>0</x:v>
      </x:c>
      <x:c r="Q13" s="53" t="n">
        <x:f>SUMIFS('Decade Metric'!$G:$G,'Decade Metric'!$A:$A,Q$1,'Decade Metric'!$B:$B,$A13)</x:f>
        <x:v>0</x:v>
      </x:c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1" t="n">
        <x:v>1980</x:v>
      </x:c>
      <x:c r="B14" s="53" t="n">
        <x:f>SUMIFS('Decade Metric'!$G:$G,'Decade Metric'!$A:$A,B$1,'Decade Metric'!$B:$B,$A14)</x:f>
        <x:v>0.4693271256998841</x:v>
      </x:c>
      <x:c r="C14" s="53" t="n">
        <x:f>SUMIFS('Decade Metric'!$G:$G,'Decade Metric'!$A:$A,C$1,'Decade Metric'!$B:$B,$A14)</x:f>
        <x:v>0.3324888117514846</x:v>
      </x:c>
      <x:c r="D14" s="53" t="n">
        <x:f>SUMIFS('Decade Metric'!$G:$G,'Decade Metric'!$A:$A,D$1,'Decade Metric'!$B:$B,$A14)</x:f>
        <x:v>0.18352597443116125</x:v>
      </x:c>
      <x:c r="E14" s="53" t="n">
        <x:f>SUMIFS('Decade Metric'!$G:$G,'Decade Metric'!$A:$A,E$1,'Decade Metric'!$B:$B,$A14)</x:f>
        <x:v>0.6698720042067962</x:v>
      </x:c>
      <x:c r="F14" s="53" t="n">
        <x:f>SUMIFS('Decade Metric'!$G:$G,'Decade Metric'!$A:$A,F$1,'Decade Metric'!$B:$B,$A14)</x:f>
        <x:v>0</x:v>
      </x:c>
      <x:c r="G14" s="53" t="n">
        <x:f>SUMIFS('Decade Metric'!$G:$G,'Decade Metric'!$A:$A,G$1,'Decade Metric'!$B:$B,$A14)</x:f>
        <x:v>0.8589136215111236</x:v>
      </x:c>
      <x:c r="H14" s="53" t="n">
        <x:f>SUMIFS('Decade Metric'!$G:$G,'Decade Metric'!$A:$A,H$1,'Decade Metric'!$B:$B,$A14)</x:f>
        <x:v>0.19823439234550932</x:v>
      </x:c>
      <x:c r="I14" s="53" t="n">
        <x:f>SUMIFS('Decade Metric'!$G:$G,'Decade Metric'!$A:$A,I$1,'Decade Metric'!$B:$B,$A14)</x:f>
        <x:v>0.17532263748362925</x:v>
      </x:c>
      <x:c r="J14" s="53" t="n">
        <x:f>SUMIFS('Decade Metric'!$G:$G,'Decade Metric'!$A:$A,J$1,'Decade Metric'!$B:$B,$A14)</x:f>
        <x:v>0.15843416347553854</x:v>
      </x:c>
      <x:c r="K14" s="53" t="n">
        <x:f>SUMIFS('Decade Metric'!$G:$G,'Decade Metric'!$A:$A,K$1,'Decade Metric'!$B:$B,$A14)</x:f>
        <x:v>1.1553681291701567</x:v>
      </x:c>
      <x:c r="L14" s="53" t="n">
        <x:f>SUMIFS('Decade Metric'!$G:$G,'Decade Metric'!$A:$A,L$1,'Decade Metric'!$B:$B,$A14)</x:f>
        <x:v>0.552423111909874</x:v>
      </x:c>
      <x:c r="M14" s="53" t="n">
        <x:f>SUMIFS('Decade Metric'!$G:$G,'Decade Metric'!$A:$A,M$1,'Decade Metric'!$B:$B,$A14)</x:f>
        <x:v>1.8651148910772906</x:v>
      </x:c>
      <x:c r="N14" s="53" t="n">
        <x:f>SUMIFS('Decade Metric'!$G:$G,'Decade Metric'!$A:$A,N$1,'Decade Metric'!$B:$B,$A14)</x:f>
        <x:v>0.6806286286013763</x:v>
      </x:c>
      <x:c r="O14" s="53" t="n">
        <x:f>SUMIFS('Decade Metric'!$G:$G,'Decade Metric'!$A:$A,O$1,'Decade Metric'!$B:$B,$A14)</x:f>
        <x:v>0.27102180641454415</x:v>
      </x:c>
      <x:c r="P14" s="53" t="n">
        <x:f>SUMIFS('Decade Metric'!$G:$G,'Decade Metric'!$A:$A,P$1,'Decade Metric'!$B:$B,$A14)</x:f>
        <x:v>0.1443218029834203</x:v>
      </x:c>
      <x:c r="Q14" s="53" t="n">
        <x:f>SUMIFS('Decade Metric'!$G:$G,'Decade Metric'!$A:$A,Q$1,'Decade Metric'!$B:$B,$A14)</x:f>
        <x:v>0.4598102822775323</x:v>
      </x:c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1" t="n">
        <x:v>1990</x:v>
      </x:c>
      <x:c r="B15" s="53" t="n">
        <x:f>SUMIFS('Decade Metric'!$G:$G,'Decade Metric'!$A:$A,B$1,'Decade Metric'!$B:$B,$A15)</x:f>
        <x:v>0.622323038554468</x:v>
      </x:c>
      <x:c r="C15" s="53" t="n">
        <x:f>SUMIFS('Decade Metric'!$G:$G,'Decade Metric'!$A:$A,C$1,'Decade Metric'!$B:$B,$A15)</x:f>
        <x:v>0.42132937845490087</x:v>
      </x:c>
      <x:c r="D15" s="53" t="n">
        <x:f>SUMIFS('Decade Metric'!$G:$G,'Decade Metric'!$A:$A,D$1,'Decade Metric'!$B:$B,$A15)</x:f>
        <x:v>0.2452116298971828</x:v>
      </x:c>
      <x:c r="E15" s="53" t="n">
        <x:f>SUMIFS('Decade Metric'!$G:$G,'Decade Metric'!$A:$A,E$1,'Decade Metric'!$B:$B,$A15)</x:f>
        <x:v>1.2498711070420863</x:v>
      </x:c>
      <x:c r="F15" s="53" t="n">
        <x:f>SUMIFS('Decade Metric'!$G:$G,'Decade Metric'!$A:$A,F$1,'Decade Metric'!$B:$B,$A15)</x:f>
        <x:v>1.67127660463445</x:v>
      </x:c>
      <x:c r="G15" s="53" t="n">
        <x:f>SUMIFS('Decade Metric'!$G:$G,'Decade Metric'!$A:$A,G$1,'Decade Metric'!$B:$B,$A15)</x:f>
        <x:v>1.6779649640915497</x:v>
      </x:c>
      <x:c r="H15" s="53" t="n">
        <x:f>SUMIFS('Decade Metric'!$G:$G,'Decade Metric'!$A:$A,H$1,'Decade Metric'!$B:$B,$A15)</x:f>
        <x:v>0.23658037266140303</x:v>
      </x:c>
      <x:c r="I15" s="53" t="n">
        <x:f>SUMIFS('Decade Metric'!$G:$G,'Decade Metric'!$A:$A,I$1,'Decade Metric'!$B:$B,$A15)</x:f>
        <x:v>0.22305396567645577</x:v>
      </x:c>
      <x:c r="J15" s="53" t="n">
        <x:f>SUMIFS('Decade Metric'!$G:$G,'Decade Metric'!$A:$A,J$1,'Decade Metric'!$B:$B,$A15)</x:f>
        <x:v>0.13418325003908088</x:v>
      </x:c>
      <x:c r="K15" s="53" t="n">
        <x:f>SUMIFS('Decade Metric'!$G:$G,'Decade Metric'!$A:$A,K$1,'Decade Metric'!$B:$B,$A15)</x:f>
        <x:v>1.0254254233725217</x:v>
      </x:c>
      <x:c r="L15" s="53" t="n">
        <x:f>SUMIFS('Decade Metric'!$G:$G,'Decade Metric'!$A:$A,L$1,'Decade Metric'!$B:$B,$A15)</x:f>
        <x:v>0.9831198324763806</x:v>
      </x:c>
      <x:c r="M15" s="53" t="n">
        <x:f>SUMIFS('Decade Metric'!$G:$G,'Decade Metric'!$A:$A,M$1,'Decade Metric'!$B:$B,$A15)</x:f>
        <x:v>1.5709931818895906</x:v>
      </x:c>
      <x:c r="N15" s="53" t="n">
        <x:f>SUMIFS('Decade Metric'!$G:$G,'Decade Metric'!$A:$A,N$1,'Decade Metric'!$B:$B,$A15)</x:f>
        <x:v>0.9675858732462507</x:v>
      </x:c>
      <x:c r="O15" s="53" t="n">
        <x:f>SUMIFS('Decade Metric'!$G:$G,'Decade Metric'!$A:$A,O$1,'Decade Metric'!$B:$B,$A15)</x:f>
        <x:v>0.20624254948789972</x:v>
      </x:c>
      <x:c r="P15" s="53" t="n">
        <x:f>SUMIFS('Decade Metric'!$G:$G,'Decade Metric'!$A:$A,P$1,'Decade Metric'!$B:$B,$A15)</x:f>
        <x:v>0.38489072952188874</x:v>
      </x:c>
      <x:c r="Q15" s="53" t="n">
        <x:f>SUMIFS('Decade Metric'!$G:$G,'Decade Metric'!$A:$A,Q$1,'Decade Metric'!$B:$B,$A15)</x:f>
        <x:v>0.7375963946288231</x:v>
      </x:c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1" t="n">
        <x:v>2000</x:v>
      </x:c>
      <x:c r="B16" s="53" t="n">
        <x:f>SUMIFS('Decade Metric'!$G:$G,'Decade Metric'!$A:$A,B$1,'Decade Metric'!$B:$B,$A16)</x:f>
        <x:v>0.7277808506302582</x:v>
      </x:c>
      <x:c r="C16" s="53" t="n">
        <x:f>SUMIFS('Decade Metric'!$G:$G,'Decade Metric'!$A:$A,C$1,'Decade Metric'!$B:$B,$A16)</x:f>
        <x:v>0.9070130247070348</x:v>
      </x:c>
      <x:c r="D16" s="53" t="n">
        <x:f>SUMIFS('Decade Metric'!$G:$G,'Decade Metric'!$A:$A,D$1,'Decade Metric'!$B:$B,$A16)</x:f>
        <x:v>0.2774094396884137</x:v>
      </x:c>
      <x:c r="E16" s="53" t="n">
        <x:f>SUMIFS('Decade Metric'!$G:$G,'Decade Metric'!$A:$A,E$1,'Decade Metric'!$B:$B,$A16)</x:f>
        <x:v>1.405321170538847</x:v>
      </x:c>
      <x:c r="F16" s="53" t="n">
        <x:f>SUMIFS('Decade Metric'!$G:$G,'Decade Metric'!$A:$A,F$1,'Decade Metric'!$B:$B,$A16)</x:f>
        <x:v>1.322558886934441</x:v>
      </x:c>
      <x:c r="G16" s="53" t="n">
        <x:f>SUMIFS('Decade Metric'!$G:$G,'Decade Metric'!$A:$A,G$1,'Decade Metric'!$B:$B,$A16)</x:f>
        <x:v>2.1307299687170103</x:v>
      </x:c>
      <x:c r="H16" s="53" t="n">
        <x:f>SUMIFS('Decade Metric'!$G:$G,'Decade Metric'!$A:$A,H$1,'Decade Metric'!$B:$B,$A16)</x:f>
        <x:v>0.24280841930100314</x:v>
      </x:c>
      <x:c r="I16" s="53" t="n">
        <x:f>SUMIFS('Decade Metric'!$G:$G,'Decade Metric'!$A:$A,I$1,'Decade Metric'!$B:$B,$A16)</x:f>
        <x:v>0.24311912107575348</x:v>
      </x:c>
      <x:c r="J16" s="53" t="n">
        <x:f>SUMIFS('Decade Metric'!$G:$G,'Decade Metric'!$A:$A,J$1,'Decade Metric'!$B:$B,$A16)</x:f>
        <x:v>0.16917201015257624</x:v>
      </x:c>
      <x:c r="K16" s="53" t="n">
        <x:f>SUMIFS('Decade Metric'!$G:$G,'Decade Metric'!$A:$A,K$1,'Decade Metric'!$B:$B,$A16)</x:f>
        <x:v>0.9006980409817609</x:v>
      </x:c>
      <x:c r="L16" s="53" t="n">
        <x:f>SUMIFS('Decade Metric'!$G:$G,'Decade Metric'!$A:$A,L$1,'Decade Metric'!$B:$B,$A16)</x:f>
        <x:v>1.4178765880217785</x:v>
      </x:c>
      <x:c r="M16" s="53" t="n">
        <x:f>SUMIFS('Decade Metric'!$G:$G,'Decade Metric'!$A:$A,M$1,'Decade Metric'!$B:$B,$A16)</x:f>
        <x:v>2.0666921558699225</x:v>
      </x:c>
      <x:c r="N16" s="53" t="n">
        <x:f>SUMIFS('Decade Metric'!$G:$G,'Decade Metric'!$A:$A,N$1,'Decade Metric'!$B:$B,$A16)</x:f>
        <x:v>0.6605237953697282</x:v>
      </x:c>
      <x:c r="O16" s="53" t="n">
        <x:f>SUMIFS('Decade Metric'!$G:$G,'Decade Metric'!$A:$A,O$1,'Decade Metric'!$B:$B,$A16)</x:f>
        <x:v>0.1718859845887026</x:v>
      </x:c>
      <x:c r="P16" s="53" t="n">
        <x:f>SUMIFS('Decade Metric'!$G:$G,'Decade Metric'!$A:$A,P$1,'Decade Metric'!$B:$B,$A16)</x:f>
        <x:v>0.6482197724316453</x:v>
      </x:c>
      <x:c r="Q16" s="53" t="n">
        <x:f>SUMIFS('Decade Metric'!$G:$G,'Decade Metric'!$A:$A,Q$1,'Decade Metric'!$B:$B,$A16)</x:f>
        <x:v>0.8112778437316617</x:v>
      </x:c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1" t="n">
        <x:v>2010</x:v>
      </x:c>
      <x:c r="B17" s="53" t="n">
        <x:f>SUMIFS('Decade Metric'!$G:$G,'Decade Metric'!$A:$A,B$1,'Decade Metric'!$B:$B,$A17)</x:f>
        <x:v>0.6877257459761167</x:v>
      </x:c>
      <x:c r="C17" s="53" t="n">
        <x:f>SUMIFS('Decade Metric'!$G:$G,'Decade Metric'!$A:$A,C$1,'Decade Metric'!$B:$B,$A17)</x:f>
        <x:v>0.9645271044172931</x:v>
      </x:c>
      <x:c r="D17" s="53" t="n">
        <x:f>SUMIFS('Decade Metric'!$G:$G,'Decade Metric'!$A:$A,D$1,'Decade Metric'!$B:$B,$A17)</x:f>
        <x:v>0.2594444257067915</x:v>
      </x:c>
      <x:c r="E17" s="53" t="n">
        <x:f>SUMIFS('Decade Metric'!$G:$G,'Decade Metric'!$A:$A,E$1,'Decade Metric'!$B:$B,$A17)</x:f>
        <x:v>1.6118217454095316</x:v>
      </x:c>
      <x:c r="F17" s="53" t="n">
        <x:f>SUMIFS('Decade Metric'!$G:$G,'Decade Metric'!$A:$A,F$1,'Decade Metric'!$B:$B,$A17)</x:f>
        <x:v>1.0730131819669404</x:v>
      </x:c>
      <x:c r="G17" s="53" t="n">
        <x:f>SUMIFS('Decade Metric'!$G:$G,'Decade Metric'!$A:$A,G$1,'Decade Metric'!$B:$B,$A17)</x:f>
        <x:v>2.820444840560253</x:v>
      </x:c>
      <x:c r="H17" s="53" t="n">
        <x:f>SUMIFS('Decade Metric'!$G:$G,'Decade Metric'!$A:$A,H$1,'Decade Metric'!$B:$B,$A17)</x:f>
        <x:v>0.33733297800926315</x:v>
      </x:c>
      <x:c r="I17" s="53" t="n">
        <x:f>SUMIFS('Decade Metric'!$G:$G,'Decade Metric'!$A:$A,I$1,'Decade Metric'!$B:$B,$A17)</x:f>
        <x:v>0.5203915425966498</x:v>
      </x:c>
      <x:c r="J17" s="53" t="n">
        <x:f>SUMIFS('Decade Metric'!$G:$G,'Decade Metric'!$A:$A,J$1,'Decade Metric'!$B:$B,$A17)</x:f>
        <x:v>0.1652177073730054</x:v>
      </x:c>
      <x:c r="K17" s="53" t="n">
        <x:f>SUMIFS('Decade Metric'!$G:$G,'Decade Metric'!$A:$A,K$1,'Decade Metric'!$B:$B,$A17)</x:f>
        <x:v>0.8365190768175468</x:v>
      </x:c>
      <x:c r="L17" s="53" t="n">
        <x:f>SUMIFS('Decade Metric'!$G:$G,'Decade Metric'!$A:$A,L$1,'Decade Metric'!$B:$B,$A17)</x:f>
        <x:v>1.3408816028362327</x:v>
      </x:c>
      <x:c r="M17" s="53" t="n">
        <x:f>SUMIFS('Decade Metric'!$G:$G,'Decade Metric'!$A:$A,M$1,'Decade Metric'!$B:$B,$A17)</x:f>
        <x:v>1.5316046622045918</x:v>
      </x:c>
      <x:c r="N17" s="53" t="n">
        <x:f>SUMIFS('Decade Metric'!$G:$G,'Decade Metric'!$A:$A,N$1,'Decade Metric'!$B:$B,$A17)</x:f>
        <x:v>0.5551469057499341</x:v>
      </x:c>
      <x:c r="O17" s="53" t="n">
        <x:f>SUMIFS('Decade Metric'!$G:$G,'Decade Metric'!$A:$A,O$1,'Decade Metric'!$B:$B,$A17)</x:f>
        <x:v>0.4611362088762572</x:v>
      </x:c>
      <x:c r="P17" s="53" t="n">
        <x:f>SUMIFS('Decade Metric'!$G:$G,'Decade Metric'!$A:$A,P$1,'Decade Metric'!$B:$B,$A17)</x:f>
        <x:v>0.6960912157929176</x:v>
      </x:c>
      <x:c r="Q17" s="53" t="n">
        <x:f>SUMIFS('Decade Metric'!$G:$G,'Decade Metric'!$A:$A,Q$1,'Decade Metric'!$B:$B,$A17)</x:f>
        <x:v>0.7228793731190076</x:v>
      </x:c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1" t="n">
        <x:v>2020</x:v>
      </x:c>
      <x:c r="B18" s="53" t="n">
        <x:f>SUMIFS('Decade Metric'!$G:$G,'Decade Metric'!$A:$A,B$1,'Decade Metric'!$B:$B,$A18)</x:f>
        <x:v>0.6586426428958145</x:v>
      </x:c>
      <x:c r="C18" s="53" t="n">
        <x:f>SUMIFS('Decade Metric'!$G:$G,'Decade Metric'!$A:$A,C$1,'Decade Metric'!$B:$B,$A18)</x:f>
        <x:v>0.9254867481866244</x:v>
      </x:c>
      <x:c r="D18" s="53" t="n">
        <x:f>SUMIFS('Decade Metric'!$G:$G,'Decade Metric'!$A:$A,D$1,'Decade Metric'!$B:$B,$A18)</x:f>
        <x:v>0.6910006380239224</x:v>
      </x:c>
      <x:c r="E18" s="53" t="n">
        <x:f>SUMIFS('Decade Metric'!$G:$G,'Decade Metric'!$A:$A,E$1,'Decade Metric'!$B:$B,$A18)</x:f>
        <x:v>1.6274796687102389</x:v>
      </x:c>
      <x:c r="F18" s="53" t="n">
        <x:f>SUMIFS('Decade Metric'!$G:$G,'Decade Metric'!$A:$A,F$1,'Decade Metric'!$B:$B,$A18)</x:f>
        <x:v>1.3781318045257849</x:v>
      </x:c>
      <x:c r="G18" s="53" t="n">
        <x:f>SUMIFS('Decade Metric'!$G:$G,'Decade Metric'!$A:$A,G$1,'Decade Metric'!$B:$B,$A18)</x:f>
        <x:v>2.7478365367001047</x:v>
      </x:c>
      <x:c r="H18" s="53" t="n">
        <x:f>SUMIFS('Decade Metric'!$G:$G,'Decade Metric'!$A:$A,H$1,'Decade Metric'!$B:$B,$A18)</x:f>
        <x:v>0.34090395798017814</x:v>
      </x:c>
      <x:c r="I18" s="53" t="n">
        <x:f>SUMIFS('Decade Metric'!$G:$G,'Decade Metric'!$A:$A,I$1,'Decade Metric'!$B:$B,$A18)</x:f>
        <x:v>0.49419933530189397</x:v>
      </x:c>
      <x:c r="J18" s="53" t="n">
        <x:f>SUMIFS('Decade Metric'!$G:$G,'Decade Metric'!$A:$A,J$1,'Decade Metric'!$B:$B,$A18)</x:f>
        <x:v>0.21792593351297693</x:v>
      </x:c>
      <x:c r="K18" s="53" t="n">
        <x:f>SUMIFS('Decade Metric'!$G:$G,'Decade Metric'!$A:$A,K$1,'Decade Metric'!$B:$B,$A18)</x:f>
        <x:v>0.807682677629613</x:v>
      </x:c>
      <x:c r="L18" s="53" t="n">
        <x:f>SUMIFS('Decade Metric'!$G:$G,'Decade Metric'!$A:$A,L$1,'Decade Metric'!$B:$B,$A18)</x:f>
        <x:v>1.688903901368012</x:v>
      </x:c>
      <x:c r="M18" s="53" t="n">
        <x:f>SUMIFS('Decade Metric'!$G:$G,'Decade Metric'!$A:$A,M$1,'Decade Metric'!$B:$B,$A18)</x:f>
        <x:v>1.3098863673576318</x:v>
      </x:c>
      <x:c r="N18" s="53" t="n">
        <x:f>SUMIFS('Decade Metric'!$G:$G,'Decade Metric'!$A:$A,N$1,'Decade Metric'!$B:$B,$A18)</x:f>
        <x:v>0.7646955364721537</x:v>
      </x:c>
      <x:c r="O18" s="53" t="n">
        <x:f>SUMIFS('Decade Metric'!$G:$G,'Decade Metric'!$A:$A,O$1,'Decade Metric'!$B:$B,$A18)</x:f>
        <x:v>0.42861551473865883</x:v>
      </x:c>
      <x:c r="P18" s="53" t="n">
        <x:f>SUMIFS('Decade Metric'!$G:$G,'Decade Metric'!$A:$A,P$1,'Decade Metric'!$B:$B,$A18)</x:f>
        <x:v>0.6761264266267601</x:v>
      </x:c>
      <x:c r="Q18" s="53" t="n">
        <x:f>SUMIFS('Decade Metric'!$G:$G,'Decade Metric'!$A:$A,Q$1,'Decade Metric'!$B:$B,$A18)</x:f>
        <x:v>0.6784598057795729</x:v>
      </x:c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</x:row>
  </x:sheetData>
  <x:pageMargins left="0.7" right="0.7" top="0.75" bottom="0.75" header="0.3" footer="0.3"/>
  <x:tableParts count="1">
    <x:tablePart xmlns:r="http://schemas.openxmlformats.org/officeDocument/2006/relationships" r:id="R193803740b9c4b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38" t="str">
        <x:v>CDMX — Population per current alcaldía, 1860–2020 (decadal)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 t="str">
        <x:v>Cell color shows data quality. GREEN = census measurement (real INEGI data for that alcaldía). GOLD = split from observed aggregate (1950–1970 central-4 aggregate split by 1980 census shares). ORANGE = back-cast / proxy (pre-1928 estimates based on territorial mapping of historical municipios + DF-wide growth). Use GREEN cells for any regression. ORANGE cells are for narrative / visual purposes only.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2" t="str">
        <x:v>Alcaldía</x:v>
      </x:c>
      <x:c r="B4" s="42" t="n">
        <x:v>1860</x:v>
      </x:c>
      <x:c r="C4" s="42" t="n">
        <x:v>1870</x:v>
      </x:c>
      <x:c r="D4" s="42" t="n">
        <x:v>1880</x:v>
      </x:c>
      <x:c r="E4" s="42" t="n">
        <x:v>1890</x:v>
      </x:c>
      <x:c r="F4" s="42" t="n">
        <x:v>1900</x:v>
      </x:c>
      <x:c r="G4" s="42" t="n">
        <x:v>1910</x:v>
      </x:c>
      <x:c r="H4" s="42" t="n">
        <x:v>1920</x:v>
      </x:c>
      <x:c r="I4" s="42" t="n">
        <x:v>1930</x:v>
      </x:c>
      <x:c r="J4" s="42" t="n">
        <x:v>1940</x:v>
      </x:c>
      <x:c r="K4" s="42" t="n">
        <x:v>1950</x:v>
      </x:c>
      <x:c r="L4" s="42" t="n">
        <x:v>1960</x:v>
      </x:c>
      <x:c r="M4" s="42" t="n">
        <x:v>1970</x:v>
      </x:c>
      <x:c r="N4" s="42" t="n">
        <x:v>1980</x:v>
      </x:c>
      <x:c r="O4" s="42" t="n">
        <x:v>1990</x:v>
      </x:c>
      <x:c r="P4" s="42" t="n">
        <x:v>2000</x:v>
      </x:c>
      <x:c r="Q4" s="42" t="n">
        <x:v>2010</x:v>
      </x:c>
      <x:c r="R4" s="42" t="n">
        <x:v>2020</x:v>
      </x:c>
      <x:c r="S4" s="39"/>
      <x:c r="T4" s="39"/>
      <x:c r="U4" s="39"/>
      <x:c r="V4" s="39"/>
      <x:c r="W4" s="39"/>
      <x:c r="X4" s="39"/>
      <x:c r="Y4" s="39"/>
      <x:c r="Z4" s="39"/>
    </x:row>
    <x:row r="5">
      <x:c r="A5" s="39" t="str">
        <x:v>Álvaro Obregón</x:v>
      </x:c>
      <x:c r="B5" s="56" t="n">
        <x:v>5363</x:v>
      </x:c>
      <x:c r="C5" s="56" t="n">
        <x:v>5850</x:v>
      </x:c>
      <x:c r="D5" s="56" t="n">
        <x:v>7069</x:v>
      </x:c>
      <x:c r="E5" s="56" t="n">
        <x:v>9750</x:v>
      </x:c>
      <x:c r="F5" s="56" t="n">
        <x:v>13194</x:v>
      </x:c>
      <x:c r="G5" s="56" t="n">
        <x:v>20166</x:v>
      </x:c>
      <x:c r="H5" s="56" t="n">
        <x:v>26498</x:v>
      </x:c>
      <x:c r="I5" s="56" t="n">
        <x:v>36753</x:v>
      </x:c>
      <x:c r="J5" s="56" t="n">
        <x:v>53222</x:v>
      </x:c>
      <x:c r="K5" s="56" t="n">
        <x:v>93176</x:v>
      </x:c>
      <x:c r="L5" s="56" t="n">
        <x:v>220011</x:v>
      </x:c>
      <x:c r="M5" s="56" t="n">
        <x:v>456709</x:v>
      </x:c>
      <x:c r="N5" s="56" t="n">
        <x:v>639213</x:v>
      </x:c>
      <x:c r="O5" s="56" t="n">
        <x:v>642753</x:v>
      </x:c>
      <x:c r="P5" s="56" t="n">
        <x:v>687020</x:v>
      </x:c>
      <x:c r="Q5" s="56" t="n">
        <x:v>727034</x:v>
      </x:c>
      <x:c r="R5" s="56" t="n">
        <x:v>759137</x:v>
      </x:c>
      <x:c r="S5" s="39"/>
      <x:c r="T5" s="39"/>
      <x:c r="U5" s="39"/>
      <x:c r="V5" s="39"/>
      <x:c r="W5" s="39"/>
      <x:c r="X5" s="39"/>
      <x:c r="Y5" s="39"/>
      <x:c r="Z5" s="39"/>
    </x:row>
    <x:row r="6">
      <x:c r="A6" s="39" t="str">
        <x:v>Azcapotzalco</x:v>
      </x:c>
      <x:c r="B6" s="56" t="n">
        <x:v>4916</x:v>
      </x:c>
      <x:c r="C6" s="56" t="n">
        <x:v>5363</x:v>
      </x:c>
      <x:c r="D6" s="56" t="n">
        <x:v>6480</x:v>
      </x:c>
      <x:c r="E6" s="56" t="n">
        <x:v>8938</x:v>
      </x:c>
      <x:c r="F6" s="56" t="n">
        <x:v>12095</x:v>
      </x:c>
      <x:c r="G6" s="56" t="n">
        <x:v>32638</x:v>
      </x:c>
      <x:c r="H6" s="56" t="n">
        <x:v>48320</x:v>
      </x:c>
      <x:c r="I6" s="56" t="n">
        <x:v>70615</x:v>
      </x:c>
      <x:c r="J6" s="56" t="n">
        <x:v>105306</x:v>
      </x:c>
      <x:c r="K6" s="56" t="n">
        <x:v>187864</x:v>
      </x:c>
      <x:c r="L6" s="56" t="n">
        <x:v>370724</x:v>
      </x:c>
      <x:c r="M6" s="56" t="n">
        <x:v>534554</x:v>
      </x:c>
      <x:c r="N6" s="56" t="n">
        <x:v>601524</x:v>
      </x:c>
      <x:c r="O6" s="56" t="n">
        <x:v>474688</x:v>
      </x:c>
      <x:c r="P6" s="56" t="n">
        <x:v>441008</x:v>
      </x:c>
      <x:c r="Q6" s="56" t="n">
        <x:v>414711</x:v>
      </x:c>
      <x:c r="R6" s="56" t="n">
        <x:v>432205</x:v>
      </x:c>
      <x:c r="S6" s="39"/>
      <x:c r="T6" s="39"/>
      <x:c r="U6" s="39"/>
      <x:c r="V6" s="39"/>
      <x:c r="W6" s="39"/>
      <x:c r="X6" s="39"/>
      <x:c r="Y6" s="39"/>
      <x:c r="Z6" s="39"/>
    </x:row>
    <x:row r="7">
      <x:c r="A7" s="39" t="str">
        <x:v>Benito Juárez</x:v>
      </x:c>
      <x:c r="B7" s="56" t="n">
        <x:v>31283</x:v>
      </x:c>
      <x:c r="C7" s="56" t="n">
        <x:v>34126</x:v>
      </x:c>
      <x:c r="D7" s="56" t="n">
        <x:v>41236</x:v>
      </x:c>
      <x:c r="E7" s="56" t="n">
        <x:v>56877</x:v>
      </x:c>
      <x:c r="F7" s="56" t="n">
        <x:v>76967</x:v>
      </x:c>
      <x:c r="G7" s="56" t="n">
        <x:v>107351</x:v>
      </x:c>
      <x:c r="H7" s="56" t="n">
        <x:v>137115</x:v>
      </x:c>
      <x:c r="I7" s="56" t="n">
        <x:v>187569</x:v>
      </x:c>
      <x:c r="J7" s="56" t="n">
        <x:v>269404</x:v>
      </x:c>
      <x:c r="K7" s="56" t="n">
        <x:v>469100</x:v>
      </x:c>
      <x:c r="L7" s="56" t="n">
        <x:v>594485</x:v>
      </x:c>
      <x:c r="M7" s="56" t="n">
        <x:v>609354</x:v>
      </x:c>
      <x:c r="N7" s="56" t="n">
        <x:v>544882</x:v>
      </x:c>
      <x:c r="O7" s="56" t="n">
        <x:v>407811</x:v>
      </x:c>
      <x:c r="P7" s="56" t="n">
        <x:v>360478</x:v>
      </x:c>
      <x:c r="Q7" s="56" t="n">
        <x:v>385439</x:v>
      </x:c>
      <x:c r="R7" s="56" t="n">
        <x:v>434153</x:v>
      </x:c>
      <x:c r="S7" s="39"/>
      <x:c r="T7" s="39"/>
      <x:c r="U7" s="39"/>
      <x:c r="V7" s="39"/>
      <x:c r="W7" s="39"/>
      <x:c r="X7" s="39"/>
      <x:c r="Y7" s="39"/>
      <x:c r="Z7" s="39"/>
    </x:row>
    <x:row r="8">
      <x:c r="A8" s="39" t="str">
        <x:v>Coyoacán</x:v>
      </x:c>
      <x:c r="B8" s="56" t="n">
        <x:v>4022</x:v>
      </x:c>
      <x:c r="C8" s="56" t="n">
        <x:v>4388</x:v>
      </x:c>
      <x:c r="D8" s="56" t="n">
        <x:v>5302</x:v>
      </x:c>
      <x:c r="E8" s="56" t="n">
        <x:v>7313</x:v>
      </x:c>
      <x:c r="F8" s="56" t="n">
        <x:v>9896</x:v>
      </x:c>
      <x:c r="G8" s="56" t="n">
        <x:v>15141</x:v>
      </x:c>
      <x:c r="H8" s="56" t="n">
        <x:v>19902</x:v>
      </x:c>
      <x:c r="I8" s="56" t="n">
        <x:v>27609</x:v>
      </x:c>
      <x:c r="J8" s="56" t="n">
        <x:v>39984</x:v>
      </x:c>
      <x:c r="K8" s="56" t="n">
        <x:v>70005</x:v>
      </x:c>
      <x:c r="L8" s="56" t="n">
        <x:v>169811</x:v>
      </x:c>
      <x:c r="M8" s="56" t="n">
        <x:v>339446</x:v>
      </x:c>
      <x:c r="N8" s="56" t="n">
        <x:v>597129</x:v>
      </x:c>
      <x:c r="O8" s="56" t="n">
        <x:v>640066</x:v>
      </x:c>
      <x:c r="P8" s="56" t="n">
        <x:v>640423</x:v>
      </x:c>
      <x:c r="Q8" s="56" t="n">
        <x:v>620416</x:v>
      </x:c>
      <x:c r="R8" s="56" t="n">
        <x:v>614447</x:v>
      </x:c>
      <x:c r="S8" s="39"/>
      <x:c r="T8" s="39"/>
      <x:c r="U8" s="39"/>
      <x:c r="V8" s="39"/>
      <x:c r="W8" s="39"/>
      <x:c r="X8" s="39"/>
      <x:c r="Y8" s="39"/>
      <x:c r="Z8" s="39"/>
    </x:row>
    <x:row r="9">
      <x:c r="A9" s="39" t="str">
        <x:v>Cuajimalpa de Morelos</x:v>
      </x:c>
      <x:c r="B9" s="56" t="n">
        <x:v>2234</x:v>
      </x:c>
      <x:c r="C9" s="56" t="n">
        <x:v>2438</x:v>
      </x:c>
      <x:c r="D9" s="56" t="n">
        <x:v>2945</x:v>
      </x:c>
      <x:c r="E9" s="56" t="n">
        <x:v>4063</x:v>
      </x:c>
      <x:c r="F9" s="56" t="n">
        <x:v>5498</x:v>
      </x:c>
      <x:c r="G9" s="56" t="n">
        <x:v>4376</x:v>
      </x:c>
      <x:c r="H9" s="56" t="n">
        <x:v>4204</x:v>
      </x:c>
      <x:c r="I9" s="56" t="n">
        <x:v>4809</x:v>
      </x:c>
      <x:c r="J9" s="56" t="n">
        <x:v>6096</x:v>
      </x:c>
      <x:c r="K9" s="56" t="n">
        <x:v>9676</x:v>
      </x:c>
      <x:c r="L9" s="56" t="n">
        <x:v>19199</x:v>
      </x:c>
      <x:c r="M9" s="56" t="n">
        <x:v>36200</x:v>
      </x:c>
      <x:c r="N9" s="56" t="n">
        <x:v>91200</x:v>
      </x:c>
      <x:c r="O9" s="56" t="n">
        <x:v>119669</x:v>
      </x:c>
      <x:c r="P9" s="56" t="n">
        <x:v>151222</x:v>
      </x:c>
      <x:c r="Q9" s="56" t="n">
        <x:v>186391</x:v>
      </x:c>
      <x:c r="R9" s="56" t="n">
        <x:v>217686</x:v>
      </x:c>
      <x:c r="S9" s="39"/>
      <x:c r="T9" s="39"/>
      <x:c r="U9" s="39"/>
      <x:c r="V9" s="39"/>
      <x:c r="W9" s="39"/>
      <x:c r="X9" s="39"/>
      <x:c r="Y9" s="39"/>
      <x:c r="Z9" s="39"/>
    </x:row>
    <x:row r="10">
      <x:c r="A10" s="39" t="str">
        <x:v>Cuauhtémoc</x:v>
      </x:c>
      <x:c r="B10" s="56" t="n">
        <x:v>71503</x:v>
      </x:c>
      <x:c r="C10" s="56" t="n">
        <x:v>78003</x:v>
      </x:c>
      <x:c r="D10" s="56" t="n">
        <x:v>94254</x:v>
      </x:c>
      <x:c r="E10" s="56" t="n">
        <x:v>130005</x:v>
      </x:c>
      <x:c r="F10" s="56" t="n">
        <x:v>175924</x:v>
      </x:c>
      <x:c r="G10" s="56" t="n">
        <x:v>194179</x:v>
      </x:c>
      <x:c r="H10" s="56" t="n">
        <x:v>226485</x:v>
      </x:c>
      <x:c r="I10" s="56" t="n">
        <x:v>295164</x:v>
      </x:c>
      <x:c r="J10" s="56" t="n">
        <x:v>411339</x:v>
      </x:c>
      <x:c r="K10" s="56" t="n">
        <x:v>701635</x:v>
      </x:c>
      <x:c r="L10" s="56" t="n">
        <x:v>889175</x:v>
      </x:c>
      <x:c r="M10" s="56" t="n">
        <x:v>911414</x:v>
      </x:c>
      <x:c r="N10" s="56" t="n">
        <x:v>814983</x:v>
      </x:c>
      <x:c r="O10" s="56" t="n">
        <x:v>595960</x:v>
      </x:c>
      <x:c r="P10" s="56" t="n">
        <x:v>516255</x:v>
      </x:c>
      <x:c r="Q10" s="56" t="n">
        <x:v>531831</x:v>
      </x:c>
      <x:c r="R10" s="56" t="n">
        <x:v>545884</x:v>
      </x:c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 t="str">
        <x:v>Gustavo A. Madero</x:v>
      </x:c>
      <x:c r="B11" s="56" t="n">
        <x:v>4469</x:v>
      </x:c>
      <x:c r="C11" s="56" t="n">
        <x:v>4875</x:v>
      </x:c>
      <x:c r="D11" s="56" t="n">
        <x:v>5891</x:v>
      </x:c>
      <x:c r="E11" s="56" t="n">
        <x:v>8125</x:v>
      </x:c>
      <x:c r="F11" s="56" t="n">
        <x:v>10995</x:v>
      </x:c>
      <x:c r="G11" s="56" t="n">
        <x:v>34375</x:v>
      </x:c>
      <x:c r="H11" s="56" t="n">
        <x:v>51913</x:v>
      </x:c>
      <x:c r="I11" s="56" t="n">
        <x:v>76467</x:v>
      </x:c>
      <x:c r="J11" s="56" t="n">
        <x:v>114516</x:v>
      </x:c>
      <x:c r="K11" s="56" t="n">
        <x:v>204833</x:v>
      </x:c>
      <x:c r="L11" s="56" t="n">
        <x:v>579180</x:v>
      </x:c>
      <x:c r="M11" s="56" t="n">
        <x:v>1186107</x:v>
      </x:c>
      <x:c r="N11" s="56" t="n">
        <x:v>1513360</x:v>
      </x:c>
      <x:c r="O11" s="56" t="n">
        <x:v>1268068</x:v>
      </x:c>
      <x:c r="P11" s="56" t="n">
        <x:v>1235542</x:v>
      </x:c>
      <x:c r="Q11" s="56" t="n">
        <x:v>1185772</x:v>
      </x:c>
      <x:c r="R11" s="56" t="n">
        <x:v>1173351</x:v>
      </x:c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 t="str">
        <x:v>Iztacalco</x:v>
      </x:c>
      <x:c r="B12" s="56" t="n">
        <x:v>2011</x:v>
      </x:c>
      <x:c r="C12" s="56" t="n">
        <x:v>2194</x:v>
      </x:c>
      <x:c r="D12" s="56" t="n">
        <x:v>2651</x:v>
      </x:c>
      <x:c r="E12" s="56" t="n">
        <x:v>3656</x:v>
      </x:c>
      <x:c r="F12" s="56" t="n">
        <x:v>4948</x:v>
      </x:c>
      <x:c r="G12" s="56" t="n">
        <x:v>7424</x:v>
      </x:c>
      <x:c r="H12" s="56" t="n">
        <x:v>9703</x:v>
      </x:c>
      <x:c r="I12" s="56" t="n">
        <x:v>13423</x:v>
      </x:c>
      <x:c r="J12" s="56" t="n">
        <x:v>19409</x:v>
      </x:c>
      <x:c r="K12" s="56" t="n">
        <x:v>33945</x:v>
      </x:c>
      <x:c r="L12" s="56" t="n">
        <x:v>198904</x:v>
      </x:c>
      <x:c r="M12" s="56" t="n">
        <x:v>477331</x:v>
      </x:c>
      <x:c r="N12" s="56" t="n">
        <x:v>570377</x:v>
      </x:c>
      <x:c r="O12" s="56" t="n">
        <x:v>448322</x:v>
      </x:c>
      <x:c r="P12" s="56" t="n">
        <x:v>411321</x:v>
      </x:c>
      <x:c r="Q12" s="56" t="n">
        <x:v>384326</x:v>
      </x:c>
      <x:c r="R12" s="56" t="n">
        <x:v>404695</x:v>
      </x:c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 t="str">
        <x:v>Iztapalapa</x:v>
      </x:c>
      <x:c r="B13" s="56" t="n">
        <x:v>5363</x:v>
      </x:c>
      <x:c r="C13" s="56" t="n">
        <x:v>5850</x:v>
      </x:c>
      <x:c r="D13" s="56" t="n">
        <x:v>7069</x:v>
      </x:c>
      <x:c r="E13" s="56" t="n">
        <x:v>9750</x:v>
      </x:c>
      <x:c r="F13" s="56" t="n">
        <x:v>13194</x:v>
      </x:c>
      <x:c r="G13" s="56" t="n">
        <x:v>17879</x:v>
      </x:c>
      <x:c r="H13" s="56" t="n">
        <x:v>22615</x:v>
      </x:c>
      <x:c r="I13" s="56" t="n">
        <x:v>30787</x:v>
      </x:c>
      <x:c r="J13" s="56" t="n">
        <x:v>44089</x:v>
      </x:c>
      <x:c r="K13" s="56" t="n">
        <x:v>76621</x:v>
      </x:c>
      <x:c r="L13" s="56" t="n">
        <x:v>254355</x:v>
      </x:c>
      <x:c r="M13" s="56" t="n">
        <x:v>522095</x:v>
      </x:c>
      <x:c r="N13" s="56" t="n">
        <x:v>1262354</x:v>
      </x:c>
      <x:c r="O13" s="56" t="n">
        <x:v>1490499</x:v>
      </x:c>
      <x:c r="P13" s="56" t="n">
        <x:v>1773343</x:v>
      </x:c>
      <x:c r="Q13" s="56" t="n">
        <x:v>1815786</x:v>
      </x:c>
      <x:c r="R13" s="56" t="n">
        <x:v>1835486</x:v>
      </x:c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 t="str">
        <x:v>La Magdalena Contreras</x:v>
      </x:c>
      <x:c r="B14" s="56" t="n">
        <x:v>1564</x:v>
      </x:c>
      <x:c r="C14" s="56" t="n">
        <x:v>1706</x:v>
      </x:c>
      <x:c r="D14" s="56" t="n">
        <x:v>2062</x:v>
      </x:c>
      <x:c r="E14" s="56" t="n">
        <x:v>2844</x:v>
      </x:c>
      <x:c r="F14" s="56" t="n">
        <x:v>3848</x:v>
      </x:c>
      <x:c r="G14" s="56" t="n">
        <x:v>5160</x:v>
      </x:c>
      <x:c r="H14" s="56" t="n">
        <x:v>6504</x:v>
      </x:c>
      <x:c r="I14" s="56" t="n">
        <x:v>8838</x:v>
      </x:c>
      <x:c r="J14" s="56" t="n">
        <x:v>12643</x:v>
      </x:c>
      <x:c r="K14" s="56" t="n">
        <x:v>21955</x:v>
      </x:c>
      <x:c r="L14" s="56" t="n">
        <x:v>40724</x:v>
      </x:c>
      <x:c r="M14" s="56" t="n">
        <x:v>75429</x:v>
      </x:c>
      <x:c r="N14" s="56" t="n">
        <x:v>173105</x:v>
      </x:c>
      <x:c r="O14" s="56" t="n">
        <x:v>195041</x:v>
      </x:c>
      <x:c r="P14" s="56" t="n">
        <x:v>222050</x:v>
      </x:c>
      <x:c r="Q14" s="56" t="n">
        <x:v>239086</x:v>
      </x:c>
      <x:c r="R14" s="56" t="n">
        <x:v>247622</x:v>
      </x:c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 t="str">
        <x:v>Miguel Hidalgo</x:v>
      </x:c>
      <x:c r="B15" s="56" t="n">
        <x:v>33517</x:v>
      </x:c>
      <x:c r="C15" s="56" t="n">
        <x:v>36564</x:v>
      </x:c>
      <x:c r="D15" s="56" t="n">
        <x:v>44182</x:v>
      </x:c>
      <x:c r="E15" s="56" t="n">
        <x:v>60940</x:v>
      </x:c>
      <x:c r="F15" s="56" t="n">
        <x:v>82464</x:v>
      </x:c>
      <x:c r="G15" s="56" t="n">
        <x:v>110174</x:v>
      </x:c>
      <x:c r="H15" s="56" t="n">
        <x:v>138682</x:v>
      </x:c>
      <x:c r="I15" s="56" t="n">
        <x:v>188326</x:v>
      </x:c>
      <x:c r="J15" s="56" t="n">
        <x:v>269298</x:v>
      </x:c>
      <x:c r="K15" s="56" t="n">
        <x:v>467533</x:v>
      </x:c>
      <x:c r="L15" s="56" t="n">
        <x:v>592499</x:v>
      </x:c>
      <x:c r="M15" s="56" t="n">
        <x:v>607319</x:v>
      </x:c>
      <x:c r="N15" s="56" t="n">
        <x:v>543062</x:v>
      </x:c>
      <x:c r="O15" s="56" t="n">
        <x:v>406868</x:v>
      </x:c>
      <x:c r="P15" s="56" t="n">
        <x:v>352640</x:v>
      </x:c>
      <x:c r="Q15" s="56" t="n">
        <x:v>372889</x:v>
      </x:c>
      <x:c r="R15" s="56" t="n">
        <x:v>414470</x:v>
      </x:c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 t="str">
        <x:v>Milpa Alta</x:v>
      </x:c>
      <x:c r="B16" s="56" t="n">
        <x:v>4022</x:v>
      </x:c>
      <x:c r="C16" s="56" t="n">
        <x:v>4388</x:v>
      </x:c>
      <x:c r="D16" s="56" t="n">
        <x:v>5302</x:v>
      </x:c>
      <x:c r="E16" s="56" t="n">
        <x:v>7313</x:v>
      </x:c>
      <x:c r="F16" s="56" t="n">
        <x:v>9896</x:v>
      </x:c>
      <x:c r="G16" s="56" t="n">
        <x:v>7986</x:v>
      </x:c>
      <x:c r="H16" s="56" t="n">
        <x:v>7755</x:v>
      </x:c>
      <x:c r="I16" s="56" t="n">
        <x:v>8942</x:v>
      </x:c>
      <x:c r="J16" s="56" t="n">
        <x:v>11412</x:v>
      </x:c>
      <x:c r="K16" s="56" t="n">
        <x:v>18212</x:v>
      </x:c>
      <x:c r="L16" s="56" t="n">
        <x:v>24379</x:v>
      </x:c>
      <x:c r="M16" s="56" t="n">
        <x:v>33694</x:v>
      </x:c>
      <x:c r="N16" s="56" t="n">
        <x:v>53616</x:v>
      </x:c>
      <x:c r="O16" s="56" t="n">
        <x:v>63654</x:v>
      </x:c>
      <x:c r="P16" s="56" t="n">
        <x:v>96773</x:v>
      </x:c>
      <x:c r="Q16" s="56" t="n">
        <x:v>130582</x:v>
      </x:c>
      <x:c r="R16" s="56" t="n">
        <x:v>152685</x:v>
      </x:c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 t="str">
        <x:v>Tláhuac</x:v>
      </x:c>
      <x:c r="B17" s="56" t="n">
        <x:v>1564</x:v>
      </x:c>
      <x:c r="C17" s="56" t="n">
        <x:v>1706</x:v>
      </x:c>
      <x:c r="D17" s="56" t="n">
        <x:v>2062</x:v>
      </x:c>
      <x:c r="E17" s="56" t="n">
        <x:v>2844</x:v>
      </x:c>
      <x:c r="F17" s="56" t="n">
        <x:v>3848</x:v>
      </x:c>
      <x:c r="G17" s="56" t="n">
        <x:v>4823</x:v>
      </x:c>
      <x:c r="H17" s="56" t="n">
        <x:v>5931</x:v>
      </x:c>
      <x:c r="I17" s="56" t="n">
        <x:v>7957</x:v>
      </x:c>
      <x:c r="J17" s="56" t="n">
        <x:v>11294</x:v>
      </x:c>
      <x:c r="K17" s="56" t="n">
        <x:v>19511</x:v>
      </x:c>
      <x:c r="L17" s="56" t="n">
        <x:v>29880</x:v>
      </x:c>
      <x:c r="M17" s="56" t="n">
        <x:v>62419</x:v>
      </x:c>
      <x:c r="N17" s="56" t="n">
        <x:v>146923</x:v>
      </x:c>
      <x:c r="O17" s="56" t="n">
        <x:v>206700</x:v>
      </x:c>
      <x:c r="P17" s="56" t="n">
        <x:v>302790</x:v>
      </x:c>
      <x:c r="Q17" s="56" t="n">
        <x:v>360265</x:v>
      </x:c>
      <x:c r="R17" s="56" t="n">
        <x:v>392313</x:v>
      </x:c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 t="str">
        <x:v>Tlalpan</x:v>
      </x:c>
      <x:c r="B18" s="56" t="n">
        <x:v>2681</x:v>
      </x:c>
      <x:c r="C18" s="56" t="n">
        <x:v>2925</x:v>
      </x:c>
      <x:c r="D18" s="56" t="n">
        <x:v>3535</x:v>
      </x:c>
      <x:c r="E18" s="56" t="n">
        <x:v>4875</x:v>
      </x:c>
      <x:c r="F18" s="56" t="n">
        <x:v>6597</x:v>
      </x:c>
      <x:c r="G18" s="56" t="n">
        <x:v>8174</x:v>
      </x:c>
      <x:c r="H18" s="56" t="n">
        <x:v>10007</x:v>
      </x:c>
      <x:c r="I18" s="56" t="n">
        <x:v>13395</x:v>
      </x:c>
      <x:c r="J18" s="56" t="n">
        <x:v>18987</x:v>
      </x:c>
      <x:c r="K18" s="56" t="n">
        <x:v>32767</x:v>
      </x:c>
      <x:c r="L18" s="56" t="n">
        <x:v>61195</x:v>
      </x:c>
      <x:c r="M18" s="56" t="n">
        <x:v>130719</x:v>
      </x:c>
      <x:c r="N18" s="56" t="n">
        <x:v>368974</x:v>
      </x:c>
      <x:c r="O18" s="56" t="n">
        <x:v>484866</x:v>
      </x:c>
      <x:c r="P18" s="56" t="n">
        <x:v>581781</x:v>
      </x:c>
      <x:c r="Q18" s="56" t="n">
        <x:v>650567</x:v>
      </x:c>
      <x:c r="R18" s="56" t="n">
        <x:v>699928</x:v>
      </x:c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 t="str">
        <x:v>Venustiano Carranza</x:v>
      </x:c>
      <x:c r="B19" s="56" t="n">
        <x:v>37986</x:v>
      </x:c>
      <x:c r="C19" s="56" t="n">
        <x:v>41439</x:v>
      </x:c>
      <x:c r="D19" s="56" t="n">
        <x:v>50072</x:v>
      </x:c>
      <x:c r="E19" s="56" t="n">
        <x:v>69065</x:v>
      </x:c>
      <x:c r="F19" s="56" t="n">
        <x:v>93460</x:v>
      </x:c>
      <x:c r="G19" s="56" t="n">
        <x:v>134072</x:v>
      </x:c>
      <x:c r="H19" s="56" t="n">
        <x:v>172808</x:v>
      </x:c>
      <x:c r="I19" s="56" t="n">
        <x:v>237460</x:v>
      </x:c>
      <x:c r="J19" s="56" t="n">
        <x:v>341977</x:v>
      </x:c>
      <x:c r="K19" s="56" t="n">
        <x:v>596528</x:v>
      </x:c>
      <x:c r="L19" s="56" t="n">
        <x:v>755974</x:v>
      </x:c>
      <x:c r="M19" s="56" t="n">
        <x:v>774882</x:v>
      </x:c>
      <x:c r="N19" s="56" t="n">
        <x:v>692896</x:v>
      </x:c>
      <x:c r="O19" s="56" t="n">
        <x:v>519628</x:v>
      </x:c>
      <x:c r="P19" s="56" t="n">
        <x:v>462806</x:v>
      </x:c>
      <x:c r="Q19" s="56" t="n">
        <x:v>430978</x:v>
      </x:c>
      <x:c r="R19" s="56" t="n">
        <x:v>443704</x:v>
      </x:c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 t="str">
        <x:v>Xochimilco</x:v>
      </x:c>
      <x:c r="B20" s="56" t="n">
        <x:v>7597</x:v>
      </x:c>
      <x:c r="C20" s="56" t="n">
        <x:v>8288</x:v>
      </x:c>
      <x:c r="D20" s="56" t="n">
        <x:v>10014</x:v>
      </x:c>
      <x:c r="E20" s="56" t="n">
        <x:v>13813</x:v>
      </x:c>
      <x:c r="F20" s="56" t="n">
        <x:v>18692</x:v>
      </x:c>
      <x:c r="G20" s="56" t="n">
        <x:v>16837</x:v>
      </x:c>
      <x:c r="H20" s="56" t="n">
        <x:v>17622</x:v>
      </x:c>
      <x:c r="I20" s="56" t="n">
        <x:v>21462</x:v>
      </x:c>
      <x:c r="J20" s="56" t="n">
        <x:v>28552</x:v>
      </x:c>
      <x:c r="K20" s="56" t="n">
        <x:v>47082</x:v>
      </x:c>
      <x:c r="L20" s="56" t="n">
        <x:v>70381</x:v>
      </x:c>
      <x:c r="M20" s="56" t="n">
        <x:v>116493</x:v>
      </x:c>
      <x:c r="N20" s="56" t="n">
        <x:v>217481</x:v>
      </x:c>
      <x:c r="O20" s="56" t="n">
        <x:v>271151</x:v>
      </x:c>
      <x:c r="P20" s="56" t="n">
        <x:v>369787</x:v>
      </x:c>
      <x:c r="Q20" s="56" t="n">
        <x:v>415007</x:v>
      </x:c>
      <x:c r="R20" s="56" t="n">
        <x:v>442178</x:v>
      </x:c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 t="str">
        <x:v>CDMX TOTAL (sum of column)</x:v>
      </x:c>
      <x:c r="B21" s="56" t="n">
        <x:v>220095</x:v>
      </x:c>
      <x:c r="C21" s="56" t="n">
        <x:v>240103</x:v>
      </x:c>
      <x:c r="D21" s="56" t="n">
        <x:v>290126</x:v>
      </x:c>
      <x:c r="E21" s="56" t="n">
        <x:v>400171</x:v>
      </x:c>
      <x:c r="F21" s="56" t="n">
        <x:v>541516</x:v>
      </x:c>
      <x:c r="G21" s="56" t="n">
        <x:v>720755</x:v>
      </x:c>
      <x:c r="H21" s="56" t="n">
        <x:v>906064</x:v>
      </x:c>
      <x:c r="I21" s="56" t="n">
        <x:v>1229576</x:v>
      </x:c>
      <x:c r="J21" s="56" t="n">
        <x:v>1757528</x:v>
      </x:c>
      <x:c r="K21" s="56" t="n">
        <x:v>3050443</x:v>
      </x:c>
      <x:c r="L21" s="56" t="n">
        <x:v>4870876</x:v>
      </x:c>
      <x:c r="M21" s="56" t="n">
        <x:v>6874165</x:v>
      </x:c>
      <x:c r="N21" s="56" t="n">
        <x:v>8831079</x:v>
      </x:c>
      <x:c r="O21" s="56" t="n">
        <x:v>8235744</x:v>
      </x:c>
      <x:c r="P21" s="56" t="n">
        <x:v>8605239</x:v>
      </x:c>
      <x:c r="Q21" s="56" t="n">
        <x:v>8851080</x:v>
      </x:c>
      <x:c r="R21" s="56" t="n">
        <x:v>9209944</x:v>
      </x:c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 t="str">
        <x:v>Published DF/CDMX total (reference)</x:v>
      </x:c>
      <x:c r="B22" s="56" t="n">
        <x:v>220000</x:v>
      </x:c>
      <x:c r="C22" s="56" t="n">
        <x:v>240000</x:v>
      </x:c>
      <x:c r="D22" s="56" t="n">
        <x:v>290000</x:v>
      </x:c>
      <x:c r="E22" s="56" t="n">
        <x:v>400000</x:v>
      </x:c>
      <x:c r="F22" s="56" t="n">
        <x:v>541516</x:v>
      </x:c>
      <x:c r="G22" s="56" t="n">
        <x:v>720753</x:v>
      </x:c>
      <x:c r="H22" s="56" t="n">
        <x:v>906063</x:v>
      </x:c>
      <x:c r="I22" s="56" t="n">
        <x:v>1229576</x:v>
      </x:c>
      <x:c r="J22" s="56" t="n">
        <x:v>1757530</x:v>
      </x:c>
      <x:c r="K22" s="56" t="n">
        <x:v>3050442</x:v>
      </x:c>
      <x:c r="L22" s="56" t="n">
        <x:v>4870876</x:v>
      </x:c>
      <x:c r="M22" s="56" t="n">
        <x:v>6874165</x:v>
      </x:c>
      <x:c r="N22" s="56" t="n">
        <x:v>8831079</x:v>
      </x:c>
      <x:c r="O22" s="56" t="n">
        <x:v>8235744</x:v>
      </x:c>
      <x:c r="P22" s="56" t="n">
        <x:v>8605239</x:v>
      </x:c>
      <x:c r="Q22" s="56" t="n">
        <x:v>8851080</x:v>
      </x:c>
      <x:c r="R22" s="56" t="n">
        <x:v>9209944</x:v>
      </x:c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</x:row>
  </x:sheetData>
  <x:mergeCells>
    <x:mergeCell ref="A1:R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72" hidden="0" customWidth="1"/>
    <x:col min="4" max="4" width="64" hidden="0" customWidth="1"/>
  </x:cols>
  <x:sheetData>
    <x:row r="1">
      <x:c r="A1" s="42" t="str">
        <x:v>Category</x:v>
      </x:c>
      <x:c r="B1" s="42" t="str">
        <x:v>Source</x:v>
      </x:c>
      <x:c r="C1" s="42" t="str">
        <x:v>URL</x:v>
      </x:c>
      <x:c r="D1" s="42" t="str">
        <x:v>Use in workbook</x:v>
      </x:c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str">
        <x:v>Population</x:v>
      </x:c>
      <x:c r="B2" s="41" t="str">
        <x:v>Uploaded workbook: PopulationPerAlcaldia.xlsx</x:v>
      </x:c>
      <x:c r="C2" s="41" t="str">
        <x:v>/mnt/data/PopulationPerAlcaldia.xlsx</x:v>
      </x:c>
      <x:c r="D2" s="41" t="str">
        <x:v>Population denominator per current alcaldía by decade</x:v>
      </x:c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Current cultural equipment context</x:v>
      </x:c>
      <x:c r="B3" s="41" t="str">
        <x:v>CDMX Open Data: Distancias promedio a equipamientos culturales por alcaldía 2020</x:v>
      </x:c>
      <x:c r="C3" s="41" t="str">
        <x:v>https://datos.cdmx.gob.mx/dataset/evaluacion-de-distancias-a-equipamiento-cultural-en-la-ciudad-de-mexico-2020</x:v>
      </x:c>
      <x:c r="D3" s="41" t="str">
        <x:v>Confirms official cultural equipment/access dataset exists for 2020, but not historical opening dates</x:v>
      </x:c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Museums/libraries directory</x:v>
      </x:c>
      <x:c r="B4" s="41" t="str">
        <x:v>Sistema de Información Cultural (SIC), Secretaría de Cultura</x:v>
      </x:c>
      <x:c r="C4" s="41" t="str">
        <x:v>https://sic.gob.mx/</x:v>
      </x:c>
      <x:c r="D4" s="41" t="str">
        <x:v>Institution records for many museums, libraries, and cultural centers</x:v>
      </x:c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Library</x:v>
      </x:c>
      <x:c r="B5" s="41" t="str">
        <x:v>Biblioteca de México official page</x:v>
      </x:c>
      <x:c r="C5" s="41" t="str">
        <x:v>https://www.bibliotecademexico.gob.mx/</x:v>
      </x:c>
      <x:c r="D5" s="41" t="str">
        <x:v>Opening benchmark 1946</x:v>
      </x:c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Library</x:v>
      </x:c>
      <x:c r="B6" s="41" t="str">
        <x:v>Biblioteca Central UNAM history</x:v>
      </x:c>
      <x:c r="C6" s="41" t="str">
        <x:v>https://www.bibliotecacentral.unam.mx/index.php/quienes-somos/historia-de-la-biblioteca-central-unam</x:v>
      </x:c>
      <x:c r="D6" s="41" t="str">
        <x:v>Opening benchmark 1956</x:v>
      </x:c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Library</x:v>
      </x:c>
      <x:c r="B7" s="41" t="str">
        <x:v>Biblioteca Nacional de México antecedents</x:v>
      </x:c>
      <x:c r="C7" s="41" t="str">
        <x:v>https://bnm.iib.unam.mx/index.php/quienes-somos/antecedentes</x:v>
      </x:c>
      <x:c r="D7" s="41" t="str">
        <x:v>Current CU building benchmark 1979</x:v>
      </x:c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Museum</x:v>
      </x:c>
      <x:c r="B8" s="41" t="str">
        <x:v>INAH article: Museo Nacional de Historia 80 years</x:v>
      </x:c>
      <x:c r="C8" s="41" t="str">
        <x:v>https://www.inah.gob.mx/boletines/el-museo-nacional-de-historia-castillo-de-chapultepec-celebra-80-anos-de-su-apertura</x:v>
      </x:c>
      <x:c r="D8" s="41" t="str">
        <x:v>Opening benchmark 1944</x:v>
      </x:c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Museum</x:v>
      </x:c>
      <x:c r="B9" s="41" t="str">
        <x:v>Museo Tamayo official about page</x:v>
      </x:c>
      <x:c r="C9" s="41" t="str">
        <x:v>https://www.museotamayo.org/acerca</x:v>
      </x:c>
      <x:c r="D9" s="41" t="str">
        <x:v>Opening benchmark 1981</x:v>
      </x:c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str">
        <x:v>Museum</x:v>
      </x:c>
      <x:c r="B10" s="41" t="str">
        <x:v>MUAC official page</x:v>
      </x:c>
      <x:c r="C10" s="41" t="str">
        <x:v>https://muac.unam.mx/</x:v>
      </x:c>
      <x:c r="D10" s="41" t="str">
        <x:v>Opening benchmark 2008</x:v>
      </x:c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1" t="str">
        <x:v>Museum</x:v>
      </x:c>
      <x:c r="B11" s="41" t="str">
        <x:v>Museo Nacional de Arquitectura INBA page</x:v>
      </x:c>
      <x:c r="C11" s="41" t="str">
        <x:v>https://inba.gob.mx/recinto/74/museo-nacional-de-arquitectura</x:v>
      </x:c>
      <x:c r="D11" s="41" t="str">
        <x:v>Example INBA source with explicit inauguration</x:v>
      </x:c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</x:row>
    <x:row r="506">
      <x:c r="A506" s="39"/>
      <x:c r="B506" s="39"/>
      <x:c r="C506" s="39"/>
      <x:c r="D506" s="39"/>
      <x:c r="E506" s="39"/>
      <x:c r="F506" s="39"/>
      <x:c r="G506" s="39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</x:row>
    <x:row r="507">
      <x:c r="A507" s="39"/>
      <x:c r="B507" s="39"/>
      <x:c r="C507" s="39"/>
      <x:c r="D507" s="39"/>
      <x:c r="E507" s="39"/>
      <x:c r="F507" s="39"/>
      <x:c r="G507" s="39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</x:row>
    <x:row r="508">
      <x:c r="A508" s="39"/>
      <x:c r="B508" s="39"/>
      <x:c r="C508" s="39"/>
      <x:c r="D508" s="39"/>
      <x:c r="E508" s="39"/>
      <x:c r="F508" s="39"/>
      <x:c r="G508" s="39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</x:row>
    <x:row r="509">
      <x:c r="A509" s="39"/>
      <x:c r="B509" s="39"/>
      <x:c r="C509" s="39"/>
      <x:c r="D509" s="39"/>
      <x:c r="E509" s="39"/>
      <x:c r="F509" s="39"/>
      <x:c r="G509" s="39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</x:row>
    <x:row r="510">
      <x:c r="A510" s="39"/>
      <x:c r="B510" s="39"/>
      <x:c r="C510" s="39"/>
      <x:c r="D510" s="39"/>
      <x:c r="E510" s="39"/>
      <x:c r="F510" s="39"/>
      <x:c r="G510" s="39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</x:row>
    <x:row r="511">
      <x:c r="A511" s="39"/>
      <x:c r="B511" s="39"/>
      <x:c r="C511" s="39"/>
      <x:c r="D511" s="39"/>
      <x:c r="E511" s="39"/>
      <x:c r="F511" s="39"/>
      <x:c r="G511" s="39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</x:row>
    <x:row r="512">
      <x:c r="A512" s="39"/>
      <x:c r="B512" s="39"/>
      <x:c r="C512" s="39"/>
      <x:c r="D512" s="39"/>
      <x:c r="E512" s="39"/>
      <x:c r="F512" s="39"/>
      <x:c r="G512" s="39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</x:row>
    <x:row r="513">
      <x:c r="A513" s="39"/>
      <x:c r="B513" s="39"/>
      <x:c r="C513" s="39"/>
      <x:c r="D513" s="39"/>
      <x:c r="E513" s="39"/>
      <x:c r="F513" s="39"/>
      <x:c r="G513" s="39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</x:row>
    <x:row r="514">
      <x:c r="A514" s="39"/>
      <x:c r="B514" s="39"/>
      <x:c r="C514" s="39"/>
      <x:c r="D514" s="39"/>
      <x:c r="E514" s="39"/>
      <x:c r="F514" s="39"/>
      <x:c r="G514" s="39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</x:row>
    <x:row r="515">
      <x:c r="A515" s="39"/>
      <x:c r="B515" s="39"/>
      <x:c r="C515" s="39"/>
      <x:c r="D515" s="39"/>
      <x:c r="E515" s="39"/>
      <x:c r="F515" s="39"/>
      <x:c r="G515" s="39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</x:row>
    <x:row r="516">
      <x:c r="A516" s="39"/>
      <x:c r="B516" s="39"/>
      <x:c r="C516" s="39"/>
      <x:c r="D516" s="39"/>
      <x:c r="E516" s="39"/>
      <x:c r="F516" s="39"/>
      <x:c r="G516" s="39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</x:row>
    <x:row r="517">
      <x:c r="A517" s="39"/>
      <x:c r="B517" s="39"/>
      <x:c r="C517" s="39"/>
      <x:c r="D517" s="39"/>
      <x:c r="E517" s="39"/>
      <x:c r="F517" s="39"/>
      <x:c r="G517" s="39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</x:row>
    <x:row r="518">
      <x:c r="A518" s="39"/>
      <x:c r="B518" s="39"/>
      <x:c r="C518" s="39"/>
      <x:c r="D518" s="39"/>
      <x:c r="E518" s="39"/>
      <x:c r="F518" s="39"/>
      <x:c r="G518" s="39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</x:row>
    <x:row r="519">
      <x:c r="A519" s="39"/>
      <x:c r="B519" s="39"/>
      <x:c r="C519" s="39"/>
      <x:c r="D519" s="39"/>
      <x:c r="E519" s="39"/>
      <x:c r="F519" s="39"/>
      <x:c r="G519" s="39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</x:row>
    <x:row r="520">
      <x:c r="A520" s="39"/>
      <x:c r="B520" s="39"/>
      <x:c r="C520" s="39"/>
      <x:c r="D520" s="39"/>
      <x:c r="E520" s="39"/>
      <x:c r="F520" s="39"/>
      <x:c r="G520" s="39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</x:row>
    <x:row r="521">
      <x:c r="A521" s="39"/>
      <x:c r="B521" s="39"/>
      <x:c r="C521" s="39"/>
      <x:c r="D521" s="39"/>
      <x:c r="E521" s="39"/>
      <x:c r="F521" s="39"/>
      <x:c r="G521" s="39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</x:row>
    <x:row r="522">
      <x:c r="A522" s="39"/>
      <x:c r="B522" s="39"/>
      <x:c r="C522" s="39"/>
      <x:c r="D522" s="39"/>
      <x:c r="E522" s="39"/>
      <x:c r="F522" s="39"/>
      <x:c r="G522" s="39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</x:row>
    <x:row r="523">
      <x:c r="A523" s="39"/>
      <x:c r="B523" s="39"/>
      <x:c r="C523" s="39"/>
      <x:c r="D523" s="39"/>
      <x:c r="E523" s="39"/>
      <x:c r="F523" s="39"/>
      <x:c r="G523" s="39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</x:row>
    <x:row r="524">
      <x:c r="A524" s="39"/>
      <x:c r="B524" s="39"/>
      <x:c r="C524" s="39"/>
      <x:c r="D524" s="39"/>
      <x:c r="E524" s="39"/>
      <x:c r="F524" s="39"/>
      <x:c r="G524" s="39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</x:row>
    <x:row r="525">
      <x:c r="A525" s="39"/>
      <x:c r="B525" s="39"/>
      <x:c r="C525" s="39"/>
      <x:c r="D525" s="39"/>
      <x:c r="E525" s="39"/>
      <x:c r="F525" s="39"/>
      <x:c r="G525" s="39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</x:row>
    <x:row r="526">
      <x:c r="A526" s="39"/>
      <x:c r="B526" s="39"/>
      <x:c r="C526" s="39"/>
      <x:c r="D526" s="39"/>
      <x:c r="E526" s="39"/>
      <x:c r="F526" s="39"/>
      <x:c r="G526" s="39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</x:row>
    <x:row r="527">
      <x:c r="A527" s="39"/>
      <x:c r="B527" s="39"/>
      <x:c r="C527" s="39"/>
      <x:c r="D527" s="39"/>
      <x:c r="E527" s="39"/>
      <x:c r="F527" s="39"/>
      <x:c r="G527" s="39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</x:row>
    <x:row r="528">
      <x:c r="A528" s="39"/>
      <x:c r="B528" s="39"/>
      <x:c r="C528" s="39"/>
      <x:c r="D528" s="39"/>
      <x:c r="E528" s="39"/>
      <x:c r="F528" s="39"/>
      <x:c r="G528" s="39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</x:row>
    <x:row r="529">
      <x:c r="A529" s="39"/>
      <x:c r="B529" s="39"/>
      <x:c r="C529" s="39"/>
      <x:c r="D529" s="39"/>
      <x:c r="E529" s="39"/>
      <x:c r="F529" s="39"/>
      <x:c r="G529" s="39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</x:row>
    <x:row r="530">
      <x:c r="A530" s="39"/>
      <x:c r="B530" s="39"/>
      <x:c r="C530" s="39"/>
      <x:c r="D530" s="39"/>
      <x:c r="E530" s="39"/>
      <x:c r="F530" s="39"/>
      <x:c r="G530" s="39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</x:row>
    <x:row r="531">
      <x:c r="A531" s="39"/>
      <x:c r="B531" s="39"/>
      <x:c r="C531" s="39"/>
      <x:c r="D531" s="39"/>
      <x:c r="E531" s="39"/>
      <x:c r="F531" s="39"/>
      <x:c r="G531" s="39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</x:row>
    <x:row r="532">
      <x:c r="A532" s="39"/>
      <x:c r="B532" s="39"/>
      <x:c r="C532" s="39"/>
      <x:c r="D532" s="39"/>
      <x:c r="E532" s="39"/>
      <x:c r="F532" s="39"/>
      <x:c r="G532" s="39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</x:row>
    <x:row r="533">
      <x:c r="A533" s="39"/>
      <x:c r="B533" s="39"/>
      <x:c r="C533" s="39"/>
      <x:c r="D533" s="39"/>
      <x:c r="E533" s="39"/>
      <x:c r="F533" s="39"/>
      <x:c r="G533" s="39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</x:row>
    <x:row r="534">
      <x:c r="A534" s="39"/>
      <x:c r="B534" s="39"/>
      <x:c r="C534" s="39"/>
      <x:c r="D534" s="39"/>
      <x:c r="E534" s="39"/>
      <x:c r="F534" s="39"/>
      <x:c r="G534" s="39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</x:row>
    <x:row r="535">
      <x:c r="A535" s="39"/>
      <x:c r="B535" s="39"/>
      <x:c r="C535" s="39"/>
      <x:c r="D535" s="39"/>
      <x:c r="E535" s="39"/>
      <x:c r="F535" s="39"/>
      <x:c r="G535" s="39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</x:row>
    <x:row r="536">
      <x:c r="A536" s="39"/>
      <x:c r="B536" s="39"/>
      <x:c r="C536" s="39"/>
      <x:c r="D536" s="39"/>
      <x:c r="E536" s="39"/>
      <x:c r="F536" s="39"/>
      <x:c r="G536" s="39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</x:row>
    <x:row r="537">
      <x:c r="A537" s="39"/>
      <x:c r="B537" s="39"/>
      <x:c r="C537" s="39"/>
      <x:c r="D537" s="39"/>
      <x:c r="E537" s="39"/>
      <x:c r="F537" s="39"/>
      <x:c r="G537" s="39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</x:row>
    <x:row r="538">
      <x:c r="A538" s="39"/>
      <x:c r="B538" s="39"/>
      <x:c r="C538" s="39"/>
      <x:c r="D538" s="39"/>
      <x:c r="E538" s="39"/>
      <x:c r="F538" s="39"/>
      <x:c r="G538" s="39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</x:row>
    <x:row r="539">
      <x:c r="A539" s="39"/>
      <x:c r="B539" s="39"/>
      <x:c r="C539" s="39"/>
      <x:c r="D539" s="39"/>
      <x:c r="E539" s="39"/>
      <x:c r="F539" s="39"/>
      <x:c r="G539" s="39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</x:row>
    <x:row r="540">
      <x:c r="A540" s="39"/>
      <x:c r="B540" s="39"/>
      <x:c r="C540" s="39"/>
      <x:c r="D540" s="39"/>
      <x:c r="E540" s="39"/>
      <x:c r="F540" s="39"/>
      <x:c r="G540" s="39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</x:row>
    <x:row r="541">
      <x:c r="A541" s="39"/>
      <x:c r="B541" s="39"/>
      <x:c r="C541" s="39"/>
      <x:c r="D541" s="39"/>
      <x:c r="E541" s="39"/>
      <x:c r="F541" s="39"/>
      <x:c r="G541" s="39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</x:row>
    <x:row r="542">
      <x:c r="A542" s="39"/>
      <x:c r="B542" s="39"/>
      <x:c r="C542" s="39"/>
      <x:c r="D542" s="39"/>
      <x:c r="E542" s="39"/>
      <x:c r="F542" s="39"/>
      <x:c r="G542" s="39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</x:row>
    <x:row r="543">
      <x:c r="A543" s="39"/>
      <x:c r="B543" s="39"/>
      <x:c r="C543" s="39"/>
      <x:c r="D543" s="39"/>
      <x:c r="E543" s="39"/>
      <x:c r="F543" s="39"/>
      <x:c r="G543" s="39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</x:row>
    <x:row r="544">
      <x:c r="A544" s="39"/>
      <x:c r="B544" s="39"/>
      <x:c r="C544" s="39"/>
      <x:c r="D544" s="39"/>
      <x:c r="E544" s="39"/>
      <x:c r="F544" s="39"/>
      <x:c r="G544" s="39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</x:row>
    <x:row r="545">
      <x:c r="A545" s="39"/>
      <x:c r="B545" s="39"/>
      <x:c r="C545" s="39"/>
      <x:c r="D545" s="39"/>
      <x:c r="E545" s="39"/>
      <x:c r="F545" s="39"/>
      <x:c r="G545" s="39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</x:row>
    <x:row r="546">
      <x:c r="A546" s="39"/>
      <x:c r="B546" s="39"/>
      <x:c r="C546" s="39"/>
      <x:c r="D546" s="39"/>
      <x:c r="E546" s="39"/>
      <x:c r="F546" s="39"/>
      <x:c r="G546" s="39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</x:row>
    <x:row r="547">
      <x:c r="A547" s="39"/>
      <x:c r="B547" s="39"/>
      <x:c r="C547" s="39"/>
      <x:c r="D547" s="39"/>
      <x:c r="E547" s="39"/>
      <x:c r="F547" s="39"/>
      <x:c r="G547" s="39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</x:row>
    <x:row r="548">
      <x:c r="A548" s="39"/>
      <x:c r="B548" s="39"/>
      <x:c r="C548" s="39"/>
      <x:c r="D548" s="39"/>
      <x:c r="E548" s="39"/>
      <x:c r="F548" s="39"/>
      <x:c r="G548" s="39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</x:row>
    <x:row r="549">
      <x:c r="A549" s="39"/>
      <x:c r="B549" s="39"/>
      <x:c r="C549" s="39"/>
      <x:c r="D549" s="39"/>
      <x:c r="E549" s="39"/>
      <x:c r="F549" s="39"/>
      <x:c r="G549" s="39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</x:row>
    <x:row r="550">
      <x:c r="A550" s="39"/>
      <x:c r="B550" s="39"/>
      <x:c r="C550" s="39"/>
      <x:c r="D550" s="39"/>
      <x:c r="E550" s="39"/>
      <x:c r="F550" s="39"/>
      <x:c r="G550" s="39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</x:row>
    <x:row r="551">
      <x:c r="A551" s="39"/>
      <x:c r="B551" s="39"/>
      <x:c r="C551" s="39"/>
      <x:c r="D551" s="39"/>
      <x:c r="E551" s="39"/>
      <x:c r="F551" s="39"/>
      <x:c r="G551" s="39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</x:row>
    <x:row r="552">
      <x:c r="A552" s="39"/>
      <x:c r="B552" s="39"/>
      <x:c r="C552" s="39"/>
      <x:c r="D552" s="39"/>
      <x:c r="E552" s="39"/>
      <x:c r="F552" s="39"/>
      <x:c r="G552" s="39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</x:row>
    <x:row r="553">
      <x:c r="A553" s="39"/>
      <x:c r="B553" s="39"/>
      <x:c r="C553" s="39"/>
      <x:c r="D553" s="39"/>
      <x:c r="E553" s="39"/>
      <x:c r="F553" s="39"/>
      <x:c r="G553" s="39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</x:row>
    <x:row r="554">
      <x:c r="A554" s="39"/>
      <x:c r="B554" s="39"/>
      <x:c r="C554" s="39"/>
      <x:c r="D554" s="39"/>
      <x:c r="E554" s="39"/>
      <x:c r="F554" s="39"/>
      <x:c r="G554" s="39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</x:row>
    <x:row r="555">
      <x:c r="A555" s="39"/>
      <x:c r="B555" s="39"/>
      <x:c r="C555" s="39"/>
      <x:c r="D555" s="39"/>
      <x:c r="E555" s="39"/>
      <x:c r="F555" s="39"/>
      <x:c r="G555" s="39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</x:row>
    <x:row r="556">
      <x:c r="A556" s="39"/>
      <x:c r="B556" s="39"/>
      <x:c r="C556" s="39"/>
      <x:c r="D556" s="39"/>
      <x:c r="E556" s="39"/>
      <x:c r="F556" s="39"/>
      <x:c r="G556" s="39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</x:row>
    <x:row r="557">
      <x:c r="A557" s="39"/>
      <x:c r="B557" s="39"/>
      <x:c r="C557" s="39"/>
      <x:c r="D557" s="39"/>
      <x:c r="E557" s="39"/>
      <x:c r="F557" s="39"/>
      <x:c r="G557" s="39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</x:row>
    <x:row r="558">
      <x:c r="A558" s="39"/>
      <x:c r="B558" s="39"/>
      <x:c r="C558" s="39"/>
      <x:c r="D558" s="39"/>
      <x:c r="E558" s="39"/>
      <x:c r="F558" s="39"/>
      <x:c r="G558" s="39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</x:row>
    <x:row r="559">
      <x:c r="A559" s="39"/>
      <x:c r="B559" s="39"/>
      <x:c r="C559" s="39"/>
      <x:c r="D559" s="39"/>
      <x:c r="E559" s="39"/>
      <x:c r="F559" s="39"/>
      <x:c r="G559" s="39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</x:row>
    <x:row r="560">
      <x:c r="A560" s="39"/>
      <x:c r="B560" s="39"/>
      <x:c r="C560" s="39"/>
      <x:c r="D560" s="39"/>
      <x:c r="E560" s="39"/>
      <x:c r="F560" s="39"/>
      <x:c r="G560" s="39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</x:row>
    <x:row r="561">
      <x:c r="A561" s="39"/>
      <x:c r="B561" s="39"/>
      <x:c r="C561" s="39"/>
      <x:c r="D561" s="39"/>
      <x:c r="E561" s="39"/>
      <x:c r="F561" s="39"/>
      <x:c r="G561" s="39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</x:row>
    <x:row r="562">
      <x:c r="A562" s="39"/>
      <x:c r="B562" s="39"/>
      <x:c r="C562" s="39"/>
      <x:c r="D562" s="39"/>
      <x:c r="E562" s="39"/>
      <x:c r="F562" s="39"/>
      <x:c r="G562" s="39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</x:row>
    <x:row r="563">
      <x:c r="A563" s="39"/>
      <x:c r="B563" s="39"/>
      <x:c r="C563" s="39"/>
      <x:c r="D563" s="39"/>
      <x:c r="E563" s="39"/>
      <x:c r="F563" s="39"/>
      <x:c r="G563" s="39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</x:row>
    <x:row r="564">
      <x:c r="A564" s="39"/>
      <x:c r="B564" s="39"/>
      <x:c r="C564" s="39"/>
      <x:c r="D564" s="39"/>
      <x:c r="E564" s="39"/>
      <x:c r="F564" s="39"/>
      <x:c r="G564" s="39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</x:row>
    <x:row r="565">
      <x:c r="A565" s="39"/>
      <x:c r="B565" s="39"/>
      <x:c r="C565" s="39"/>
      <x:c r="D565" s="39"/>
      <x:c r="E565" s="39"/>
      <x:c r="F565" s="39"/>
      <x:c r="G565" s="39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</x:row>
    <x:row r="566">
      <x:c r="A566" s="39"/>
      <x:c r="B566" s="39"/>
      <x:c r="C566" s="39"/>
      <x:c r="D566" s="39"/>
      <x:c r="E566" s="39"/>
      <x:c r="F566" s="39"/>
      <x:c r="G566" s="39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</x:row>
    <x:row r="567">
      <x:c r="A567" s="39"/>
      <x:c r="B567" s="39"/>
      <x:c r="C567" s="39"/>
      <x:c r="D567" s="39"/>
      <x:c r="E567" s="39"/>
      <x:c r="F567" s="39"/>
      <x:c r="G567" s="39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</x:row>
    <x:row r="568">
      <x:c r="A568" s="39"/>
      <x:c r="B568" s="39"/>
      <x:c r="C568" s="39"/>
      <x:c r="D568" s="39"/>
      <x:c r="E568" s="39"/>
      <x:c r="F568" s="39"/>
      <x:c r="G568" s="39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</x:row>
    <x:row r="569">
      <x:c r="A569" s="39"/>
      <x:c r="B569" s="39"/>
      <x:c r="C569" s="39"/>
      <x:c r="D569" s="39"/>
      <x:c r="E569" s="39"/>
      <x:c r="F569" s="39"/>
      <x:c r="G569" s="39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</x:row>
    <x:row r="570">
      <x:c r="A570" s="39"/>
      <x:c r="B570" s="39"/>
      <x:c r="C570" s="39"/>
      <x:c r="D570" s="39"/>
      <x:c r="E570" s="39"/>
      <x:c r="F570" s="39"/>
      <x:c r="G570" s="39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</x:row>
    <x:row r="571">
      <x:c r="A571" s="39"/>
      <x:c r="B571" s="39"/>
      <x:c r="C571" s="39"/>
      <x:c r="D571" s="39"/>
      <x:c r="E571" s="39"/>
      <x:c r="F571" s="39"/>
      <x:c r="G571" s="39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</x:row>
    <x:row r="572">
      <x:c r="A572" s="39"/>
      <x:c r="B572" s="39"/>
      <x:c r="C572" s="39"/>
      <x:c r="D572" s="39"/>
      <x:c r="E572" s="39"/>
      <x:c r="F572" s="39"/>
      <x:c r="G572" s="39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</x:row>
    <x:row r="573">
      <x:c r="A573" s="39"/>
      <x:c r="B573" s="39"/>
      <x:c r="C573" s="39"/>
      <x:c r="D573" s="39"/>
      <x:c r="E573" s="39"/>
      <x:c r="F573" s="39"/>
      <x:c r="G573" s="39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</x:row>
    <x:row r="574">
      <x:c r="A574" s="39"/>
      <x:c r="B574" s="39"/>
      <x:c r="C574" s="39"/>
      <x:c r="D574" s="39"/>
      <x:c r="E574" s="39"/>
      <x:c r="F574" s="39"/>
      <x:c r="G574" s="39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</x:row>
    <x:row r="575">
      <x:c r="A575" s="39"/>
      <x:c r="B575" s="39"/>
      <x:c r="C575" s="39"/>
      <x:c r="D575" s="39"/>
      <x:c r="E575" s="39"/>
      <x:c r="F575" s="39"/>
      <x:c r="G575" s="39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</x:row>
    <x:row r="576">
      <x:c r="A576" s="39"/>
      <x:c r="B576" s="39"/>
      <x:c r="C576" s="39"/>
      <x:c r="D576" s="39"/>
      <x:c r="E576" s="39"/>
      <x:c r="F576" s="39"/>
      <x:c r="G576" s="39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</x:row>
    <x:row r="577">
      <x:c r="A577" s="39"/>
      <x:c r="B577" s="39"/>
      <x:c r="C577" s="39"/>
      <x:c r="D577" s="39"/>
      <x:c r="E577" s="39"/>
      <x:c r="F577" s="39"/>
      <x:c r="G577" s="39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</x:row>
    <x:row r="578">
      <x:c r="A578" s="39"/>
      <x:c r="B578" s="39"/>
      <x:c r="C578" s="39"/>
      <x:c r="D578" s="39"/>
      <x:c r="E578" s="39"/>
      <x:c r="F578" s="39"/>
      <x:c r="G578" s="39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</x:row>
    <x:row r="579">
      <x:c r="A579" s="39"/>
      <x:c r="B579" s="39"/>
      <x:c r="C579" s="39"/>
      <x:c r="D579" s="39"/>
      <x:c r="E579" s="39"/>
      <x:c r="F579" s="39"/>
      <x:c r="G579" s="39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</x:row>
    <x:row r="580">
      <x:c r="A580" s="39"/>
      <x:c r="B580" s="39"/>
      <x:c r="C580" s="39"/>
      <x:c r="D580" s="39"/>
      <x:c r="E580" s="39"/>
      <x:c r="F580" s="39"/>
      <x:c r="G580" s="39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</x:row>
    <x:row r="581">
      <x:c r="A581" s="39"/>
      <x:c r="B581" s="39"/>
      <x:c r="C581" s="39"/>
      <x:c r="D581" s="39"/>
      <x:c r="E581" s="39"/>
      <x:c r="F581" s="39"/>
      <x:c r="G581" s="39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</x:row>
    <x:row r="582">
      <x:c r="A582" s="39"/>
      <x:c r="B582" s="39"/>
      <x:c r="C582" s="39"/>
      <x:c r="D582" s="39"/>
      <x:c r="E582" s="39"/>
      <x:c r="F582" s="39"/>
      <x:c r="G582" s="39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</x:row>
    <x:row r="583">
      <x:c r="A583" s="39"/>
      <x:c r="B583" s="39"/>
      <x:c r="C583" s="39"/>
      <x:c r="D583" s="39"/>
      <x:c r="E583" s="39"/>
      <x:c r="F583" s="39"/>
      <x:c r="G583" s="39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</x:row>
    <x:row r="584">
      <x:c r="A584" s="39"/>
      <x:c r="B584" s="39"/>
      <x:c r="C584" s="39"/>
      <x:c r="D584" s="39"/>
      <x:c r="E584" s="39"/>
      <x:c r="F584" s="39"/>
      <x:c r="G584" s="39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</x:row>
    <x:row r="585">
      <x:c r="A585" s="39"/>
      <x:c r="B585" s="39"/>
      <x:c r="C585" s="39"/>
      <x:c r="D585" s="39"/>
      <x:c r="E585" s="39"/>
      <x:c r="F585" s="39"/>
      <x:c r="G585" s="39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</x:row>
    <x:row r="586">
      <x:c r="A586" s="39"/>
      <x:c r="B586" s="39"/>
      <x:c r="C586" s="39"/>
      <x:c r="D586" s="39"/>
      <x:c r="E586" s="39"/>
      <x:c r="F586" s="39"/>
      <x:c r="G586" s="39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</x:row>
    <x:row r="587">
      <x:c r="A587" s="39"/>
      <x:c r="B587" s="39"/>
      <x:c r="C587" s="39"/>
      <x:c r="D587" s="39"/>
      <x:c r="E587" s="39"/>
      <x:c r="F587" s="39"/>
      <x:c r="G587" s="39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</x:row>
    <x:row r="588">
      <x:c r="A588" s="39"/>
      <x:c r="B588" s="39"/>
      <x:c r="C588" s="39"/>
      <x:c r="D588" s="39"/>
      <x:c r="E588" s="39"/>
      <x:c r="F588" s="39"/>
      <x:c r="G588" s="39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</x:row>
    <x:row r="589">
      <x:c r="A589" s="39"/>
      <x:c r="B589" s="39"/>
      <x:c r="C589" s="39"/>
      <x:c r="D589" s="39"/>
      <x:c r="E589" s="39"/>
      <x:c r="F589" s="39"/>
      <x:c r="G589" s="39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</x:row>
    <x:row r="590">
      <x:c r="A590" s="39"/>
      <x:c r="B590" s="39"/>
      <x:c r="C590" s="39"/>
      <x:c r="D590" s="39"/>
      <x:c r="E590" s="39"/>
      <x:c r="F590" s="39"/>
      <x:c r="G590" s="39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</x:row>
    <x:row r="591">
      <x:c r="A591" s="39"/>
      <x:c r="B591" s="39"/>
      <x:c r="C591" s="39"/>
      <x:c r="D591" s="39"/>
      <x:c r="E591" s="39"/>
      <x:c r="F591" s="39"/>
      <x:c r="G591" s="39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</x:row>
    <x:row r="592">
      <x:c r="A592" s="39"/>
      <x:c r="B592" s="39"/>
      <x:c r="C592" s="39"/>
      <x:c r="D592" s="39"/>
      <x:c r="E592" s="39"/>
      <x:c r="F592" s="39"/>
      <x:c r="G592" s="39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</x:row>
    <x:row r="593">
      <x:c r="A593" s="39"/>
      <x:c r="B593" s="39"/>
      <x:c r="C593" s="39"/>
      <x:c r="D593" s="39"/>
      <x:c r="E593" s="39"/>
      <x:c r="F593" s="39"/>
      <x:c r="G593" s="39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</x:row>
    <x:row r="594">
      <x:c r="A594" s="39"/>
      <x:c r="B594" s="39"/>
      <x:c r="C594" s="39"/>
      <x:c r="D594" s="39"/>
      <x:c r="E594" s="39"/>
      <x:c r="F594" s="39"/>
      <x:c r="G594" s="39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</x:row>
    <x:row r="595">
      <x:c r="A595" s="39"/>
      <x:c r="B595" s="39"/>
      <x:c r="C595" s="39"/>
      <x:c r="D595" s="39"/>
      <x:c r="E595" s="39"/>
      <x:c r="F595" s="39"/>
      <x:c r="G595" s="39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</x:row>
    <x:row r="596">
      <x:c r="A596" s="39"/>
      <x:c r="B596" s="39"/>
      <x:c r="C596" s="39"/>
      <x:c r="D596" s="39"/>
      <x:c r="E596" s="39"/>
      <x:c r="F596" s="39"/>
      <x:c r="G596" s="39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</x:row>
    <x:row r="597">
      <x:c r="A597" s="39"/>
      <x:c r="B597" s="39"/>
      <x:c r="C597" s="39"/>
      <x:c r="D597" s="39"/>
      <x:c r="E597" s="39"/>
      <x:c r="F597" s="39"/>
      <x:c r="G597" s="39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</x:row>
    <x:row r="598">
      <x:c r="A598" s="39"/>
      <x:c r="B598" s="39"/>
      <x:c r="C598" s="39"/>
      <x:c r="D598" s="39"/>
      <x:c r="E598" s="39"/>
      <x:c r="F598" s="39"/>
      <x:c r="G598" s="39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</x:row>
    <x:row r="599">
      <x:c r="A599" s="39"/>
      <x:c r="B599" s="39"/>
      <x:c r="C599" s="39"/>
      <x:c r="D599" s="39"/>
      <x:c r="E599" s="39"/>
      <x:c r="F599" s="39"/>
      <x:c r="G599" s="39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</x:row>
    <x:row r="600">
      <x:c r="A600" s="39"/>
      <x:c r="B600" s="39"/>
      <x:c r="C600" s="39"/>
      <x:c r="D600" s="39"/>
      <x:c r="E600" s="39"/>
      <x:c r="F600" s="39"/>
      <x:c r="G600" s="39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</x:row>
    <x:row r="601">
      <x:c r="A601" s="39"/>
      <x:c r="B601" s="39"/>
      <x:c r="C601" s="39"/>
      <x:c r="D601" s="39"/>
      <x:c r="E601" s="39"/>
      <x:c r="F601" s="39"/>
      <x:c r="G601" s="39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</x:row>
    <x:row r="602">
      <x:c r="A602" s="39"/>
      <x:c r="B602" s="39"/>
      <x:c r="C602" s="39"/>
      <x:c r="D602" s="39"/>
      <x:c r="E602" s="39"/>
      <x:c r="F602" s="39"/>
      <x:c r="G602" s="39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</x:row>
    <x:row r="603">
      <x:c r="A603" s="39"/>
      <x:c r="B603" s="39"/>
      <x:c r="C603" s="39"/>
      <x:c r="D603" s="39"/>
      <x:c r="E603" s="39"/>
      <x:c r="F603" s="39"/>
      <x:c r="G603" s="39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</x:row>
    <x:row r="604">
      <x:c r="A604" s="39"/>
      <x:c r="B604" s="39"/>
      <x:c r="C604" s="39"/>
      <x:c r="D604" s="39"/>
      <x:c r="E604" s="39"/>
      <x:c r="F604" s="39"/>
      <x:c r="G604" s="39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</x:row>
    <x:row r="605">
      <x:c r="A605" s="39"/>
      <x:c r="B605" s="39"/>
      <x:c r="C605" s="39"/>
      <x:c r="D605" s="39"/>
      <x:c r="E605" s="39"/>
      <x:c r="F605" s="39"/>
      <x:c r="G605" s="39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</x:row>
    <x:row r="606">
      <x:c r="A606" s="39"/>
      <x:c r="B606" s="39"/>
      <x:c r="C606" s="39"/>
      <x:c r="D606" s="39"/>
      <x:c r="E606" s="39"/>
      <x:c r="F606" s="39"/>
      <x:c r="G606" s="39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</x:row>
    <x:row r="607">
      <x:c r="A607" s="39"/>
      <x:c r="B607" s="39"/>
      <x:c r="C607" s="39"/>
      <x:c r="D607" s="39"/>
      <x:c r="E607" s="39"/>
      <x:c r="F607" s="39"/>
      <x:c r="G607" s="39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</x:row>
    <x:row r="608">
      <x:c r="A608" s="39"/>
      <x:c r="B608" s="39"/>
      <x:c r="C608" s="39"/>
      <x:c r="D608" s="39"/>
      <x:c r="E608" s="39"/>
      <x:c r="F608" s="39"/>
      <x:c r="G608" s="39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</x:row>
    <x:row r="609">
      <x:c r="A609" s="39"/>
      <x:c r="B609" s="39"/>
      <x:c r="C609" s="39"/>
      <x:c r="D609" s="39"/>
      <x:c r="E609" s="39"/>
      <x:c r="F609" s="39"/>
      <x:c r="G609" s="39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</x:row>
    <x:row r="610">
      <x:c r="A610" s="39"/>
      <x:c r="B610" s="39"/>
      <x:c r="C610" s="39"/>
      <x:c r="D610" s="39"/>
      <x:c r="E610" s="39"/>
      <x:c r="F610" s="39"/>
      <x:c r="G610" s="39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</x:row>
    <x:row r="611">
      <x:c r="A611" s="39"/>
      <x:c r="B611" s="39"/>
      <x:c r="C611" s="39"/>
      <x:c r="D611" s="39"/>
      <x:c r="E611" s="39"/>
      <x:c r="F611" s="39"/>
      <x:c r="G611" s="39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</x:row>
    <x:row r="612">
      <x:c r="A612" s="39"/>
      <x:c r="B612" s="39"/>
      <x:c r="C612" s="39"/>
      <x:c r="D612" s="39"/>
      <x:c r="E612" s="39"/>
      <x:c r="F612" s="39"/>
      <x:c r="G612" s="39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</x:row>
    <x:row r="613">
      <x:c r="A613" s="39"/>
      <x:c r="B613" s="39"/>
      <x:c r="C613" s="39"/>
      <x:c r="D613" s="39"/>
      <x:c r="E613" s="39"/>
      <x:c r="F613" s="39"/>
      <x:c r="G613" s="39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</x:row>
    <x:row r="614">
      <x:c r="A614" s="39"/>
      <x:c r="B614" s="39"/>
      <x:c r="C614" s="39"/>
      <x:c r="D614" s="39"/>
      <x:c r="E614" s="39"/>
      <x:c r="F614" s="39"/>
      <x:c r="G614" s="39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</x:row>
    <x:row r="615">
      <x:c r="A615" s="39"/>
      <x:c r="B615" s="39"/>
      <x:c r="C615" s="39"/>
      <x:c r="D615" s="39"/>
      <x:c r="E615" s="39"/>
      <x:c r="F615" s="39"/>
      <x:c r="G615" s="39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</x:row>
    <x:row r="616">
      <x:c r="A616" s="39"/>
      <x:c r="B616" s="39"/>
      <x:c r="C616" s="39"/>
      <x:c r="D616" s="39"/>
      <x:c r="E616" s="39"/>
      <x:c r="F616" s="39"/>
      <x:c r="G616" s="39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</x:row>
    <x:row r="617">
      <x:c r="A617" s="39"/>
      <x:c r="B617" s="39"/>
      <x:c r="C617" s="39"/>
      <x:c r="D617" s="39"/>
      <x:c r="E617" s="39"/>
      <x:c r="F617" s="39"/>
      <x:c r="G617" s="39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</x:row>
    <x:row r="618">
      <x:c r="A618" s="39"/>
      <x:c r="B618" s="39"/>
      <x:c r="C618" s="39"/>
      <x:c r="D618" s="39"/>
      <x:c r="E618" s="39"/>
      <x:c r="F618" s="39"/>
      <x:c r="G618" s="39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</x:row>
    <x:row r="619">
      <x:c r="A619" s="39"/>
      <x:c r="B619" s="39"/>
      <x:c r="C619" s="39"/>
      <x:c r="D619" s="39"/>
      <x:c r="E619" s="39"/>
      <x:c r="F619" s="39"/>
      <x:c r="G619" s="39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</x:row>
    <x:row r="620">
      <x:c r="A620" s="39"/>
      <x:c r="B620" s="39"/>
      <x:c r="C620" s="39"/>
      <x:c r="D620" s="39"/>
      <x:c r="E620" s="39"/>
      <x:c r="F620" s="39"/>
      <x:c r="G620" s="39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</x:row>
    <x:row r="621">
      <x:c r="A621" s="39"/>
      <x:c r="B621" s="39"/>
      <x:c r="C621" s="39"/>
      <x:c r="D621" s="39"/>
      <x:c r="E621" s="39"/>
      <x:c r="F621" s="39"/>
      <x:c r="G621" s="39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</x:row>
    <x:row r="622">
      <x:c r="A622" s="39"/>
      <x:c r="B622" s="39"/>
      <x:c r="C622" s="39"/>
      <x:c r="D622" s="39"/>
      <x:c r="E622" s="39"/>
      <x:c r="F622" s="39"/>
      <x:c r="G622" s="39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</x:row>
    <x:row r="623">
      <x:c r="A623" s="39"/>
      <x:c r="B623" s="39"/>
      <x:c r="C623" s="39"/>
      <x:c r="D623" s="39"/>
      <x:c r="E623" s="39"/>
      <x:c r="F623" s="39"/>
      <x:c r="G623" s="39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</x:row>
    <x:row r="624">
      <x:c r="A624" s="39"/>
      <x:c r="B624" s="39"/>
      <x:c r="C624" s="39"/>
      <x:c r="D624" s="39"/>
      <x:c r="E624" s="39"/>
      <x:c r="F624" s="39"/>
      <x:c r="G624" s="39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</x:row>
    <x:row r="625">
      <x:c r="A625" s="39"/>
      <x:c r="B625" s="39"/>
      <x:c r="C625" s="39"/>
      <x:c r="D625" s="39"/>
      <x:c r="E625" s="39"/>
      <x:c r="F625" s="39"/>
      <x:c r="G625" s="39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</x:row>
    <x:row r="626">
      <x:c r="A626" s="39"/>
      <x:c r="B626" s="39"/>
      <x:c r="C626" s="39"/>
      <x:c r="D626" s="39"/>
      <x:c r="E626" s="39"/>
      <x:c r="F626" s="39"/>
      <x:c r="G626" s="39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</x:row>
    <x:row r="627">
      <x:c r="A627" s="39"/>
      <x:c r="B627" s="39"/>
      <x:c r="C627" s="39"/>
      <x:c r="D627" s="39"/>
      <x:c r="E627" s="39"/>
      <x:c r="F627" s="39"/>
      <x:c r="G627" s="39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</x:row>
    <x:row r="628">
      <x:c r="A628" s="39"/>
      <x:c r="B628" s="39"/>
      <x:c r="C628" s="39"/>
      <x:c r="D628" s="39"/>
      <x:c r="E628" s="39"/>
      <x:c r="F628" s="39"/>
      <x:c r="G628" s="39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</x:row>
    <x:row r="629">
      <x:c r="A629" s="39"/>
      <x:c r="B629" s="39"/>
      <x:c r="C629" s="39"/>
      <x:c r="D629" s="39"/>
      <x:c r="E629" s="39"/>
      <x:c r="F629" s="39"/>
      <x:c r="G629" s="39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</x:row>
    <x:row r="630">
      <x:c r="A630" s="39"/>
      <x:c r="B630" s="39"/>
      <x:c r="C630" s="39"/>
      <x:c r="D630" s="39"/>
      <x:c r="E630" s="39"/>
      <x:c r="F630" s="39"/>
      <x:c r="G630" s="39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</x:row>
    <x:row r="631">
      <x:c r="A631" s="39"/>
      <x:c r="B631" s="39"/>
      <x:c r="C631" s="39"/>
      <x:c r="D631" s="39"/>
      <x:c r="E631" s="39"/>
      <x:c r="F631" s="39"/>
      <x:c r="G631" s="39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</x:row>
    <x:row r="632">
      <x:c r="A632" s="39"/>
      <x:c r="B632" s="39"/>
      <x:c r="C632" s="39"/>
      <x:c r="D632" s="39"/>
      <x:c r="E632" s="39"/>
      <x:c r="F632" s="39"/>
      <x:c r="G632" s="39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</x:row>
    <x:row r="633">
      <x:c r="A633" s="39"/>
      <x:c r="B633" s="39"/>
      <x:c r="C633" s="39"/>
      <x:c r="D633" s="39"/>
      <x:c r="E633" s="39"/>
      <x:c r="F633" s="39"/>
      <x:c r="G633" s="39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</x:row>
    <x:row r="634">
      <x:c r="A634" s="39"/>
      <x:c r="B634" s="39"/>
      <x:c r="C634" s="39"/>
      <x:c r="D634" s="39"/>
      <x:c r="E634" s="39"/>
      <x:c r="F634" s="39"/>
      <x:c r="G634" s="39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</x:row>
    <x:row r="635">
      <x:c r="A635" s="39"/>
      <x:c r="B635" s="39"/>
      <x:c r="C635" s="39"/>
      <x:c r="D635" s="39"/>
      <x:c r="E635" s="39"/>
      <x:c r="F635" s="39"/>
      <x:c r="G635" s="39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</x:row>
    <x:row r="636">
      <x:c r="A636" s="39"/>
      <x:c r="B636" s="39"/>
      <x:c r="C636" s="39"/>
      <x:c r="D636" s="39"/>
      <x:c r="E636" s="39"/>
      <x:c r="F636" s="39"/>
      <x:c r="G636" s="39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</x:row>
    <x:row r="637">
      <x:c r="A637" s="39"/>
      <x:c r="B637" s="39"/>
      <x:c r="C637" s="39"/>
      <x:c r="D637" s="39"/>
      <x:c r="E637" s="39"/>
      <x:c r="F637" s="39"/>
      <x:c r="G637" s="39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</x:row>
    <x:row r="638">
      <x:c r="A638" s="39"/>
      <x:c r="B638" s="39"/>
      <x:c r="C638" s="39"/>
      <x:c r="D638" s="39"/>
      <x:c r="E638" s="39"/>
      <x:c r="F638" s="39"/>
      <x:c r="G638" s="39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</x:row>
    <x:row r="639">
      <x:c r="A639" s="39"/>
      <x:c r="B639" s="39"/>
      <x:c r="C639" s="39"/>
      <x:c r="D639" s="39"/>
      <x:c r="E639" s="39"/>
      <x:c r="F639" s="39"/>
      <x:c r="G639" s="39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</x:row>
    <x:row r="640">
      <x:c r="A640" s="39"/>
      <x:c r="B640" s="39"/>
      <x:c r="C640" s="39"/>
      <x:c r="D640" s="39"/>
      <x:c r="E640" s="39"/>
      <x:c r="F640" s="39"/>
      <x:c r="G640" s="39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</x:row>
    <x:row r="641">
      <x:c r="A641" s="39"/>
      <x:c r="B641" s="39"/>
      <x:c r="C641" s="39"/>
      <x:c r="D641" s="39"/>
      <x:c r="E641" s="39"/>
      <x:c r="F641" s="39"/>
      <x:c r="G641" s="39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</x:row>
    <x:row r="642">
      <x:c r="A642" s="39"/>
      <x:c r="B642" s="39"/>
      <x:c r="C642" s="39"/>
      <x:c r="D642" s="39"/>
      <x:c r="E642" s="39"/>
      <x:c r="F642" s="39"/>
      <x:c r="G642" s="39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</x:row>
    <x:row r="643">
      <x:c r="A643" s="39"/>
      <x:c r="B643" s="39"/>
      <x:c r="C643" s="39"/>
      <x:c r="D643" s="39"/>
      <x:c r="E643" s="39"/>
      <x:c r="F643" s="39"/>
      <x:c r="G643" s="39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</x:row>
    <x:row r="644">
      <x:c r="A644" s="39"/>
      <x:c r="B644" s="39"/>
      <x:c r="C644" s="39"/>
      <x:c r="D644" s="39"/>
      <x:c r="E644" s="39"/>
      <x:c r="F644" s="39"/>
      <x:c r="G644" s="39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</x:row>
    <x:row r="645">
      <x:c r="A645" s="39"/>
      <x:c r="B645" s="39"/>
      <x:c r="C645" s="39"/>
      <x:c r="D645" s="39"/>
      <x:c r="E645" s="39"/>
      <x:c r="F645" s="39"/>
      <x:c r="G645" s="39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</x:row>
    <x:row r="646">
      <x:c r="A646" s="39"/>
      <x:c r="B646" s="39"/>
      <x:c r="C646" s="39"/>
      <x:c r="D646" s="39"/>
      <x:c r="E646" s="39"/>
      <x:c r="F646" s="39"/>
      <x:c r="G646" s="39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</x:row>
    <x:row r="647">
      <x:c r="A647" s="39"/>
      <x:c r="B647" s="39"/>
      <x:c r="C647" s="39"/>
      <x:c r="D647" s="39"/>
      <x:c r="E647" s="39"/>
      <x:c r="F647" s="39"/>
      <x:c r="G647" s="39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</x:row>
    <x:row r="648">
      <x:c r="A648" s="39"/>
      <x:c r="B648" s="39"/>
      <x:c r="C648" s="39"/>
      <x:c r="D648" s="39"/>
      <x:c r="E648" s="39"/>
      <x:c r="F648" s="39"/>
      <x:c r="G648" s="39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</x:row>
    <x:row r="649">
      <x:c r="A649" s="39"/>
      <x:c r="B649" s="39"/>
      <x:c r="C649" s="39"/>
      <x:c r="D649" s="39"/>
      <x:c r="E649" s="39"/>
      <x:c r="F649" s="39"/>
      <x:c r="G649" s="39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</x:row>
    <x:row r="650">
      <x:c r="A650" s="39"/>
      <x:c r="B650" s="39"/>
      <x:c r="C650" s="39"/>
      <x:c r="D650" s="39"/>
      <x:c r="E650" s="39"/>
      <x:c r="F650" s="39"/>
      <x:c r="G650" s="39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</x:row>
    <x:row r="651">
      <x:c r="A651" s="39"/>
      <x:c r="B651" s="39"/>
      <x:c r="C651" s="39"/>
      <x:c r="D651" s="39"/>
      <x:c r="E651" s="39"/>
      <x:c r="F651" s="39"/>
      <x:c r="G651" s="39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</x:row>
    <x:row r="652">
      <x:c r="A652" s="39"/>
      <x:c r="B652" s="39"/>
      <x:c r="C652" s="39"/>
      <x:c r="D652" s="39"/>
      <x:c r="E652" s="39"/>
      <x:c r="F652" s="39"/>
      <x:c r="G652" s="39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</x:row>
    <x:row r="653">
      <x:c r="A653" s="39"/>
      <x:c r="B653" s="39"/>
      <x:c r="C653" s="39"/>
      <x:c r="D653" s="39"/>
      <x:c r="E653" s="39"/>
      <x:c r="F653" s="39"/>
      <x:c r="G653" s="39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</x:row>
    <x:row r="654">
      <x:c r="A654" s="39"/>
      <x:c r="B654" s="39"/>
      <x:c r="C654" s="39"/>
      <x:c r="D654" s="39"/>
      <x:c r="E654" s="39"/>
      <x:c r="F654" s="39"/>
      <x:c r="G654" s="39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</x:row>
    <x:row r="655">
      <x:c r="A655" s="39"/>
      <x:c r="B655" s="39"/>
      <x:c r="C655" s="39"/>
      <x:c r="D655" s="39"/>
      <x:c r="E655" s="39"/>
      <x:c r="F655" s="39"/>
      <x:c r="G655" s="39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</x:row>
    <x:row r="656">
      <x:c r="A656" s="39"/>
      <x:c r="B656" s="39"/>
      <x:c r="C656" s="39"/>
      <x:c r="D656" s="39"/>
      <x:c r="E656" s="39"/>
      <x:c r="F656" s="39"/>
      <x:c r="G656" s="39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</x:row>
    <x:row r="657">
      <x:c r="A657" s="39"/>
      <x:c r="B657" s="39"/>
      <x:c r="C657" s="39"/>
      <x:c r="D657" s="39"/>
      <x:c r="E657" s="39"/>
      <x:c r="F657" s="39"/>
      <x:c r="G657" s="39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</x:row>
    <x:row r="658">
      <x:c r="A658" s="39"/>
      <x:c r="B658" s="39"/>
      <x:c r="C658" s="39"/>
      <x:c r="D658" s="39"/>
      <x:c r="E658" s="39"/>
      <x:c r="F658" s="39"/>
      <x:c r="G658" s="39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</x:row>
    <x:row r="659">
      <x:c r="A659" s="39"/>
      <x:c r="B659" s="39"/>
      <x:c r="C659" s="39"/>
      <x:c r="D659" s="39"/>
      <x:c r="E659" s="39"/>
      <x:c r="F659" s="39"/>
      <x:c r="G659" s="39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</x:row>
    <x:row r="660">
      <x:c r="A660" s="39"/>
      <x:c r="B660" s="39"/>
      <x:c r="C660" s="39"/>
      <x:c r="D660" s="39"/>
      <x:c r="E660" s="39"/>
      <x:c r="F660" s="39"/>
      <x:c r="G660" s="39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</x:row>
    <x:row r="661">
      <x:c r="A661" s="39"/>
      <x:c r="B661" s="39"/>
      <x:c r="C661" s="39"/>
      <x:c r="D661" s="39"/>
      <x:c r="E661" s="39"/>
      <x:c r="F661" s="39"/>
      <x:c r="G661" s="39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</x:row>
    <x:row r="662">
      <x:c r="A662" s="39"/>
      <x:c r="B662" s="39"/>
      <x:c r="C662" s="39"/>
      <x:c r="D662" s="39"/>
      <x:c r="E662" s="39"/>
      <x:c r="F662" s="39"/>
      <x:c r="G662" s="39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</x:row>
    <x:row r="663">
      <x:c r="A663" s="39"/>
      <x:c r="B663" s="39"/>
      <x:c r="C663" s="39"/>
      <x:c r="D663" s="39"/>
      <x:c r="E663" s="39"/>
      <x:c r="F663" s="39"/>
      <x:c r="G663" s="39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</x:row>
    <x:row r="664">
      <x:c r="A664" s="39"/>
      <x:c r="B664" s="39"/>
      <x:c r="C664" s="39"/>
      <x:c r="D664" s="39"/>
      <x:c r="E664" s="39"/>
      <x:c r="F664" s="39"/>
      <x:c r="G664" s="39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</x:row>
    <x:row r="665">
      <x:c r="A665" s="39"/>
      <x:c r="B665" s="39"/>
      <x:c r="C665" s="39"/>
      <x:c r="D665" s="39"/>
      <x:c r="E665" s="39"/>
      <x:c r="F665" s="39"/>
      <x:c r="G665" s="39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</x:row>
    <x:row r="666">
      <x:c r="A666" s="39"/>
      <x:c r="B666" s="39"/>
      <x:c r="C666" s="39"/>
      <x:c r="D666" s="39"/>
      <x:c r="E666" s="39"/>
      <x:c r="F666" s="39"/>
      <x:c r="G666" s="39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</x:row>
    <x:row r="667">
      <x:c r="A667" s="39"/>
      <x:c r="B667" s="39"/>
      <x:c r="C667" s="39"/>
      <x:c r="D667" s="39"/>
      <x:c r="E667" s="39"/>
      <x:c r="F667" s="39"/>
      <x:c r="G667" s="39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</x:row>
    <x:row r="668">
      <x:c r="A668" s="39"/>
      <x:c r="B668" s="39"/>
      <x:c r="C668" s="39"/>
      <x:c r="D668" s="39"/>
      <x:c r="E668" s="39"/>
      <x:c r="F668" s="39"/>
      <x:c r="G668" s="39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</x:row>
    <x:row r="669">
      <x:c r="A669" s="39"/>
      <x:c r="B669" s="39"/>
      <x:c r="C669" s="39"/>
      <x:c r="D669" s="39"/>
      <x:c r="E669" s="39"/>
      <x:c r="F669" s="39"/>
      <x:c r="G669" s="39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</x:row>
    <x:row r="670">
      <x:c r="A670" s="39"/>
      <x:c r="B670" s="39"/>
      <x:c r="C670" s="39"/>
      <x:c r="D670" s="39"/>
      <x:c r="E670" s="39"/>
      <x:c r="F670" s="39"/>
      <x:c r="G670" s="39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</x:row>
    <x:row r="671">
      <x:c r="A671" s="39"/>
      <x:c r="B671" s="39"/>
      <x:c r="C671" s="39"/>
      <x:c r="D671" s="39"/>
      <x:c r="E671" s="39"/>
      <x:c r="F671" s="39"/>
      <x:c r="G671" s="39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</x:row>
    <x:row r="672">
      <x:c r="A672" s="39"/>
      <x:c r="B672" s="39"/>
      <x:c r="C672" s="39"/>
      <x:c r="D672" s="39"/>
      <x:c r="E672" s="39"/>
      <x:c r="F672" s="39"/>
      <x:c r="G672" s="39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</x:row>
    <x:row r="673">
      <x:c r="A673" s="39"/>
      <x:c r="B673" s="39"/>
      <x:c r="C673" s="39"/>
      <x:c r="D673" s="39"/>
      <x:c r="E673" s="39"/>
      <x:c r="F673" s="39"/>
      <x:c r="G673" s="39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</x:row>
    <x:row r="674">
      <x:c r="A674" s="39"/>
      <x:c r="B674" s="39"/>
      <x:c r="C674" s="39"/>
      <x:c r="D674" s="39"/>
      <x:c r="E674" s="39"/>
      <x:c r="F674" s="39"/>
      <x:c r="G674" s="39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</x:row>
    <x:row r="675">
      <x:c r="A675" s="39"/>
      <x:c r="B675" s="39"/>
      <x:c r="C675" s="39"/>
      <x:c r="D675" s="39"/>
      <x:c r="E675" s="39"/>
      <x:c r="F675" s="39"/>
      <x:c r="G675" s="39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</x:row>
    <x:row r="676">
      <x:c r="A676" s="39"/>
      <x:c r="B676" s="39"/>
      <x:c r="C676" s="39"/>
      <x:c r="D676" s="39"/>
      <x:c r="E676" s="39"/>
      <x:c r="F676" s="39"/>
      <x:c r="G676" s="39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</x:row>
    <x:row r="677">
      <x:c r="A677" s="39"/>
      <x:c r="B677" s="39"/>
      <x:c r="C677" s="39"/>
      <x:c r="D677" s="39"/>
      <x:c r="E677" s="39"/>
      <x:c r="F677" s="39"/>
      <x:c r="G677" s="39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</x:row>
    <x:row r="678">
      <x:c r="A678" s="39"/>
      <x:c r="B678" s="39"/>
      <x:c r="C678" s="39"/>
      <x:c r="D678" s="39"/>
      <x:c r="E678" s="39"/>
      <x:c r="F678" s="39"/>
      <x:c r="G678" s="39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</x:row>
    <x:row r="679">
      <x:c r="A679" s="39"/>
      <x:c r="B679" s="39"/>
      <x:c r="C679" s="39"/>
      <x:c r="D679" s="39"/>
      <x:c r="E679" s="39"/>
      <x:c r="F679" s="39"/>
      <x:c r="G679" s="39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</x:row>
    <x:row r="680">
      <x:c r="A680" s="39"/>
      <x:c r="B680" s="39"/>
      <x:c r="C680" s="39"/>
      <x:c r="D680" s="39"/>
      <x:c r="E680" s="39"/>
      <x:c r="F680" s="39"/>
      <x:c r="G680" s="39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</x:row>
    <x:row r="681">
      <x:c r="A681" s="39"/>
      <x:c r="B681" s="39"/>
      <x:c r="C681" s="39"/>
      <x:c r="D681" s="39"/>
      <x:c r="E681" s="39"/>
      <x:c r="F681" s="39"/>
      <x:c r="G681" s="39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</x:row>
    <x:row r="682">
      <x:c r="A682" s="39"/>
      <x:c r="B682" s="39"/>
      <x:c r="C682" s="39"/>
      <x:c r="D682" s="39"/>
      <x:c r="E682" s="39"/>
      <x:c r="F682" s="39"/>
      <x:c r="G682" s="39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</x:row>
    <x:row r="683">
      <x:c r="A683" s="39"/>
      <x:c r="B683" s="39"/>
      <x:c r="C683" s="39"/>
      <x:c r="D683" s="39"/>
      <x:c r="E683" s="39"/>
      <x:c r="F683" s="39"/>
      <x:c r="G683" s="39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</x:row>
    <x:row r="684">
      <x:c r="A684" s="39"/>
      <x:c r="B684" s="39"/>
      <x:c r="C684" s="39"/>
      <x:c r="D684" s="39"/>
      <x:c r="E684" s="39"/>
      <x:c r="F684" s="39"/>
      <x:c r="G684" s="39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</x:row>
    <x:row r="685">
      <x:c r="A685" s="39"/>
      <x:c r="B685" s="39"/>
      <x:c r="C685" s="39"/>
      <x:c r="D685" s="39"/>
      <x:c r="E685" s="39"/>
      <x:c r="F685" s="39"/>
      <x:c r="G685" s="39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</x:row>
    <x:row r="686">
      <x:c r="A686" s="39"/>
      <x:c r="B686" s="39"/>
      <x:c r="C686" s="39"/>
      <x:c r="D686" s="39"/>
      <x:c r="E686" s="39"/>
      <x:c r="F686" s="39"/>
      <x:c r="G686" s="39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</x:row>
    <x:row r="687">
      <x:c r="A687" s="39"/>
      <x:c r="B687" s="39"/>
      <x:c r="C687" s="39"/>
      <x:c r="D687" s="39"/>
      <x:c r="E687" s="39"/>
      <x:c r="F687" s="39"/>
      <x:c r="G687" s="39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</x:row>
    <x:row r="688">
      <x:c r="A688" s="39"/>
      <x:c r="B688" s="39"/>
      <x:c r="C688" s="39"/>
      <x:c r="D688" s="39"/>
      <x:c r="E688" s="39"/>
      <x:c r="F688" s="39"/>
      <x:c r="G688" s="39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</x:row>
    <x:row r="689">
      <x:c r="A689" s="39"/>
      <x:c r="B689" s="39"/>
      <x:c r="C689" s="39"/>
      <x:c r="D689" s="39"/>
      <x:c r="E689" s="39"/>
      <x:c r="F689" s="39"/>
      <x:c r="G689" s="39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</x:row>
    <x:row r="690">
      <x:c r="A690" s="39"/>
      <x:c r="B690" s="39"/>
      <x:c r="C690" s="39"/>
      <x:c r="D690" s="39"/>
      <x:c r="E690" s="39"/>
      <x:c r="F690" s="39"/>
      <x:c r="G690" s="39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</x:row>
    <x:row r="691">
      <x:c r="A691" s="39"/>
      <x:c r="B691" s="39"/>
      <x:c r="C691" s="39"/>
      <x:c r="D691" s="39"/>
      <x:c r="E691" s="39"/>
      <x:c r="F691" s="39"/>
      <x:c r="G691" s="39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</x:row>
    <x:row r="692">
      <x:c r="A692" s="39"/>
      <x:c r="B692" s="39"/>
      <x:c r="C692" s="39"/>
      <x:c r="D692" s="39"/>
      <x:c r="E692" s="39"/>
      <x:c r="F692" s="39"/>
      <x:c r="G692" s="39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</x:row>
    <x:row r="693">
      <x:c r="A693" s="39"/>
      <x:c r="B693" s="39"/>
      <x:c r="C693" s="39"/>
      <x:c r="D693" s="39"/>
      <x:c r="E693" s="39"/>
      <x:c r="F693" s="39"/>
      <x:c r="G693" s="39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</x:row>
    <x:row r="694">
      <x:c r="A694" s="39"/>
      <x:c r="B694" s="39"/>
      <x:c r="C694" s="39"/>
      <x:c r="D694" s="39"/>
      <x:c r="E694" s="39"/>
      <x:c r="F694" s="39"/>
      <x:c r="G694" s="39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</x:row>
    <x:row r="695">
      <x:c r="A695" s="39"/>
      <x:c r="B695" s="39"/>
      <x:c r="C695" s="39"/>
      <x:c r="D695" s="39"/>
      <x:c r="E695" s="39"/>
      <x:c r="F695" s="39"/>
      <x:c r="G695" s="39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</x:row>
    <x:row r="696">
      <x:c r="A696" s="39"/>
      <x:c r="B696" s="39"/>
      <x:c r="C696" s="39"/>
      <x:c r="D696" s="39"/>
      <x:c r="E696" s="39"/>
      <x:c r="F696" s="39"/>
      <x:c r="G696" s="39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</x:row>
    <x:row r="697">
      <x:c r="A697" s="39"/>
      <x:c r="B697" s="39"/>
      <x:c r="C697" s="39"/>
      <x:c r="D697" s="39"/>
      <x:c r="E697" s="39"/>
      <x:c r="F697" s="39"/>
      <x:c r="G697" s="39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</x:row>
    <x:row r="698">
      <x:c r="A698" s="39"/>
      <x:c r="B698" s="39"/>
      <x:c r="C698" s="39"/>
      <x:c r="D698" s="39"/>
      <x:c r="E698" s="39"/>
      <x:c r="F698" s="39"/>
      <x:c r="G698" s="39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</x:row>
    <x:row r="699">
      <x:c r="A699" s="39"/>
      <x:c r="B699" s="39"/>
      <x:c r="C699" s="39"/>
      <x:c r="D699" s="39"/>
      <x:c r="E699" s="39"/>
      <x:c r="F699" s="39"/>
      <x:c r="G699" s="39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</x:row>
    <x:row r="700">
      <x:c r="A700" s="39"/>
      <x:c r="B700" s="39"/>
      <x:c r="C700" s="39"/>
      <x:c r="D700" s="39"/>
      <x:c r="E700" s="39"/>
      <x:c r="F700" s="39"/>
      <x:c r="G700" s="39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</x:row>
    <x:row r="701">
      <x:c r="A701" s="39"/>
      <x:c r="B701" s="39"/>
      <x:c r="C701" s="39"/>
      <x:c r="D701" s="39"/>
      <x:c r="E701" s="39"/>
      <x:c r="F701" s="39"/>
      <x:c r="G701" s="39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</x:row>
    <x:row r="702">
      <x:c r="A702" s="39"/>
      <x:c r="B702" s="39"/>
      <x:c r="C702" s="39"/>
      <x:c r="D702" s="39"/>
      <x:c r="E702" s="39"/>
      <x:c r="F702" s="39"/>
      <x:c r="G702" s="39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</x:row>
    <x:row r="703">
      <x:c r="A703" s="39"/>
      <x:c r="B703" s="39"/>
      <x:c r="C703" s="39"/>
      <x:c r="D703" s="39"/>
      <x:c r="E703" s="39"/>
      <x:c r="F703" s="39"/>
      <x:c r="G703" s="39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</x:row>
    <x:row r="704">
      <x:c r="A704" s="39"/>
      <x:c r="B704" s="39"/>
      <x:c r="C704" s="39"/>
      <x:c r="D704" s="39"/>
      <x:c r="E704" s="39"/>
      <x:c r="F704" s="39"/>
      <x:c r="G704" s="39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</x:row>
    <x:row r="705">
      <x:c r="A705" s="39"/>
      <x:c r="B705" s="39"/>
      <x:c r="C705" s="39"/>
      <x:c r="D705" s="39"/>
      <x:c r="E705" s="39"/>
      <x:c r="F705" s="39"/>
      <x:c r="G705" s="39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</x:row>
    <x:row r="706">
      <x:c r="A706" s="39"/>
      <x:c r="B706" s="39"/>
      <x:c r="C706" s="39"/>
      <x:c r="D706" s="39"/>
      <x:c r="E706" s="39"/>
      <x:c r="F706" s="39"/>
      <x:c r="G706" s="39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</x:row>
    <x:row r="707">
      <x:c r="A707" s="39"/>
      <x:c r="B707" s="39"/>
      <x:c r="C707" s="39"/>
      <x:c r="D707" s="39"/>
      <x:c r="E707" s="39"/>
      <x:c r="F707" s="39"/>
      <x:c r="G707" s="39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</x:row>
    <x:row r="708">
      <x:c r="A708" s="39"/>
      <x:c r="B708" s="39"/>
      <x:c r="C708" s="39"/>
      <x:c r="D708" s="39"/>
      <x:c r="E708" s="39"/>
      <x:c r="F708" s="39"/>
      <x:c r="G708" s="39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</x:row>
    <x:row r="709">
      <x:c r="A709" s="39"/>
      <x:c r="B709" s="39"/>
      <x:c r="C709" s="39"/>
      <x:c r="D709" s="39"/>
      <x:c r="E709" s="39"/>
      <x:c r="F709" s="39"/>
      <x:c r="G709" s="39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</x:row>
    <x:row r="710">
      <x:c r="A710" s="39"/>
      <x:c r="B710" s="39"/>
      <x:c r="C710" s="39"/>
      <x:c r="D710" s="39"/>
      <x:c r="E710" s="39"/>
      <x:c r="F710" s="39"/>
      <x:c r="G710" s="39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</x:row>
    <x:row r="711">
      <x:c r="A711" s="39"/>
      <x:c r="B711" s="39"/>
      <x:c r="C711" s="39"/>
      <x:c r="D711" s="39"/>
      <x:c r="E711" s="39"/>
      <x:c r="F711" s="39"/>
      <x:c r="G711" s="39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</x:row>
    <x:row r="712">
      <x:c r="A712" s="39"/>
      <x:c r="B712" s="39"/>
      <x:c r="C712" s="39"/>
      <x:c r="D712" s="39"/>
      <x:c r="E712" s="39"/>
      <x:c r="F712" s="39"/>
      <x:c r="G712" s="39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</x:row>
    <x:row r="713">
      <x:c r="A713" s="39"/>
      <x:c r="B713" s="39"/>
      <x:c r="C713" s="39"/>
      <x:c r="D713" s="39"/>
      <x:c r="E713" s="39"/>
      <x:c r="F713" s="39"/>
      <x:c r="G713" s="39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</x:row>
    <x:row r="714">
      <x:c r="A714" s="39"/>
      <x:c r="B714" s="39"/>
      <x:c r="C714" s="39"/>
      <x:c r="D714" s="39"/>
      <x:c r="E714" s="39"/>
      <x:c r="F714" s="39"/>
      <x:c r="G714" s="39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</x:row>
    <x:row r="715">
      <x:c r="A715" s="39"/>
      <x:c r="B715" s="39"/>
      <x:c r="C715" s="39"/>
      <x:c r="D715" s="39"/>
      <x:c r="E715" s="39"/>
      <x:c r="F715" s="39"/>
      <x:c r="G715" s="39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</x:row>
    <x:row r="716">
      <x:c r="A716" s="39"/>
      <x:c r="B716" s="39"/>
      <x:c r="C716" s="39"/>
      <x:c r="D716" s="39"/>
      <x:c r="E716" s="39"/>
      <x:c r="F716" s="39"/>
      <x:c r="G716" s="39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</x:row>
    <x:row r="717">
      <x:c r="A717" s="39"/>
      <x:c r="B717" s="39"/>
      <x:c r="C717" s="39"/>
      <x:c r="D717" s="39"/>
      <x:c r="E717" s="39"/>
      <x:c r="F717" s="39"/>
      <x:c r="G717" s="39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</x:row>
    <x:row r="718">
      <x:c r="A718" s="39"/>
      <x:c r="B718" s="39"/>
      <x:c r="C718" s="39"/>
      <x:c r="D718" s="39"/>
      <x:c r="E718" s="39"/>
      <x:c r="F718" s="39"/>
      <x:c r="G718" s="39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</x:row>
    <x:row r="719">
      <x:c r="A719" s="39"/>
      <x:c r="B719" s="39"/>
      <x:c r="C719" s="39"/>
      <x:c r="D719" s="39"/>
      <x:c r="E719" s="39"/>
      <x:c r="F719" s="39"/>
      <x:c r="G719" s="39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</x:row>
    <x:row r="720">
      <x:c r="A720" s="39"/>
      <x:c r="B720" s="39"/>
      <x:c r="C720" s="39"/>
      <x:c r="D720" s="39"/>
      <x:c r="E720" s="39"/>
      <x:c r="F720" s="39"/>
      <x:c r="G720" s="39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</x:row>
    <x:row r="721">
      <x:c r="A721" s="39"/>
      <x:c r="B721" s="39"/>
      <x:c r="C721" s="39"/>
      <x:c r="D721" s="39"/>
      <x:c r="E721" s="39"/>
      <x:c r="F721" s="39"/>
      <x:c r="G721" s="39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</x:row>
    <x:row r="722">
      <x:c r="A722" s="39"/>
      <x:c r="B722" s="39"/>
      <x:c r="C722" s="39"/>
      <x:c r="D722" s="39"/>
      <x:c r="E722" s="39"/>
      <x:c r="F722" s="39"/>
      <x:c r="G722" s="39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</x:row>
    <x:row r="723">
      <x:c r="A723" s="39"/>
      <x:c r="B723" s="39"/>
      <x:c r="C723" s="39"/>
      <x:c r="D723" s="39"/>
      <x:c r="E723" s="39"/>
      <x:c r="F723" s="39"/>
      <x:c r="G723" s="39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</x:row>
    <x:row r="724">
      <x:c r="A724" s="39"/>
      <x:c r="B724" s="39"/>
      <x:c r="C724" s="39"/>
      <x:c r="D724" s="39"/>
      <x:c r="E724" s="39"/>
      <x:c r="F724" s="39"/>
      <x:c r="G724" s="39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</x:row>
    <x:row r="725">
      <x:c r="A725" s="39"/>
      <x:c r="B725" s="39"/>
      <x:c r="C725" s="39"/>
      <x:c r="D725" s="39"/>
      <x:c r="E725" s="39"/>
      <x:c r="F725" s="39"/>
      <x:c r="G725" s="39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</x:row>
    <x:row r="726">
      <x:c r="A726" s="39"/>
      <x:c r="B726" s="39"/>
      <x:c r="C726" s="39"/>
      <x:c r="D726" s="39"/>
      <x:c r="E726" s="39"/>
      <x:c r="F726" s="39"/>
      <x:c r="G726" s="39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</x:row>
    <x:row r="727">
      <x:c r="A727" s="39"/>
      <x:c r="B727" s="39"/>
      <x:c r="C727" s="39"/>
      <x:c r="D727" s="39"/>
      <x:c r="E727" s="39"/>
      <x:c r="F727" s="39"/>
      <x:c r="G727" s="39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</x:row>
    <x:row r="728">
      <x:c r="A728" s="39"/>
      <x:c r="B728" s="39"/>
      <x:c r="C728" s="39"/>
      <x:c r="D728" s="39"/>
      <x:c r="E728" s="39"/>
      <x:c r="F728" s="39"/>
      <x:c r="G728" s="39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</x:row>
    <x:row r="729">
      <x:c r="A729" s="39"/>
      <x:c r="B729" s="39"/>
      <x:c r="C729" s="39"/>
      <x:c r="D729" s="39"/>
      <x:c r="E729" s="39"/>
      <x:c r="F729" s="39"/>
      <x:c r="G729" s="39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</x:row>
    <x:row r="730">
      <x:c r="A730" s="39"/>
      <x:c r="B730" s="39"/>
      <x:c r="C730" s="39"/>
      <x:c r="D730" s="39"/>
      <x:c r="E730" s="39"/>
      <x:c r="F730" s="39"/>
      <x:c r="G730" s="39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</x:row>
    <x:row r="731">
      <x:c r="A731" s="39"/>
      <x:c r="B731" s="39"/>
      <x:c r="C731" s="39"/>
      <x:c r="D731" s="39"/>
      <x:c r="E731" s="39"/>
      <x:c r="F731" s="39"/>
      <x:c r="G731" s="39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</x:row>
    <x:row r="732">
      <x:c r="A732" s="39"/>
      <x:c r="B732" s="39"/>
      <x:c r="C732" s="39"/>
      <x:c r="D732" s="39"/>
      <x:c r="E732" s="39"/>
      <x:c r="F732" s="39"/>
      <x:c r="G732" s="39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</x:row>
    <x:row r="733">
      <x:c r="A733" s="39"/>
      <x:c r="B733" s="39"/>
      <x:c r="C733" s="39"/>
      <x:c r="D733" s="39"/>
      <x:c r="E733" s="39"/>
      <x:c r="F733" s="39"/>
      <x:c r="G733" s="39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</x:row>
    <x:row r="734">
      <x:c r="A734" s="39"/>
      <x:c r="B734" s="39"/>
      <x:c r="C734" s="39"/>
      <x:c r="D734" s="39"/>
      <x:c r="E734" s="39"/>
      <x:c r="F734" s="39"/>
      <x:c r="G734" s="39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</x:row>
    <x:row r="735">
      <x:c r="A735" s="39"/>
      <x:c r="B735" s="39"/>
      <x:c r="C735" s="39"/>
      <x:c r="D735" s="39"/>
      <x:c r="E735" s="39"/>
      <x:c r="F735" s="39"/>
      <x:c r="G735" s="39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</x:row>
    <x:row r="736">
      <x:c r="A736" s="39"/>
      <x:c r="B736" s="39"/>
      <x:c r="C736" s="39"/>
      <x:c r="D736" s="39"/>
      <x:c r="E736" s="39"/>
      <x:c r="F736" s="39"/>
      <x:c r="G736" s="39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</x:row>
    <x:row r="737">
      <x:c r="A737" s="39"/>
      <x:c r="B737" s="39"/>
      <x:c r="C737" s="39"/>
      <x:c r="D737" s="39"/>
      <x:c r="E737" s="39"/>
      <x:c r="F737" s="39"/>
      <x:c r="G737" s="39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</x:row>
    <x:row r="738">
      <x:c r="A738" s="39"/>
      <x:c r="B738" s="39"/>
      <x:c r="C738" s="39"/>
      <x:c r="D738" s="39"/>
      <x:c r="E738" s="39"/>
      <x:c r="F738" s="39"/>
      <x:c r="G738" s="39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</x:row>
    <x:row r="739">
      <x:c r="A739" s="39"/>
      <x:c r="B739" s="39"/>
      <x:c r="C739" s="39"/>
      <x:c r="D739" s="39"/>
      <x:c r="E739" s="39"/>
      <x:c r="F739" s="39"/>
      <x:c r="G739" s="39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</x:row>
    <x:row r="740">
      <x:c r="A740" s="39"/>
      <x:c r="B740" s="39"/>
      <x:c r="C740" s="39"/>
      <x:c r="D740" s="39"/>
      <x:c r="E740" s="39"/>
      <x:c r="F740" s="39"/>
      <x:c r="G740" s="39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</x:row>
    <x:row r="741">
      <x:c r="A741" s="39"/>
      <x:c r="B741" s="39"/>
      <x:c r="C741" s="39"/>
      <x:c r="D741" s="39"/>
      <x:c r="E741" s="39"/>
      <x:c r="F741" s="39"/>
      <x:c r="G741" s="39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</x:row>
    <x:row r="742">
      <x:c r="A742" s="39"/>
      <x:c r="B742" s="39"/>
      <x:c r="C742" s="39"/>
      <x:c r="D742" s="39"/>
      <x:c r="E742" s="39"/>
      <x:c r="F742" s="39"/>
      <x:c r="G742" s="39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</x:row>
    <x:row r="743">
      <x:c r="A743" s="39"/>
      <x:c r="B743" s="39"/>
      <x:c r="C743" s="39"/>
      <x:c r="D743" s="39"/>
      <x:c r="E743" s="39"/>
      <x:c r="F743" s="39"/>
      <x:c r="G743" s="39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</x:row>
    <x:row r="744">
      <x:c r="A744" s="39"/>
      <x:c r="B744" s="39"/>
      <x:c r="C744" s="39"/>
      <x:c r="D744" s="39"/>
      <x:c r="E744" s="39"/>
      <x:c r="F744" s="39"/>
      <x:c r="G744" s="39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</x:row>
    <x:row r="745">
      <x:c r="A745" s="39"/>
      <x:c r="B745" s="39"/>
      <x:c r="C745" s="39"/>
      <x:c r="D745" s="39"/>
      <x:c r="E745" s="39"/>
      <x:c r="F745" s="39"/>
      <x:c r="G745" s="39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</x:row>
    <x:row r="746">
      <x:c r="A746" s="39"/>
      <x:c r="B746" s="39"/>
      <x:c r="C746" s="39"/>
      <x:c r="D746" s="39"/>
      <x:c r="E746" s="39"/>
      <x:c r="F746" s="39"/>
      <x:c r="G746" s="39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</x:row>
    <x:row r="747">
      <x:c r="A747" s="39"/>
      <x:c r="B747" s="39"/>
      <x:c r="C747" s="39"/>
      <x:c r="D747" s="39"/>
      <x:c r="E747" s="39"/>
      <x:c r="F747" s="39"/>
      <x:c r="G747" s="39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</x:row>
    <x:row r="748">
      <x:c r="A748" s="39"/>
      <x:c r="B748" s="39"/>
      <x:c r="C748" s="39"/>
      <x:c r="D748" s="39"/>
      <x:c r="E748" s="39"/>
      <x:c r="F748" s="39"/>
      <x:c r="G748" s="39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</x:row>
    <x:row r="749">
      <x:c r="A749" s="39"/>
      <x:c r="B749" s="39"/>
      <x:c r="C749" s="39"/>
      <x:c r="D749" s="39"/>
      <x:c r="E749" s="39"/>
      <x:c r="F749" s="39"/>
      <x:c r="G749" s="39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</x:row>
    <x:row r="750">
      <x:c r="A750" s="39"/>
      <x:c r="B750" s="39"/>
      <x:c r="C750" s="39"/>
      <x:c r="D750" s="39"/>
      <x:c r="E750" s="39"/>
      <x:c r="F750" s="39"/>
      <x:c r="G750" s="39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</x:row>
    <x:row r="751">
      <x:c r="A751" s="39"/>
      <x:c r="B751" s="39"/>
      <x:c r="C751" s="39"/>
      <x:c r="D751" s="39"/>
      <x:c r="E751" s="39"/>
      <x:c r="F751" s="39"/>
      <x:c r="G751" s="39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</x:row>
    <x:row r="752">
      <x:c r="A752" s="39"/>
      <x:c r="B752" s="39"/>
      <x:c r="C752" s="39"/>
      <x:c r="D752" s="39"/>
      <x:c r="E752" s="39"/>
      <x:c r="F752" s="39"/>
      <x:c r="G752" s="39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</x:row>
    <x:row r="753">
      <x:c r="A753" s="39"/>
      <x:c r="B753" s="39"/>
      <x:c r="C753" s="39"/>
      <x:c r="D753" s="39"/>
      <x:c r="E753" s="39"/>
      <x:c r="F753" s="39"/>
      <x:c r="G753" s="39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</x:row>
    <x:row r="754">
      <x:c r="A754" s="39"/>
      <x:c r="B754" s="39"/>
      <x:c r="C754" s="39"/>
      <x:c r="D754" s="39"/>
      <x:c r="E754" s="39"/>
      <x:c r="F754" s="39"/>
      <x:c r="G754" s="39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</x:row>
    <x:row r="755">
      <x:c r="A755" s="39"/>
      <x:c r="B755" s="39"/>
      <x:c r="C755" s="39"/>
      <x:c r="D755" s="39"/>
      <x:c r="E755" s="39"/>
      <x:c r="F755" s="39"/>
      <x:c r="G755" s="39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</x:row>
    <x:row r="756">
      <x:c r="A756" s="39"/>
      <x:c r="B756" s="39"/>
      <x:c r="C756" s="39"/>
      <x:c r="D756" s="39"/>
      <x:c r="E756" s="39"/>
      <x:c r="F756" s="39"/>
      <x:c r="G756" s="39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</x:row>
    <x:row r="757">
      <x:c r="A757" s="39"/>
      <x:c r="B757" s="39"/>
      <x:c r="C757" s="39"/>
      <x:c r="D757" s="39"/>
      <x:c r="E757" s="39"/>
      <x:c r="F757" s="39"/>
      <x:c r="G757" s="39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</x:row>
    <x:row r="758">
      <x:c r="A758" s="39"/>
      <x:c r="B758" s="39"/>
      <x:c r="C758" s="39"/>
      <x:c r="D758" s="39"/>
      <x:c r="E758" s="39"/>
      <x:c r="F758" s="39"/>
      <x:c r="G758" s="39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</x:row>
    <x:row r="759">
      <x:c r="A759" s="39"/>
      <x:c r="B759" s="39"/>
      <x:c r="C759" s="39"/>
      <x:c r="D759" s="39"/>
      <x:c r="E759" s="39"/>
      <x:c r="F759" s="39"/>
      <x:c r="G759" s="39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</x:row>
    <x:row r="760">
      <x:c r="A760" s="39"/>
      <x:c r="B760" s="39"/>
      <x:c r="C760" s="39"/>
      <x:c r="D760" s="39"/>
      <x:c r="E760" s="39"/>
      <x:c r="F760" s="39"/>
      <x:c r="G760" s="39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</x:row>
    <x:row r="761">
      <x:c r="A761" s="39"/>
      <x:c r="B761" s="39"/>
      <x:c r="C761" s="39"/>
      <x:c r="D761" s="39"/>
      <x:c r="E761" s="39"/>
      <x:c r="F761" s="39"/>
      <x:c r="G761" s="39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</x:row>
    <x:row r="762">
      <x:c r="A762" s="39"/>
      <x:c r="B762" s="39"/>
      <x:c r="C762" s="39"/>
      <x:c r="D762" s="39"/>
      <x:c r="E762" s="39"/>
      <x:c r="F762" s="39"/>
      <x:c r="G762" s="39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</x:row>
    <x:row r="763">
      <x:c r="A763" s="39"/>
      <x:c r="B763" s="39"/>
      <x:c r="C763" s="39"/>
      <x:c r="D763" s="39"/>
      <x:c r="E763" s="39"/>
      <x:c r="F763" s="39"/>
      <x:c r="G763" s="39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</x:row>
    <x:row r="764">
      <x:c r="A764" s="39"/>
      <x:c r="B764" s="39"/>
      <x:c r="C764" s="39"/>
      <x:c r="D764" s="39"/>
      <x:c r="E764" s="39"/>
      <x:c r="F764" s="39"/>
      <x:c r="G764" s="39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</x:row>
    <x:row r="765">
      <x:c r="A765" s="39"/>
      <x:c r="B765" s="39"/>
      <x:c r="C765" s="39"/>
      <x:c r="D765" s="39"/>
      <x:c r="E765" s="39"/>
      <x:c r="F765" s="39"/>
      <x:c r="G765" s="39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</x:row>
    <x:row r="766">
      <x:c r="A766" s="39"/>
      <x:c r="B766" s="39"/>
      <x:c r="C766" s="39"/>
      <x:c r="D766" s="39"/>
      <x:c r="E766" s="39"/>
      <x:c r="F766" s="39"/>
      <x:c r="G766" s="39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</x:row>
    <x:row r="767">
      <x:c r="A767" s="39"/>
      <x:c r="B767" s="39"/>
      <x:c r="C767" s="39"/>
      <x:c r="D767" s="39"/>
      <x:c r="E767" s="39"/>
      <x:c r="F767" s="39"/>
      <x:c r="G767" s="39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</x:row>
    <x:row r="768">
      <x:c r="A768" s="39"/>
      <x:c r="B768" s="39"/>
      <x:c r="C768" s="39"/>
      <x:c r="D768" s="39"/>
      <x:c r="E768" s="39"/>
      <x:c r="F768" s="39"/>
      <x:c r="G768" s="39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</x:row>
    <x:row r="769">
      <x:c r="A769" s="39"/>
      <x:c r="B769" s="39"/>
      <x:c r="C769" s="39"/>
      <x:c r="D769" s="39"/>
      <x:c r="E769" s="39"/>
      <x:c r="F769" s="39"/>
      <x:c r="G769" s="39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</x:row>
    <x:row r="770">
      <x:c r="A770" s="39"/>
      <x:c r="B770" s="39"/>
      <x:c r="C770" s="39"/>
      <x:c r="D770" s="39"/>
      <x:c r="E770" s="39"/>
      <x:c r="F770" s="39"/>
      <x:c r="G770" s="39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</x:row>
    <x:row r="771">
      <x:c r="A771" s="39"/>
      <x:c r="B771" s="39"/>
      <x:c r="C771" s="39"/>
      <x:c r="D771" s="39"/>
      <x:c r="E771" s="39"/>
      <x:c r="F771" s="39"/>
      <x:c r="G771" s="39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</x:row>
    <x:row r="772">
      <x:c r="A772" s="39"/>
      <x:c r="B772" s="39"/>
      <x:c r="C772" s="39"/>
      <x:c r="D772" s="39"/>
      <x:c r="E772" s="39"/>
      <x:c r="F772" s="39"/>
      <x:c r="G772" s="39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</x:row>
    <x:row r="773">
      <x:c r="A773" s="39"/>
      <x:c r="B773" s="39"/>
      <x:c r="C773" s="39"/>
      <x:c r="D773" s="39"/>
      <x:c r="E773" s="39"/>
      <x:c r="F773" s="39"/>
      <x:c r="G773" s="39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</x:row>
    <x:row r="774">
      <x:c r="A774" s="39"/>
      <x:c r="B774" s="39"/>
      <x:c r="C774" s="39"/>
      <x:c r="D774" s="39"/>
      <x:c r="E774" s="39"/>
      <x:c r="F774" s="39"/>
      <x:c r="G774" s="39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</x:row>
    <x:row r="775">
      <x:c r="A775" s="39"/>
      <x:c r="B775" s="39"/>
      <x:c r="C775" s="39"/>
      <x:c r="D775" s="39"/>
      <x:c r="E775" s="39"/>
      <x:c r="F775" s="39"/>
      <x:c r="G775" s="39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</x:row>
    <x:row r="776">
      <x:c r="A776" s="39"/>
      <x:c r="B776" s="39"/>
      <x:c r="C776" s="39"/>
      <x:c r="D776" s="39"/>
      <x:c r="E776" s="39"/>
      <x:c r="F776" s="39"/>
      <x:c r="G776" s="39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</x:row>
    <x:row r="777">
      <x:c r="A777" s="39"/>
      <x:c r="B777" s="39"/>
      <x:c r="C777" s="39"/>
      <x:c r="D777" s="39"/>
      <x:c r="E777" s="39"/>
      <x:c r="F777" s="39"/>
      <x:c r="G777" s="39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</x:row>
    <x:row r="778">
      <x:c r="A778" s="39"/>
      <x:c r="B778" s="39"/>
      <x:c r="C778" s="39"/>
      <x:c r="D778" s="39"/>
      <x:c r="E778" s="39"/>
      <x:c r="F778" s="39"/>
      <x:c r="G778" s="39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</x:row>
    <x:row r="779">
      <x:c r="A779" s="39"/>
      <x:c r="B779" s="39"/>
      <x:c r="C779" s="39"/>
      <x:c r="D779" s="39"/>
      <x:c r="E779" s="39"/>
      <x:c r="F779" s="39"/>
      <x:c r="G779" s="39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</x:row>
    <x:row r="780">
      <x:c r="A780" s="39"/>
      <x:c r="B780" s="39"/>
      <x:c r="C780" s="39"/>
      <x:c r="D780" s="39"/>
      <x:c r="E780" s="39"/>
      <x:c r="F780" s="39"/>
      <x:c r="G780" s="39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</x:row>
    <x:row r="781">
      <x:c r="A781" s="39"/>
      <x:c r="B781" s="39"/>
      <x:c r="C781" s="39"/>
      <x:c r="D781" s="39"/>
      <x:c r="E781" s="39"/>
      <x:c r="F781" s="39"/>
      <x:c r="G781" s="39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</x:row>
    <x:row r="782">
      <x:c r="A782" s="39"/>
      <x:c r="B782" s="39"/>
      <x:c r="C782" s="39"/>
      <x:c r="D782" s="39"/>
      <x:c r="E782" s="39"/>
      <x:c r="F782" s="39"/>
      <x:c r="G782" s="39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</x:row>
    <x:row r="783">
      <x:c r="A783" s="39"/>
      <x:c r="B783" s="39"/>
      <x:c r="C783" s="39"/>
      <x:c r="D783" s="39"/>
      <x:c r="E783" s="39"/>
      <x:c r="F783" s="39"/>
      <x:c r="G783" s="39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</x:row>
    <x:row r="784">
      <x:c r="A784" s="39"/>
      <x:c r="B784" s="39"/>
      <x:c r="C784" s="39"/>
      <x:c r="D784" s="39"/>
      <x:c r="E784" s="39"/>
      <x:c r="F784" s="39"/>
      <x:c r="G784" s="39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</x:row>
    <x:row r="785">
      <x:c r="A785" s="39"/>
      <x:c r="B785" s="39"/>
      <x:c r="C785" s="39"/>
      <x:c r="D785" s="39"/>
      <x:c r="E785" s="39"/>
      <x:c r="F785" s="39"/>
      <x:c r="G785" s="39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</x:row>
    <x:row r="786">
      <x:c r="A786" s="39"/>
      <x:c r="B786" s="39"/>
      <x:c r="C786" s="39"/>
      <x:c r="D786" s="39"/>
      <x:c r="E786" s="39"/>
      <x:c r="F786" s="39"/>
      <x:c r="G786" s="39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</x:row>
    <x:row r="787">
      <x:c r="A787" s="39"/>
      <x:c r="B787" s="39"/>
      <x:c r="C787" s="39"/>
      <x:c r="D787" s="39"/>
      <x:c r="E787" s="39"/>
      <x:c r="F787" s="39"/>
      <x:c r="G787" s="39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</x:row>
    <x:row r="788">
      <x:c r="A788" s="39"/>
      <x:c r="B788" s="39"/>
      <x:c r="C788" s="39"/>
      <x:c r="D788" s="39"/>
      <x:c r="E788" s="39"/>
      <x:c r="F788" s="39"/>
      <x:c r="G788" s="39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</x:row>
    <x:row r="789">
      <x:c r="A789" s="39"/>
      <x:c r="B789" s="39"/>
      <x:c r="C789" s="39"/>
      <x:c r="D789" s="39"/>
      <x:c r="E789" s="39"/>
      <x:c r="F789" s="39"/>
      <x:c r="G789" s="39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</x:row>
    <x:row r="790">
      <x:c r="A790" s="39"/>
      <x:c r="B790" s="39"/>
      <x:c r="C790" s="39"/>
      <x:c r="D790" s="39"/>
      <x:c r="E790" s="39"/>
      <x:c r="F790" s="39"/>
      <x:c r="G790" s="39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</x:row>
    <x:row r="791">
      <x:c r="A791" s="39"/>
      <x:c r="B791" s="39"/>
      <x:c r="C791" s="39"/>
      <x:c r="D791" s="39"/>
      <x:c r="E791" s="39"/>
      <x:c r="F791" s="39"/>
      <x:c r="G791" s="39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</x:row>
    <x:row r="792">
      <x:c r="A792" s="39"/>
      <x:c r="B792" s="39"/>
      <x:c r="C792" s="39"/>
      <x:c r="D792" s="39"/>
      <x:c r="E792" s="39"/>
      <x:c r="F792" s="39"/>
      <x:c r="G792" s="39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</x:row>
    <x:row r="793">
      <x:c r="A793" s="39"/>
      <x:c r="B793" s="39"/>
      <x:c r="C793" s="39"/>
      <x:c r="D793" s="39"/>
      <x:c r="E793" s="39"/>
      <x:c r="F793" s="39"/>
      <x:c r="G793" s="39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</x:row>
    <x:row r="794">
      <x:c r="A794" s="39"/>
      <x:c r="B794" s="39"/>
      <x:c r="C794" s="39"/>
      <x:c r="D794" s="39"/>
      <x:c r="E794" s="39"/>
      <x:c r="F794" s="39"/>
      <x:c r="G794" s="39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</x:row>
    <x:row r="795">
      <x:c r="A795" s="39"/>
      <x:c r="B795" s="39"/>
      <x:c r="C795" s="39"/>
      <x:c r="D795" s="39"/>
      <x:c r="E795" s="39"/>
      <x:c r="F795" s="39"/>
      <x:c r="G795" s="39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</x:row>
    <x:row r="796">
      <x:c r="A796" s="39"/>
      <x:c r="B796" s="39"/>
      <x:c r="C796" s="39"/>
      <x:c r="D796" s="39"/>
      <x:c r="E796" s="39"/>
      <x:c r="F796" s="39"/>
      <x:c r="G796" s="39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</x:row>
    <x:row r="797">
      <x:c r="A797" s="39"/>
      <x:c r="B797" s="39"/>
      <x:c r="C797" s="39"/>
      <x:c r="D797" s="39"/>
      <x:c r="E797" s="39"/>
      <x:c r="F797" s="39"/>
      <x:c r="G797" s="39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</x:row>
    <x:row r="798">
      <x:c r="A798" s="39"/>
      <x:c r="B798" s="39"/>
      <x:c r="C798" s="39"/>
      <x:c r="D798" s="39"/>
      <x:c r="E798" s="39"/>
      <x:c r="F798" s="39"/>
      <x:c r="G798" s="39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</x:row>
    <x:row r="799">
      <x:c r="A799" s="39"/>
      <x:c r="B799" s="39"/>
      <x:c r="C799" s="39"/>
      <x:c r="D799" s="39"/>
      <x:c r="E799" s="39"/>
      <x:c r="F799" s="39"/>
      <x:c r="G799" s="39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</x:row>
    <x:row r="800">
      <x:c r="A800" s="39"/>
      <x:c r="B800" s="39"/>
      <x:c r="C800" s="39"/>
      <x:c r="D800" s="39"/>
      <x:c r="E800" s="39"/>
      <x:c r="F800" s="39"/>
      <x:c r="G800" s="39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</x:row>
    <x:row r="801">
      <x:c r="A801" s="39"/>
      <x:c r="B801" s="39"/>
      <x:c r="C801" s="39"/>
      <x:c r="D801" s="39"/>
      <x:c r="E801" s="39"/>
      <x:c r="F801" s="39"/>
      <x:c r="G801" s="39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</x:row>
    <x:row r="802">
      <x:c r="A802" s="39"/>
      <x:c r="B802" s="39"/>
      <x:c r="C802" s="39"/>
      <x:c r="D802" s="39"/>
      <x:c r="E802" s="39"/>
      <x:c r="F802" s="39"/>
      <x:c r="G802" s="39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</x:row>
    <x:row r="803">
      <x:c r="A803" s="39"/>
      <x:c r="B803" s="39"/>
      <x:c r="C803" s="39"/>
      <x:c r="D803" s="39"/>
      <x:c r="E803" s="39"/>
      <x:c r="F803" s="39"/>
      <x:c r="G803" s="39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</x:row>
    <x:row r="804">
      <x:c r="A804" s="39"/>
      <x:c r="B804" s="39"/>
      <x:c r="C804" s="39"/>
      <x:c r="D804" s="39"/>
      <x:c r="E804" s="39"/>
      <x:c r="F804" s="39"/>
      <x:c r="G804" s="39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</x:row>
    <x:row r="805">
      <x:c r="A805" s="39"/>
      <x:c r="B805" s="39"/>
      <x:c r="C805" s="39"/>
      <x:c r="D805" s="39"/>
      <x:c r="E805" s="39"/>
      <x:c r="F805" s="39"/>
      <x:c r="G805" s="39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</x:row>
    <x:row r="806">
      <x:c r="A806" s="39"/>
      <x:c r="B806" s="39"/>
      <x:c r="C806" s="39"/>
      <x:c r="D806" s="39"/>
      <x:c r="E806" s="39"/>
      <x:c r="F806" s="39"/>
      <x:c r="G806" s="39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</x:row>
    <x:row r="807">
      <x:c r="A807" s="39"/>
      <x:c r="B807" s="39"/>
      <x:c r="C807" s="39"/>
      <x:c r="D807" s="39"/>
      <x:c r="E807" s="39"/>
      <x:c r="F807" s="39"/>
      <x:c r="G807" s="39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</x:row>
    <x:row r="808">
      <x:c r="A808" s="39"/>
      <x:c r="B808" s="39"/>
      <x:c r="C808" s="39"/>
      <x:c r="D808" s="39"/>
      <x:c r="E808" s="39"/>
      <x:c r="F808" s="39"/>
      <x:c r="G808" s="39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</x:row>
    <x:row r="809">
      <x:c r="A809" s="39"/>
      <x:c r="B809" s="39"/>
      <x:c r="C809" s="39"/>
      <x:c r="D809" s="39"/>
      <x:c r="E809" s="39"/>
      <x:c r="F809" s="39"/>
      <x:c r="G809" s="39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</x:row>
    <x:row r="810">
      <x:c r="A810" s="39"/>
      <x:c r="B810" s="39"/>
      <x:c r="C810" s="39"/>
      <x:c r="D810" s="39"/>
      <x:c r="E810" s="39"/>
      <x:c r="F810" s="39"/>
      <x:c r="G810" s="39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</x:row>
    <x:row r="811">
      <x:c r="A811" s="39"/>
      <x:c r="B811" s="39"/>
      <x:c r="C811" s="39"/>
      <x:c r="D811" s="39"/>
      <x:c r="E811" s="39"/>
      <x:c r="F811" s="39"/>
      <x:c r="G811" s="39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</x:row>
    <x:row r="812">
      <x:c r="A812" s="39"/>
      <x:c r="B812" s="39"/>
      <x:c r="C812" s="39"/>
      <x:c r="D812" s="39"/>
      <x:c r="E812" s="39"/>
      <x:c r="F812" s="39"/>
      <x:c r="G812" s="39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</x:row>
    <x:row r="813">
      <x:c r="A813" s="39"/>
      <x:c r="B813" s="39"/>
      <x:c r="C813" s="39"/>
      <x:c r="D813" s="39"/>
      <x:c r="E813" s="39"/>
      <x:c r="F813" s="39"/>
      <x:c r="G813" s="39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</x:row>
    <x:row r="814">
      <x:c r="A814" s="39"/>
      <x:c r="B814" s="39"/>
      <x:c r="C814" s="39"/>
      <x:c r="D814" s="39"/>
      <x:c r="E814" s="39"/>
      <x:c r="F814" s="39"/>
      <x:c r="G814" s="39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</x:row>
    <x:row r="815">
      <x:c r="A815" s="39"/>
      <x:c r="B815" s="39"/>
      <x:c r="C815" s="39"/>
      <x:c r="D815" s="39"/>
      <x:c r="E815" s="39"/>
      <x:c r="F815" s="39"/>
      <x:c r="G815" s="39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</x:row>
    <x:row r="816">
      <x:c r="A816" s="39"/>
      <x:c r="B816" s="39"/>
      <x:c r="C816" s="39"/>
      <x:c r="D816" s="39"/>
      <x:c r="E816" s="39"/>
      <x:c r="F816" s="39"/>
      <x:c r="G816" s="39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</x:row>
    <x:row r="817">
      <x:c r="A817" s="39"/>
      <x:c r="B817" s="39"/>
      <x:c r="C817" s="39"/>
      <x:c r="D817" s="39"/>
      <x:c r="E817" s="39"/>
      <x:c r="F817" s="39"/>
      <x:c r="G817" s="39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</x:row>
    <x:row r="818">
      <x:c r="A818" s="39"/>
      <x:c r="B818" s="39"/>
      <x:c r="C818" s="39"/>
      <x:c r="D818" s="39"/>
      <x:c r="E818" s="39"/>
      <x:c r="F818" s="39"/>
      <x:c r="G818" s="39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</x:row>
    <x:row r="819">
      <x:c r="A819" s="39"/>
      <x:c r="B819" s="39"/>
      <x:c r="C819" s="39"/>
      <x:c r="D819" s="39"/>
      <x:c r="E819" s="39"/>
      <x:c r="F819" s="39"/>
      <x:c r="G819" s="39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</x:row>
    <x:row r="820">
      <x:c r="A820" s="39"/>
      <x:c r="B820" s="39"/>
      <x:c r="C820" s="39"/>
      <x:c r="D820" s="39"/>
      <x:c r="E820" s="39"/>
      <x:c r="F820" s="39"/>
      <x:c r="G820" s="39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</x:row>
    <x:row r="821">
      <x:c r="A821" s="39"/>
      <x:c r="B821" s="39"/>
      <x:c r="C821" s="39"/>
      <x:c r="D821" s="39"/>
      <x:c r="E821" s="39"/>
      <x:c r="F821" s="39"/>
      <x:c r="G821" s="39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</x:row>
    <x:row r="822">
      <x:c r="A822" s="39"/>
      <x:c r="B822" s="39"/>
      <x:c r="C822" s="39"/>
      <x:c r="D822" s="39"/>
      <x:c r="E822" s="39"/>
      <x:c r="F822" s="39"/>
      <x:c r="G822" s="39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</x:row>
    <x:row r="823">
      <x:c r="A823" s="39"/>
      <x:c r="B823" s="39"/>
      <x:c r="C823" s="39"/>
      <x:c r="D823" s="39"/>
      <x:c r="E823" s="39"/>
      <x:c r="F823" s="39"/>
      <x:c r="G823" s="39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</x:row>
    <x:row r="824">
      <x:c r="A824" s="39"/>
      <x:c r="B824" s="39"/>
      <x:c r="C824" s="39"/>
      <x:c r="D824" s="39"/>
      <x:c r="E824" s="39"/>
      <x:c r="F824" s="39"/>
      <x:c r="G824" s="39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</x:row>
    <x:row r="825">
      <x:c r="A825" s="39"/>
      <x:c r="B825" s="39"/>
      <x:c r="C825" s="39"/>
      <x:c r="D825" s="39"/>
      <x:c r="E825" s="39"/>
      <x:c r="F825" s="39"/>
      <x:c r="G825" s="39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</x:row>
    <x:row r="826">
      <x:c r="A826" s="39"/>
      <x:c r="B826" s="39"/>
      <x:c r="C826" s="39"/>
      <x:c r="D826" s="39"/>
      <x:c r="E826" s="39"/>
      <x:c r="F826" s="39"/>
      <x:c r="G826" s="39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</x:row>
    <x:row r="827">
      <x:c r="A827" s="39"/>
      <x:c r="B827" s="39"/>
      <x:c r="C827" s="39"/>
      <x:c r="D827" s="39"/>
      <x:c r="E827" s="39"/>
      <x:c r="F827" s="39"/>
      <x:c r="G827" s="39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</x:row>
    <x:row r="828">
      <x:c r="A828" s="39"/>
      <x:c r="B828" s="39"/>
      <x:c r="C828" s="39"/>
      <x:c r="D828" s="39"/>
      <x:c r="E828" s="39"/>
      <x:c r="F828" s="39"/>
      <x:c r="G828" s="39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</x:row>
    <x:row r="829">
      <x:c r="A829" s="39"/>
      <x:c r="B829" s="39"/>
      <x:c r="C829" s="39"/>
      <x:c r="D829" s="39"/>
      <x:c r="E829" s="39"/>
      <x:c r="F829" s="39"/>
      <x:c r="G829" s="39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</x:row>
    <x:row r="830">
      <x:c r="A830" s="39"/>
      <x:c r="B830" s="39"/>
      <x:c r="C830" s="39"/>
      <x:c r="D830" s="39"/>
      <x:c r="E830" s="39"/>
      <x:c r="F830" s="39"/>
      <x:c r="G830" s="39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</x:row>
    <x:row r="831">
      <x:c r="A831" s="39"/>
      <x:c r="B831" s="39"/>
      <x:c r="C831" s="39"/>
      <x:c r="D831" s="39"/>
      <x:c r="E831" s="39"/>
      <x:c r="F831" s="39"/>
      <x:c r="G831" s="39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</x:row>
    <x:row r="832">
      <x:c r="A832" s="39"/>
      <x:c r="B832" s="39"/>
      <x:c r="C832" s="39"/>
      <x:c r="D832" s="39"/>
      <x:c r="E832" s="39"/>
      <x:c r="F832" s="39"/>
      <x:c r="G832" s="39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</x:row>
    <x:row r="833">
      <x:c r="A833" s="39"/>
      <x:c r="B833" s="39"/>
      <x:c r="C833" s="39"/>
      <x:c r="D833" s="39"/>
      <x:c r="E833" s="39"/>
      <x:c r="F833" s="39"/>
      <x:c r="G833" s="39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</x:row>
    <x:row r="834">
      <x:c r="A834" s="39"/>
      <x:c r="B834" s="39"/>
      <x:c r="C834" s="39"/>
      <x:c r="D834" s="39"/>
      <x:c r="E834" s="39"/>
      <x:c r="F834" s="39"/>
      <x:c r="G834" s="39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</x:row>
    <x:row r="835">
      <x:c r="A835" s="39"/>
      <x:c r="B835" s="39"/>
      <x:c r="C835" s="39"/>
      <x:c r="D835" s="39"/>
      <x:c r="E835" s="39"/>
      <x:c r="F835" s="39"/>
      <x:c r="G835" s="39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</x:row>
    <x:row r="836">
      <x:c r="A836" s="39"/>
      <x:c r="B836" s="39"/>
      <x:c r="C836" s="39"/>
      <x:c r="D836" s="39"/>
      <x:c r="E836" s="39"/>
      <x:c r="F836" s="39"/>
      <x:c r="G836" s="39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</x:row>
    <x:row r="837">
      <x:c r="A837" s="39"/>
      <x:c r="B837" s="39"/>
      <x:c r="C837" s="39"/>
      <x:c r="D837" s="39"/>
      <x:c r="E837" s="39"/>
      <x:c r="F837" s="39"/>
      <x:c r="G837" s="39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</x:row>
    <x:row r="838">
      <x:c r="A838" s="39"/>
      <x:c r="B838" s="39"/>
      <x:c r="C838" s="39"/>
      <x:c r="D838" s="39"/>
      <x:c r="E838" s="39"/>
      <x:c r="F838" s="39"/>
      <x:c r="G838" s="39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</x:row>
    <x:row r="839">
      <x:c r="A839" s="39"/>
      <x:c r="B839" s="39"/>
      <x:c r="C839" s="39"/>
      <x:c r="D839" s="39"/>
      <x:c r="E839" s="39"/>
      <x:c r="F839" s="39"/>
      <x:c r="G839" s="39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</x:row>
    <x:row r="840">
      <x:c r="A840" s="39"/>
      <x:c r="B840" s="39"/>
      <x:c r="C840" s="39"/>
      <x:c r="D840" s="39"/>
      <x:c r="E840" s="39"/>
      <x:c r="F840" s="39"/>
      <x:c r="G840" s="39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</x:row>
    <x:row r="841">
      <x:c r="A841" s="39"/>
      <x:c r="B841" s="39"/>
      <x:c r="C841" s="39"/>
      <x:c r="D841" s="39"/>
      <x:c r="E841" s="39"/>
      <x:c r="F841" s="39"/>
      <x:c r="G841" s="39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</x:row>
    <x:row r="842">
      <x:c r="A842" s="39"/>
      <x:c r="B842" s="39"/>
      <x:c r="C842" s="39"/>
      <x:c r="D842" s="39"/>
      <x:c r="E842" s="39"/>
      <x:c r="F842" s="39"/>
      <x:c r="G842" s="39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</x:row>
    <x:row r="843">
      <x:c r="A843" s="39"/>
      <x:c r="B843" s="39"/>
      <x:c r="C843" s="39"/>
      <x:c r="D843" s="39"/>
      <x:c r="E843" s="39"/>
      <x:c r="F843" s="39"/>
      <x:c r="G843" s="39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</x:row>
    <x:row r="844">
      <x:c r="A844" s="39"/>
      <x:c r="B844" s="39"/>
      <x:c r="C844" s="39"/>
      <x:c r="D844" s="39"/>
      <x:c r="E844" s="39"/>
      <x:c r="F844" s="39"/>
      <x:c r="G844" s="39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</x:row>
    <x:row r="845">
      <x:c r="A845" s="39"/>
      <x:c r="B845" s="39"/>
      <x:c r="C845" s="39"/>
      <x:c r="D845" s="39"/>
      <x:c r="E845" s="39"/>
      <x:c r="F845" s="39"/>
      <x:c r="G845" s="39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</x:row>
    <x:row r="846">
      <x:c r="A846" s="39"/>
      <x:c r="B846" s="39"/>
      <x:c r="C846" s="39"/>
      <x:c r="D846" s="39"/>
      <x:c r="E846" s="39"/>
      <x:c r="F846" s="39"/>
      <x:c r="G846" s="39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</x:row>
    <x:row r="847">
      <x:c r="A847" s="39"/>
      <x:c r="B847" s="39"/>
      <x:c r="C847" s="39"/>
      <x:c r="D847" s="39"/>
      <x:c r="E847" s="39"/>
      <x:c r="F847" s="39"/>
      <x:c r="G847" s="39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</x:row>
    <x:row r="848">
      <x:c r="A848" s="39"/>
      <x:c r="B848" s="39"/>
      <x:c r="C848" s="39"/>
      <x:c r="D848" s="39"/>
      <x:c r="E848" s="39"/>
      <x:c r="F848" s="39"/>
      <x:c r="G848" s="39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</x:row>
    <x:row r="849">
      <x:c r="A849" s="39"/>
      <x:c r="B849" s="39"/>
      <x:c r="C849" s="39"/>
      <x:c r="D849" s="39"/>
      <x:c r="E849" s="39"/>
      <x:c r="F849" s="39"/>
      <x:c r="G849" s="39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</x:row>
    <x:row r="850">
      <x:c r="A850" s="39"/>
      <x:c r="B850" s="39"/>
      <x:c r="C850" s="39"/>
      <x:c r="D850" s="39"/>
      <x:c r="E850" s="39"/>
      <x:c r="F850" s="39"/>
      <x:c r="G850" s="39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</x:row>
    <x:row r="851">
      <x:c r="A851" s="39"/>
      <x:c r="B851" s="39"/>
      <x:c r="C851" s="39"/>
      <x:c r="D851" s="39"/>
      <x:c r="E851" s="39"/>
      <x:c r="F851" s="39"/>
      <x:c r="G851" s="39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</x:row>
    <x:row r="852">
      <x:c r="A852" s="39"/>
      <x:c r="B852" s="39"/>
      <x:c r="C852" s="39"/>
      <x:c r="D852" s="39"/>
      <x:c r="E852" s="39"/>
      <x:c r="F852" s="39"/>
      <x:c r="G852" s="39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</x:row>
    <x:row r="853">
      <x:c r="A853" s="39"/>
      <x:c r="B853" s="39"/>
      <x:c r="C853" s="39"/>
      <x:c r="D853" s="39"/>
      <x:c r="E853" s="39"/>
      <x:c r="F853" s="39"/>
      <x:c r="G853" s="39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</x:row>
    <x:row r="854">
      <x:c r="A854" s="39"/>
      <x:c r="B854" s="39"/>
      <x:c r="C854" s="39"/>
      <x:c r="D854" s="39"/>
      <x:c r="E854" s="39"/>
      <x:c r="F854" s="39"/>
      <x:c r="G854" s="39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</x:row>
    <x:row r="855">
      <x:c r="A855" s="39"/>
      <x:c r="B855" s="39"/>
      <x:c r="C855" s="39"/>
      <x:c r="D855" s="39"/>
      <x:c r="E855" s="39"/>
      <x:c r="F855" s="39"/>
      <x:c r="G855" s="39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</x:row>
    <x:row r="856">
      <x:c r="A856" s="39"/>
      <x:c r="B856" s="39"/>
      <x:c r="C856" s="39"/>
      <x:c r="D856" s="39"/>
      <x:c r="E856" s="39"/>
      <x:c r="F856" s="39"/>
      <x:c r="G856" s="39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</x:row>
    <x:row r="857">
      <x:c r="A857" s="39"/>
      <x:c r="B857" s="39"/>
      <x:c r="C857" s="39"/>
      <x:c r="D857" s="39"/>
      <x:c r="E857" s="39"/>
      <x:c r="F857" s="39"/>
      <x:c r="G857" s="39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</x:row>
    <x:row r="858">
      <x:c r="A858" s="39"/>
      <x:c r="B858" s="39"/>
      <x:c r="C858" s="39"/>
      <x:c r="D858" s="39"/>
      <x:c r="E858" s="39"/>
      <x:c r="F858" s="39"/>
      <x:c r="G858" s="39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</x:row>
    <x:row r="859">
      <x:c r="A859" s="39"/>
      <x:c r="B859" s="39"/>
      <x:c r="C859" s="39"/>
      <x:c r="D859" s="39"/>
      <x:c r="E859" s="39"/>
      <x:c r="F859" s="39"/>
      <x:c r="G859" s="39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</x:row>
    <x:row r="860">
      <x:c r="A860" s="39"/>
      <x:c r="B860" s="39"/>
      <x:c r="C860" s="39"/>
      <x:c r="D860" s="39"/>
      <x:c r="E860" s="39"/>
      <x:c r="F860" s="39"/>
      <x:c r="G860" s="39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</x:row>
    <x:row r="861">
      <x:c r="A861" s="39"/>
      <x:c r="B861" s="39"/>
      <x:c r="C861" s="39"/>
      <x:c r="D861" s="39"/>
      <x:c r="E861" s="39"/>
      <x:c r="F861" s="39"/>
      <x:c r="G861" s="39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</x:row>
    <x:row r="862">
      <x:c r="A862" s="39"/>
      <x:c r="B862" s="39"/>
      <x:c r="C862" s="39"/>
      <x:c r="D862" s="39"/>
      <x:c r="E862" s="39"/>
      <x:c r="F862" s="39"/>
      <x:c r="G862" s="39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</x:row>
    <x:row r="863">
      <x:c r="A863" s="39"/>
      <x:c r="B863" s="39"/>
      <x:c r="C863" s="39"/>
      <x:c r="D863" s="39"/>
      <x:c r="E863" s="39"/>
      <x:c r="F863" s="39"/>
      <x:c r="G863" s="39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</x:row>
    <x:row r="864">
      <x:c r="A864" s="39"/>
      <x:c r="B864" s="39"/>
      <x:c r="C864" s="39"/>
      <x:c r="D864" s="39"/>
      <x:c r="E864" s="39"/>
      <x:c r="F864" s="39"/>
      <x:c r="G864" s="39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</x:row>
    <x:row r="865">
      <x:c r="A865" s="39"/>
      <x:c r="B865" s="39"/>
      <x:c r="C865" s="39"/>
      <x:c r="D865" s="39"/>
      <x:c r="E865" s="39"/>
      <x:c r="F865" s="39"/>
      <x:c r="G865" s="39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</x:row>
    <x:row r="866">
      <x:c r="A866" s="39"/>
      <x:c r="B866" s="39"/>
      <x:c r="C866" s="39"/>
      <x:c r="D866" s="39"/>
      <x:c r="E866" s="39"/>
      <x:c r="F866" s="39"/>
      <x:c r="G866" s="39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</x:row>
    <x:row r="867">
      <x:c r="A867" s="39"/>
      <x:c r="B867" s="39"/>
      <x:c r="C867" s="39"/>
      <x:c r="D867" s="39"/>
      <x:c r="E867" s="39"/>
      <x:c r="F867" s="39"/>
      <x:c r="G867" s="39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</x:row>
    <x:row r="868">
      <x:c r="A868" s="39"/>
      <x:c r="B868" s="39"/>
      <x:c r="C868" s="39"/>
      <x:c r="D868" s="39"/>
      <x:c r="E868" s="39"/>
      <x:c r="F868" s="39"/>
      <x:c r="G868" s="39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</x:row>
    <x:row r="869">
      <x:c r="A869" s="39"/>
      <x:c r="B869" s="39"/>
      <x:c r="C869" s="39"/>
      <x:c r="D869" s="39"/>
      <x:c r="E869" s="39"/>
      <x:c r="F869" s="39"/>
      <x:c r="G869" s="39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</x:row>
    <x:row r="870">
      <x:c r="A870" s="39"/>
      <x:c r="B870" s="39"/>
      <x:c r="C870" s="39"/>
      <x:c r="D870" s="39"/>
      <x:c r="E870" s="39"/>
      <x:c r="F870" s="39"/>
      <x:c r="G870" s="39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</x:row>
    <x:row r="871">
      <x:c r="A871" s="39"/>
      <x:c r="B871" s="39"/>
      <x:c r="C871" s="39"/>
      <x:c r="D871" s="39"/>
      <x:c r="E871" s="39"/>
      <x:c r="F871" s="39"/>
      <x:c r="G871" s="39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</x:row>
    <x:row r="872">
      <x:c r="A872" s="39"/>
      <x:c r="B872" s="39"/>
      <x:c r="C872" s="39"/>
      <x:c r="D872" s="39"/>
      <x:c r="E872" s="39"/>
      <x:c r="F872" s="39"/>
      <x:c r="G872" s="39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</x:row>
    <x:row r="873">
      <x:c r="A873" s="39"/>
      <x:c r="B873" s="39"/>
      <x:c r="C873" s="39"/>
      <x:c r="D873" s="39"/>
      <x:c r="E873" s="39"/>
      <x:c r="F873" s="39"/>
      <x:c r="G873" s="39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</x:row>
    <x:row r="874">
      <x:c r="A874" s="39"/>
      <x:c r="B874" s="39"/>
      <x:c r="C874" s="39"/>
      <x:c r="D874" s="39"/>
      <x:c r="E874" s="39"/>
      <x:c r="F874" s="39"/>
      <x:c r="G874" s="39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</x:row>
    <x:row r="875">
      <x:c r="A875" s="39"/>
      <x:c r="B875" s="39"/>
      <x:c r="C875" s="39"/>
      <x:c r="D875" s="39"/>
      <x:c r="E875" s="39"/>
      <x:c r="F875" s="39"/>
      <x:c r="G875" s="39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</x:row>
    <x:row r="876">
      <x:c r="A876" s="39"/>
      <x:c r="B876" s="39"/>
      <x:c r="C876" s="39"/>
      <x:c r="D876" s="39"/>
      <x:c r="E876" s="39"/>
      <x:c r="F876" s="39"/>
      <x:c r="G876" s="39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</x:row>
    <x:row r="877">
      <x:c r="A877" s="39"/>
      <x:c r="B877" s="39"/>
      <x:c r="C877" s="39"/>
      <x:c r="D877" s="39"/>
      <x:c r="E877" s="39"/>
      <x:c r="F877" s="39"/>
      <x:c r="G877" s="39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</x:row>
    <x:row r="878">
      <x:c r="A878" s="39"/>
      <x:c r="B878" s="39"/>
      <x:c r="C878" s="39"/>
      <x:c r="D878" s="39"/>
      <x:c r="E878" s="39"/>
      <x:c r="F878" s="39"/>
      <x:c r="G878" s="39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</x:row>
    <x:row r="879">
      <x:c r="A879" s="39"/>
      <x:c r="B879" s="39"/>
      <x:c r="C879" s="39"/>
      <x:c r="D879" s="39"/>
      <x:c r="E879" s="39"/>
      <x:c r="F879" s="39"/>
      <x:c r="G879" s="39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</x:row>
    <x:row r="880">
      <x:c r="A880" s="39"/>
      <x:c r="B880" s="39"/>
      <x:c r="C880" s="39"/>
      <x:c r="D880" s="39"/>
      <x:c r="E880" s="39"/>
      <x:c r="F880" s="39"/>
      <x:c r="G880" s="39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</x:row>
    <x:row r="881">
      <x:c r="A881" s="39"/>
      <x:c r="B881" s="39"/>
      <x:c r="C881" s="39"/>
      <x:c r="D881" s="39"/>
      <x:c r="E881" s="39"/>
      <x:c r="F881" s="39"/>
      <x:c r="G881" s="39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</x:row>
    <x:row r="882">
      <x:c r="A882" s="39"/>
      <x:c r="B882" s="39"/>
      <x:c r="C882" s="39"/>
      <x:c r="D882" s="39"/>
      <x:c r="E882" s="39"/>
      <x:c r="F882" s="39"/>
      <x:c r="G882" s="39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</x:row>
    <x:row r="883">
      <x:c r="A883" s="39"/>
      <x:c r="B883" s="39"/>
      <x:c r="C883" s="39"/>
      <x:c r="D883" s="39"/>
      <x:c r="E883" s="39"/>
      <x:c r="F883" s="39"/>
      <x:c r="G883" s="39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</x:row>
    <x:row r="884">
      <x:c r="A884" s="39"/>
      <x:c r="B884" s="39"/>
      <x:c r="C884" s="39"/>
      <x:c r="D884" s="39"/>
      <x:c r="E884" s="39"/>
      <x:c r="F884" s="39"/>
      <x:c r="G884" s="39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</x:row>
    <x:row r="885">
      <x:c r="A885" s="39"/>
      <x:c r="B885" s="39"/>
      <x:c r="C885" s="39"/>
      <x:c r="D885" s="39"/>
      <x:c r="E885" s="39"/>
      <x:c r="F885" s="39"/>
      <x:c r="G885" s="39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</x:row>
    <x:row r="886">
      <x:c r="A886" s="39"/>
      <x:c r="B886" s="39"/>
      <x:c r="C886" s="39"/>
      <x:c r="D886" s="39"/>
      <x:c r="E886" s="39"/>
      <x:c r="F886" s="39"/>
      <x:c r="G886" s="39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</x:row>
    <x:row r="887">
      <x:c r="A887" s="39"/>
      <x:c r="B887" s="39"/>
      <x:c r="C887" s="39"/>
      <x:c r="D887" s="39"/>
      <x:c r="E887" s="39"/>
      <x:c r="F887" s="39"/>
      <x:c r="G887" s="39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</x:row>
    <x:row r="888">
      <x:c r="A888" s="39"/>
      <x:c r="B888" s="39"/>
      <x:c r="C888" s="39"/>
      <x:c r="D888" s="39"/>
      <x:c r="E888" s="39"/>
      <x:c r="F888" s="39"/>
      <x:c r="G888" s="39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</x:row>
    <x:row r="889">
      <x:c r="A889" s="39"/>
      <x:c r="B889" s="39"/>
      <x:c r="C889" s="39"/>
      <x:c r="D889" s="39"/>
      <x:c r="E889" s="39"/>
      <x:c r="F889" s="39"/>
      <x:c r="G889" s="39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</x:row>
    <x:row r="890">
      <x:c r="A890" s="39"/>
      <x:c r="B890" s="39"/>
      <x:c r="C890" s="39"/>
      <x:c r="D890" s="39"/>
      <x:c r="E890" s="39"/>
      <x:c r="F890" s="39"/>
      <x:c r="G890" s="39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</x:row>
    <x:row r="891">
      <x:c r="A891" s="39"/>
      <x:c r="B891" s="39"/>
      <x:c r="C891" s="39"/>
      <x:c r="D891" s="39"/>
      <x:c r="E891" s="39"/>
      <x:c r="F891" s="39"/>
      <x:c r="G891" s="39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</x:row>
    <x:row r="892">
      <x:c r="A892" s="39"/>
      <x:c r="B892" s="39"/>
      <x:c r="C892" s="39"/>
      <x:c r="D892" s="39"/>
      <x:c r="E892" s="39"/>
      <x:c r="F892" s="39"/>
      <x:c r="G892" s="39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</x:row>
    <x:row r="893">
      <x:c r="A893" s="39"/>
      <x:c r="B893" s="39"/>
      <x:c r="C893" s="39"/>
      <x:c r="D893" s="39"/>
      <x:c r="E893" s="39"/>
      <x:c r="F893" s="39"/>
      <x:c r="G893" s="39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</x:row>
    <x:row r="894">
      <x:c r="A894" s="39"/>
      <x:c r="B894" s="39"/>
      <x:c r="C894" s="39"/>
      <x:c r="D894" s="39"/>
      <x:c r="E894" s="39"/>
      <x:c r="F894" s="39"/>
      <x:c r="G894" s="39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</x:row>
    <x:row r="895">
      <x:c r="A895" s="39"/>
      <x:c r="B895" s="39"/>
      <x:c r="C895" s="39"/>
      <x:c r="D895" s="39"/>
      <x:c r="E895" s="39"/>
      <x:c r="F895" s="39"/>
      <x:c r="G895" s="39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</x:row>
    <x:row r="896">
      <x:c r="A896" s="39"/>
      <x:c r="B896" s="39"/>
      <x:c r="C896" s="39"/>
      <x:c r="D896" s="39"/>
      <x:c r="E896" s="39"/>
      <x:c r="F896" s="39"/>
      <x:c r="G896" s="39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</x:row>
    <x:row r="897">
      <x:c r="A897" s="39"/>
      <x:c r="B897" s="39"/>
      <x:c r="C897" s="39"/>
      <x:c r="D897" s="39"/>
      <x:c r="E897" s="39"/>
      <x:c r="F897" s="39"/>
      <x:c r="G897" s="39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</x:row>
    <x:row r="898">
      <x:c r="A898" s="39"/>
      <x:c r="B898" s="39"/>
      <x:c r="C898" s="39"/>
      <x:c r="D898" s="39"/>
      <x:c r="E898" s="39"/>
      <x:c r="F898" s="39"/>
      <x:c r="G898" s="39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</x:row>
    <x:row r="899">
      <x:c r="A899" s="39"/>
      <x:c r="B899" s="39"/>
      <x:c r="C899" s="39"/>
      <x:c r="D899" s="39"/>
      <x:c r="E899" s="39"/>
      <x:c r="F899" s="39"/>
      <x:c r="G899" s="39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</x:row>
    <x:row r="900">
      <x:c r="A900" s="39"/>
      <x:c r="B900" s="39"/>
      <x:c r="C900" s="39"/>
      <x:c r="D900" s="39"/>
      <x:c r="E900" s="39"/>
      <x:c r="F900" s="39"/>
      <x:c r="G900" s="39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</x:row>
    <x:row r="901">
      <x:c r="A901" s="39"/>
      <x:c r="B901" s="39"/>
      <x:c r="C901" s="39"/>
      <x:c r="D901" s="39"/>
      <x:c r="E901" s="39"/>
      <x:c r="F901" s="39"/>
      <x:c r="G901" s="39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</x:row>
    <x:row r="902">
      <x:c r="A902" s="39"/>
      <x:c r="B902" s="39"/>
      <x:c r="C902" s="39"/>
      <x:c r="D902" s="39"/>
      <x:c r="E902" s="39"/>
      <x:c r="F902" s="39"/>
      <x:c r="G902" s="39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</x:row>
    <x:row r="903">
      <x:c r="A903" s="39"/>
      <x:c r="B903" s="39"/>
      <x:c r="C903" s="39"/>
      <x:c r="D903" s="39"/>
      <x:c r="E903" s="39"/>
      <x:c r="F903" s="39"/>
      <x:c r="G903" s="39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</x:row>
    <x:row r="904">
      <x:c r="A904" s="39"/>
      <x:c r="B904" s="39"/>
      <x:c r="C904" s="39"/>
      <x:c r="D904" s="39"/>
      <x:c r="E904" s="39"/>
      <x:c r="F904" s="39"/>
      <x:c r="G904" s="39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</x:row>
    <x:row r="905">
      <x:c r="A905" s="39"/>
      <x:c r="B905" s="39"/>
      <x:c r="C905" s="39"/>
      <x:c r="D905" s="39"/>
      <x:c r="E905" s="39"/>
      <x:c r="F905" s="39"/>
      <x:c r="G905" s="39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</x:row>
    <x:row r="906">
      <x:c r="A906" s="39"/>
      <x:c r="B906" s="39"/>
      <x:c r="C906" s="39"/>
      <x:c r="D906" s="39"/>
      <x:c r="E906" s="39"/>
      <x:c r="F906" s="39"/>
      <x:c r="G906" s="39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</x:row>
    <x:row r="907">
      <x:c r="A907" s="39"/>
      <x:c r="B907" s="39"/>
      <x:c r="C907" s="39"/>
      <x:c r="D907" s="39"/>
      <x:c r="E907" s="39"/>
      <x:c r="F907" s="39"/>
      <x:c r="G907" s="39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</x:row>
    <x:row r="908">
      <x:c r="A908" s="39"/>
      <x:c r="B908" s="39"/>
      <x:c r="C908" s="39"/>
      <x:c r="D908" s="39"/>
      <x:c r="E908" s="39"/>
      <x:c r="F908" s="39"/>
      <x:c r="G908" s="39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</x:row>
    <x:row r="909">
      <x:c r="A909" s="39"/>
      <x:c r="B909" s="39"/>
      <x:c r="C909" s="39"/>
      <x:c r="D909" s="39"/>
      <x:c r="E909" s="39"/>
      <x:c r="F909" s="39"/>
      <x:c r="G909" s="39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</x:row>
    <x:row r="910">
      <x:c r="A910" s="39"/>
      <x:c r="B910" s="39"/>
      <x:c r="C910" s="39"/>
      <x:c r="D910" s="39"/>
      <x:c r="E910" s="39"/>
      <x:c r="F910" s="39"/>
      <x:c r="G910" s="39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</x:row>
    <x:row r="911">
      <x:c r="A911" s="39"/>
      <x:c r="B911" s="39"/>
      <x:c r="C911" s="39"/>
      <x:c r="D911" s="39"/>
      <x:c r="E911" s="39"/>
      <x:c r="F911" s="39"/>
      <x:c r="G911" s="39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</x:row>
    <x:row r="912">
      <x:c r="A912" s="39"/>
      <x:c r="B912" s="39"/>
      <x:c r="C912" s="39"/>
      <x:c r="D912" s="39"/>
      <x:c r="E912" s="39"/>
      <x:c r="F912" s="39"/>
      <x:c r="G912" s="39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</x:row>
    <x:row r="913">
      <x:c r="A913" s="39"/>
      <x:c r="B913" s="39"/>
      <x:c r="C913" s="39"/>
      <x:c r="D913" s="39"/>
      <x:c r="E913" s="39"/>
      <x:c r="F913" s="39"/>
      <x:c r="G913" s="39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</x:row>
    <x:row r="914">
      <x:c r="A914" s="39"/>
      <x:c r="B914" s="39"/>
      <x:c r="C914" s="39"/>
      <x:c r="D914" s="39"/>
      <x:c r="E914" s="39"/>
      <x:c r="F914" s="39"/>
      <x:c r="G914" s="39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</x:row>
    <x:row r="915">
      <x:c r="A915" s="39"/>
      <x:c r="B915" s="39"/>
      <x:c r="C915" s="39"/>
      <x:c r="D915" s="39"/>
      <x:c r="E915" s="39"/>
      <x:c r="F915" s="39"/>
      <x:c r="G915" s="39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</x:row>
    <x:row r="916">
      <x:c r="A916" s="39"/>
      <x:c r="B916" s="39"/>
      <x:c r="C916" s="39"/>
      <x:c r="D916" s="39"/>
      <x:c r="E916" s="39"/>
      <x:c r="F916" s="39"/>
      <x:c r="G916" s="39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</x:row>
    <x:row r="917">
      <x:c r="A917" s="39"/>
      <x:c r="B917" s="39"/>
      <x:c r="C917" s="39"/>
      <x:c r="D917" s="39"/>
      <x:c r="E917" s="39"/>
      <x:c r="F917" s="39"/>
      <x:c r="G917" s="39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</x:row>
    <x:row r="918">
      <x:c r="A918" s="39"/>
      <x:c r="B918" s="39"/>
      <x:c r="C918" s="39"/>
      <x:c r="D918" s="39"/>
      <x:c r="E918" s="39"/>
      <x:c r="F918" s="39"/>
      <x:c r="G918" s="39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</x:row>
    <x:row r="919">
      <x:c r="A919" s="39"/>
      <x:c r="B919" s="39"/>
      <x:c r="C919" s="39"/>
      <x:c r="D919" s="39"/>
      <x:c r="E919" s="39"/>
      <x:c r="F919" s="39"/>
      <x:c r="G919" s="39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</x:row>
    <x:row r="920">
      <x:c r="A920" s="39"/>
      <x:c r="B920" s="39"/>
      <x:c r="C920" s="39"/>
      <x:c r="D920" s="39"/>
      <x:c r="E920" s="39"/>
      <x:c r="F920" s="39"/>
      <x:c r="G920" s="39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</x:row>
    <x:row r="921">
      <x:c r="A921" s="39"/>
      <x:c r="B921" s="39"/>
      <x:c r="C921" s="39"/>
      <x:c r="D921" s="39"/>
      <x:c r="E921" s="39"/>
      <x:c r="F921" s="39"/>
      <x:c r="G921" s="39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</x:row>
    <x:row r="922">
      <x:c r="A922" s="39"/>
      <x:c r="B922" s="39"/>
      <x:c r="C922" s="39"/>
      <x:c r="D922" s="39"/>
      <x:c r="E922" s="39"/>
      <x:c r="F922" s="39"/>
      <x:c r="G922" s="39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</x:row>
    <x:row r="923">
      <x:c r="A923" s="39"/>
      <x:c r="B923" s="39"/>
      <x:c r="C923" s="39"/>
      <x:c r="D923" s="39"/>
      <x:c r="E923" s="39"/>
      <x:c r="F923" s="39"/>
      <x:c r="G923" s="39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</x:row>
    <x:row r="924">
      <x:c r="A924" s="39"/>
      <x:c r="B924" s="39"/>
      <x:c r="C924" s="39"/>
      <x:c r="D924" s="39"/>
      <x:c r="E924" s="39"/>
      <x:c r="F924" s="39"/>
      <x:c r="G924" s="39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</x:row>
    <x:row r="925">
      <x:c r="A925" s="39"/>
      <x:c r="B925" s="39"/>
      <x:c r="C925" s="39"/>
      <x:c r="D925" s="39"/>
      <x:c r="E925" s="39"/>
      <x:c r="F925" s="39"/>
      <x:c r="G925" s="39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</x:row>
    <x:row r="926">
      <x:c r="A926" s="39"/>
      <x:c r="B926" s="39"/>
      <x:c r="C926" s="39"/>
      <x:c r="D926" s="39"/>
      <x:c r="E926" s="39"/>
      <x:c r="F926" s="39"/>
      <x:c r="G926" s="39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</x:row>
    <x:row r="927">
      <x:c r="A927" s="39"/>
      <x:c r="B927" s="39"/>
      <x:c r="C927" s="39"/>
      <x:c r="D927" s="39"/>
      <x:c r="E927" s="39"/>
      <x:c r="F927" s="39"/>
      <x:c r="G927" s="39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</x:row>
    <x:row r="928">
      <x:c r="A928" s="39"/>
      <x:c r="B928" s="39"/>
      <x:c r="C928" s="39"/>
      <x:c r="D928" s="39"/>
      <x:c r="E928" s="39"/>
      <x:c r="F928" s="39"/>
      <x:c r="G928" s="39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</x:row>
    <x:row r="929">
      <x:c r="A929" s="39"/>
      <x:c r="B929" s="39"/>
      <x:c r="C929" s="39"/>
      <x:c r="D929" s="39"/>
      <x:c r="E929" s="39"/>
      <x:c r="F929" s="39"/>
      <x:c r="G929" s="39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</x:row>
    <x:row r="930">
      <x:c r="A930" s="39"/>
      <x:c r="B930" s="39"/>
      <x:c r="C930" s="39"/>
      <x:c r="D930" s="39"/>
      <x:c r="E930" s="39"/>
      <x:c r="F930" s="39"/>
      <x:c r="G930" s="39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</x:row>
    <x:row r="931">
      <x:c r="A931" s="39"/>
      <x:c r="B931" s="39"/>
      <x:c r="C931" s="39"/>
      <x:c r="D931" s="39"/>
      <x:c r="E931" s="39"/>
      <x:c r="F931" s="39"/>
      <x:c r="G931" s="39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</x:row>
    <x:row r="932">
      <x:c r="A932" s="39"/>
      <x:c r="B932" s="39"/>
      <x:c r="C932" s="39"/>
      <x:c r="D932" s="39"/>
      <x:c r="E932" s="39"/>
      <x:c r="F932" s="39"/>
      <x:c r="G932" s="39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</x:row>
    <x:row r="933">
      <x:c r="A933" s="39"/>
      <x:c r="B933" s="39"/>
      <x:c r="C933" s="39"/>
      <x:c r="D933" s="39"/>
      <x:c r="E933" s="39"/>
      <x:c r="F933" s="39"/>
      <x:c r="G933" s="39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</x:row>
    <x:row r="934">
      <x:c r="A934" s="39"/>
      <x:c r="B934" s="39"/>
      <x:c r="C934" s="39"/>
      <x:c r="D934" s="39"/>
      <x:c r="E934" s="39"/>
      <x:c r="F934" s="39"/>
      <x:c r="G934" s="39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</x:row>
    <x:row r="935">
      <x:c r="A935" s="39"/>
      <x:c r="B935" s="39"/>
      <x:c r="C935" s="39"/>
      <x:c r="D935" s="39"/>
      <x:c r="E935" s="39"/>
      <x:c r="F935" s="39"/>
      <x:c r="G935" s="39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</x:row>
    <x:row r="936">
      <x:c r="A936" s="39"/>
      <x:c r="B936" s="39"/>
      <x:c r="C936" s="39"/>
      <x:c r="D936" s="39"/>
      <x:c r="E936" s="39"/>
      <x:c r="F936" s="39"/>
      <x:c r="G936" s="39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</x:row>
    <x:row r="937">
      <x:c r="A937" s="39"/>
      <x:c r="B937" s="39"/>
      <x:c r="C937" s="39"/>
      <x:c r="D937" s="39"/>
      <x:c r="E937" s="39"/>
      <x:c r="F937" s="39"/>
      <x:c r="G937" s="39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</x:row>
    <x:row r="938">
      <x:c r="A938" s="39"/>
      <x:c r="B938" s="39"/>
      <x:c r="C938" s="39"/>
      <x:c r="D938" s="39"/>
      <x:c r="E938" s="39"/>
      <x:c r="F938" s="39"/>
      <x:c r="G938" s="39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</x:row>
    <x:row r="939">
      <x:c r="A939" s="39"/>
      <x:c r="B939" s="39"/>
      <x:c r="C939" s="39"/>
      <x:c r="D939" s="39"/>
      <x:c r="E939" s="39"/>
      <x:c r="F939" s="39"/>
      <x:c r="G939" s="39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</x:row>
    <x:row r="940">
      <x:c r="A940" s="39"/>
      <x:c r="B940" s="39"/>
      <x:c r="C940" s="39"/>
      <x:c r="D940" s="39"/>
      <x:c r="E940" s="39"/>
      <x:c r="F940" s="39"/>
      <x:c r="G940" s="39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</x:row>
    <x:row r="941">
      <x:c r="A941" s="39"/>
      <x:c r="B941" s="39"/>
      <x:c r="C941" s="39"/>
      <x:c r="D941" s="39"/>
      <x:c r="E941" s="39"/>
      <x:c r="F941" s="39"/>
      <x:c r="G941" s="39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</x:row>
    <x:row r="942">
      <x:c r="A942" s="39"/>
      <x:c r="B942" s="39"/>
      <x:c r="C942" s="39"/>
      <x:c r="D942" s="39"/>
      <x:c r="E942" s="39"/>
      <x:c r="F942" s="39"/>
      <x:c r="G942" s="39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</x:row>
    <x:row r="943">
      <x:c r="A943" s="39"/>
      <x:c r="B943" s="39"/>
      <x:c r="C943" s="39"/>
      <x:c r="D943" s="39"/>
      <x:c r="E943" s="39"/>
      <x:c r="F943" s="39"/>
      <x:c r="G943" s="39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</x:row>
    <x:row r="944">
      <x:c r="A944" s="39"/>
      <x:c r="B944" s="39"/>
      <x:c r="C944" s="39"/>
      <x:c r="D944" s="39"/>
      <x:c r="E944" s="39"/>
      <x:c r="F944" s="39"/>
      <x:c r="G944" s="39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</x:row>
    <x:row r="945">
      <x:c r="A945" s="39"/>
      <x:c r="B945" s="39"/>
      <x:c r="C945" s="39"/>
      <x:c r="D945" s="39"/>
      <x:c r="E945" s="39"/>
      <x:c r="F945" s="39"/>
      <x:c r="G945" s="39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</x:row>
    <x:row r="946">
      <x:c r="A946" s="39"/>
      <x:c r="B946" s="39"/>
      <x:c r="C946" s="39"/>
      <x:c r="D946" s="39"/>
      <x:c r="E946" s="39"/>
      <x:c r="F946" s="39"/>
      <x:c r="G946" s="39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</x:row>
    <x:row r="947">
      <x:c r="A947" s="39"/>
      <x:c r="B947" s="39"/>
      <x:c r="C947" s="39"/>
      <x:c r="D947" s="39"/>
      <x:c r="E947" s="39"/>
      <x:c r="F947" s="39"/>
      <x:c r="G947" s="39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</x:row>
    <x:row r="948">
      <x:c r="A948" s="39"/>
      <x:c r="B948" s="39"/>
      <x:c r="C948" s="39"/>
      <x:c r="D948" s="39"/>
      <x:c r="E948" s="39"/>
      <x:c r="F948" s="39"/>
      <x:c r="G948" s="39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</x:row>
    <x:row r="949">
      <x:c r="A949" s="39"/>
      <x:c r="B949" s="39"/>
      <x:c r="C949" s="39"/>
      <x:c r="D949" s="39"/>
      <x:c r="E949" s="39"/>
      <x:c r="F949" s="39"/>
      <x:c r="G949" s="39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</x:row>
    <x:row r="950">
      <x:c r="A950" s="39"/>
      <x:c r="B950" s="39"/>
      <x:c r="C950" s="39"/>
      <x:c r="D950" s="39"/>
      <x:c r="E950" s="39"/>
      <x:c r="F950" s="39"/>
      <x:c r="G950" s="39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</x:row>
    <x:row r="951">
      <x:c r="A951" s="39"/>
      <x:c r="B951" s="39"/>
      <x:c r="C951" s="39"/>
      <x:c r="D951" s="39"/>
      <x:c r="E951" s="39"/>
      <x:c r="F951" s="39"/>
      <x:c r="G951" s="39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</x:row>
    <x:row r="952">
      <x:c r="A952" s="39"/>
      <x:c r="B952" s="39"/>
      <x:c r="C952" s="39"/>
      <x:c r="D952" s="39"/>
      <x:c r="E952" s="39"/>
      <x:c r="F952" s="39"/>
      <x:c r="G952" s="39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</x:row>
    <x:row r="953">
      <x:c r="A953" s="39"/>
      <x:c r="B953" s="39"/>
      <x:c r="C953" s="39"/>
      <x:c r="D953" s="39"/>
      <x:c r="E953" s="39"/>
      <x:c r="F953" s="39"/>
      <x:c r="G953" s="39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</x:row>
    <x:row r="954">
      <x:c r="A954" s="39"/>
      <x:c r="B954" s="39"/>
      <x:c r="C954" s="39"/>
      <x:c r="D954" s="39"/>
      <x:c r="E954" s="39"/>
      <x:c r="F954" s="39"/>
      <x:c r="G954" s="39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</x:row>
    <x:row r="955">
      <x:c r="A955" s="39"/>
      <x:c r="B955" s="39"/>
      <x:c r="C955" s="39"/>
      <x:c r="D955" s="39"/>
      <x:c r="E955" s="39"/>
      <x:c r="F955" s="39"/>
      <x:c r="G955" s="39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</x:row>
    <x:row r="956">
      <x:c r="A956" s="39"/>
      <x:c r="B956" s="39"/>
      <x:c r="C956" s="39"/>
      <x:c r="D956" s="39"/>
      <x:c r="E956" s="39"/>
      <x:c r="F956" s="39"/>
      <x:c r="G956" s="39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</x:row>
    <x:row r="957">
      <x:c r="A957" s="39"/>
      <x:c r="B957" s="39"/>
      <x:c r="C957" s="39"/>
      <x:c r="D957" s="39"/>
      <x:c r="E957" s="39"/>
      <x:c r="F957" s="39"/>
      <x:c r="G957" s="39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</x:row>
    <x:row r="958">
      <x:c r="A958" s="39"/>
      <x:c r="B958" s="39"/>
      <x:c r="C958" s="39"/>
      <x:c r="D958" s="39"/>
      <x:c r="E958" s="39"/>
      <x:c r="F958" s="39"/>
      <x:c r="G958" s="39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</x:row>
    <x:row r="959">
      <x:c r="A959" s="39"/>
      <x:c r="B959" s="39"/>
      <x:c r="C959" s="39"/>
      <x:c r="D959" s="39"/>
      <x:c r="E959" s="39"/>
      <x:c r="F959" s="39"/>
      <x:c r="G959" s="39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</x:row>
    <x:row r="960">
      <x:c r="A960" s="39"/>
      <x:c r="B960" s="39"/>
      <x:c r="C960" s="39"/>
      <x:c r="D960" s="39"/>
      <x:c r="E960" s="39"/>
      <x:c r="F960" s="39"/>
      <x:c r="G960" s="39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</x:row>
    <x:row r="961">
      <x:c r="A961" s="39"/>
      <x:c r="B961" s="39"/>
      <x:c r="C961" s="39"/>
      <x:c r="D961" s="39"/>
      <x:c r="E961" s="39"/>
      <x:c r="F961" s="39"/>
      <x:c r="G961" s="39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</x:row>
    <x:row r="962">
      <x:c r="A962" s="39"/>
      <x:c r="B962" s="39"/>
      <x:c r="C962" s="39"/>
      <x:c r="D962" s="39"/>
      <x:c r="E962" s="39"/>
      <x:c r="F962" s="39"/>
      <x:c r="G962" s="39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</x:row>
    <x:row r="963">
      <x:c r="A963" s="39"/>
      <x:c r="B963" s="39"/>
      <x:c r="C963" s="39"/>
      <x:c r="D963" s="39"/>
      <x:c r="E963" s="39"/>
      <x:c r="F963" s="39"/>
      <x:c r="G963" s="39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</x:row>
    <x:row r="964">
      <x:c r="A964" s="39"/>
      <x:c r="B964" s="39"/>
      <x:c r="C964" s="39"/>
      <x:c r="D964" s="39"/>
      <x:c r="E964" s="39"/>
      <x:c r="F964" s="39"/>
      <x:c r="G964" s="39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</x:row>
    <x:row r="965">
      <x:c r="A965" s="39"/>
      <x:c r="B965" s="39"/>
      <x:c r="C965" s="39"/>
      <x:c r="D965" s="39"/>
      <x:c r="E965" s="39"/>
      <x:c r="F965" s="39"/>
      <x:c r="G965" s="39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</x:row>
    <x:row r="966">
      <x:c r="A966" s="39"/>
      <x:c r="B966" s="39"/>
      <x:c r="C966" s="39"/>
      <x:c r="D966" s="39"/>
      <x:c r="E966" s="39"/>
      <x:c r="F966" s="39"/>
      <x:c r="G966" s="39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</x:row>
    <x:row r="967">
      <x:c r="A967" s="39"/>
      <x:c r="B967" s="39"/>
      <x:c r="C967" s="39"/>
      <x:c r="D967" s="39"/>
      <x:c r="E967" s="39"/>
      <x:c r="F967" s="39"/>
      <x:c r="G967" s="39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</x:row>
    <x:row r="968">
      <x:c r="A968" s="39"/>
      <x:c r="B968" s="39"/>
      <x:c r="C968" s="39"/>
      <x:c r="D968" s="39"/>
      <x:c r="E968" s="39"/>
      <x:c r="F968" s="39"/>
      <x:c r="G968" s="39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</x:row>
    <x:row r="969">
      <x:c r="A969" s="39"/>
      <x:c r="B969" s="39"/>
      <x:c r="C969" s="39"/>
      <x:c r="D969" s="39"/>
      <x:c r="E969" s="39"/>
      <x:c r="F969" s="39"/>
      <x:c r="G969" s="39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</x:row>
    <x:row r="970">
      <x:c r="A970" s="39"/>
      <x:c r="B970" s="39"/>
      <x:c r="C970" s="39"/>
      <x:c r="D970" s="39"/>
      <x:c r="E970" s="39"/>
      <x:c r="F970" s="39"/>
      <x:c r="G970" s="39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</x:row>
    <x:row r="971">
      <x:c r="A971" s="39"/>
      <x:c r="B971" s="39"/>
      <x:c r="C971" s="39"/>
      <x:c r="D971" s="39"/>
      <x:c r="E971" s="39"/>
      <x:c r="F971" s="39"/>
      <x:c r="G971" s="39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</x:row>
    <x:row r="972">
      <x:c r="A972" s="39"/>
      <x:c r="B972" s="39"/>
      <x:c r="C972" s="39"/>
      <x:c r="D972" s="39"/>
      <x:c r="E972" s="39"/>
      <x:c r="F972" s="39"/>
      <x:c r="G972" s="39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</x:row>
    <x:row r="973">
      <x:c r="A973" s="39"/>
      <x:c r="B973" s="39"/>
      <x:c r="C973" s="39"/>
      <x:c r="D973" s="39"/>
      <x:c r="E973" s="39"/>
      <x:c r="F973" s="39"/>
      <x:c r="G973" s="39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</x:row>
    <x:row r="974">
      <x:c r="A974" s="39"/>
      <x:c r="B974" s="39"/>
      <x:c r="C974" s="39"/>
      <x:c r="D974" s="39"/>
      <x:c r="E974" s="39"/>
      <x:c r="F974" s="39"/>
      <x:c r="G974" s="39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</x:row>
    <x:row r="975">
      <x:c r="A975" s="39"/>
      <x:c r="B975" s="39"/>
      <x:c r="C975" s="39"/>
      <x:c r="D975" s="39"/>
      <x:c r="E975" s="39"/>
      <x:c r="F975" s="39"/>
      <x:c r="G975" s="39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</x:row>
    <x:row r="976">
      <x:c r="A976" s="39"/>
      <x:c r="B976" s="39"/>
      <x:c r="C976" s="39"/>
      <x:c r="D976" s="39"/>
      <x:c r="E976" s="39"/>
      <x:c r="F976" s="39"/>
      <x:c r="G976" s="39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</x:row>
    <x:row r="977">
      <x:c r="A977" s="39"/>
      <x:c r="B977" s="39"/>
      <x:c r="C977" s="39"/>
      <x:c r="D977" s="39"/>
      <x:c r="E977" s="39"/>
      <x:c r="F977" s="39"/>
      <x:c r="G977" s="39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</x:row>
    <x:row r="978">
      <x:c r="A978" s="39"/>
      <x:c r="B978" s="39"/>
      <x:c r="C978" s="39"/>
      <x:c r="D978" s="39"/>
      <x:c r="E978" s="39"/>
      <x:c r="F978" s="39"/>
      <x:c r="G978" s="39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</x:row>
    <x:row r="979">
      <x:c r="A979" s="39"/>
      <x:c r="B979" s="39"/>
      <x:c r="C979" s="39"/>
      <x:c r="D979" s="39"/>
      <x:c r="E979" s="39"/>
      <x:c r="F979" s="39"/>
      <x:c r="G979" s="39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</x:row>
    <x:row r="980">
      <x:c r="A980" s="39"/>
      <x:c r="B980" s="39"/>
      <x:c r="C980" s="39"/>
      <x:c r="D980" s="39"/>
      <x:c r="E980" s="39"/>
      <x:c r="F980" s="39"/>
      <x:c r="G980" s="39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</x:row>
    <x:row r="981">
      <x:c r="A981" s="39"/>
      <x:c r="B981" s="39"/>
      <x:c r="C981" s="39"/>
      <x:c r="D981" s="39"/>
      <x:c r="E981" s="39"/>
      <x:c r="F981" s="39"/>
      <x:c r="G981" s="39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</x:row>
    <x:row r="982">
      <x:c r="A982" s="39"/>
      <x:c r="B982" s="39"/>
      <x:c r="C982" s="39"/>
      <x:c r="D982" s="39"/>
      <x:c r="E982" s="39"/>
      <x:c r="F982" s="39"/>
      <x:c r="G982" s="39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</x:row>
    <x:row r="983">
      <x:c r="A983" s="39"/>
      <x:c r="B983" s="39"/>
      <x:c r="C983" s="39"/>
      <x:c r="D983" s="39"/>
      <x:c r="E983" s="39"/>
      <x:c r="F983" s="39"/>
      <x:c r="G983" s="39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</x:row>
    <x:row r="984">
      <x:c r="A984" s="39"/>
      <x:c r="B984" s="39"/>
      <x:c r="C984" s="39"/>
      <x:c r="D984" s="39"/>
      <x:c r="E984" s="39"/>
      <x:c r="F984" s="39"/>
      <x:c r="G984" s="39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</x:row>
    <x:row r="985">
      <x:c r="A985" s="39"/>
      <x:c r="B985" s="39"/>
      <x:c r="C985" s="39"/>
      <x:c r="D985" s="39"/>
      <x:c r="E985" s="39"/>
      <x:c r="F985" s="39"/>
      <x:c r="G985" s="39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</x:row>
    <x:row r="986">
      <x:c r="A986" s="39"/>
      <x:c r="B986" s="39"/>
      <x:c r="C986" s="39"/>
      <x:c r="D986" s="39"/>
      <x:c r="E986" s="39"/>
      <x:c r="F986" s="39"/>
      <x:c r="G986" s="39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</x:row>
    <x:row r="987">
      <x:c r="A987" s="39"/>
      <x:c r="B987" s="39"/>
      <x:c r="C987" s="39"/>
      <x:c r="D987" s="39"/>
      <x:c r="E987" s="39"/>
      <x:c r="F987" s="39"/>
      <x:c r="G987" s="39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</x:row>
    <x:row r="988">
      <x:c r="A988" s="39"/>
      <x:c r="B988" s="39"/>
      <x:c r="C988" s="39"/>
      <x:c r="D988" s="39"/>
      <x:c r="E988" s="39"/>
      <x:c r="F988" s="39"/>
      <x:c r="G988" s="39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</x:row>
    <x:row r="989">
      <x:c r="A989" s="39"/>
      <x:c r="B989" s="39"/>
      <x:c r="C989" s="39"/>
      <x:c r="D989" s="39"/>
      <x:c r="E989" s="39"/>
      <x:c r="F989" s="39"/>
      <x:c r="G989" s="39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</x:row>
    <x:row r="990">
      <x:c r="A990" s="39"/>
      <x:c r="B990" s="39"/>
      <x:c r="C990" s="39"/>
      <x:c r="D990" s="39"/>
      <x:c r="E990" s="39"/>
      <x:c r="F990" s="39"/>
      <x:c r="G990" s="39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</x:row>
    <x:row r="991">
      <x:c r="A991" s="39"/>
      <x:c r="B991" s="39"/>
      <x:c r="C991" s="39"/>
      <x:c r="D991" s="39"/>
      <x:c r="E991" s="39"/>
      <x:c r="F991" s="39"/>
      <x:c r="G991" s="39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</x:row>
    <x:row r="992">
      <x:c r="A992" s="39"/>
      <x:c r="B992" s="39"/>
      <x:c r="C992" s="39"/>
      <x:c r="D992" s="39"/>
      <x:c r="E992" s="39"/>
      <x:c r="F992" s="39"/>
      <x:c r="G992" s="39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</x:row>
    <x:row r="993">
      <x:c r="A993" s="39"/>
      <x:c r="B993" s="39"/>
      <x:c r="C993" s="39"/>
      <x:c r="D993" s="39"/>
      <x:c r="E993" s="39"/>
      <x:c r="F993" s="39"/>
      <x:c r="G993" s="39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</x:row>
    <x:row r="994">
      <x:c r="A994" s="39"/>
      <x:c r="B994" s="39"/>
      <x:c r="C994" s="39"/>
      <x:c r="D994" s="39"/>
      <x:c r="E994" s="39"/>
      <x:c r="F994" s="39"/>
      <x:c r="G994" s="39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</x:row>
    <x:row r="995">
      <x:c r="A995" s="39"/>
      <x:c r="B995" s="39"/>
      <x:c r="C995" s="39"/>
      <x:c r="D995" s="39"/>
      <x:c r="E995" s="39"/>
      <x:c r="F995" s="39"/>
      <x:c r="G995" s="39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</x:row>
    <x:row r="996">
      <x:c r="A996" s="39"/>
      <x:c r="B996" s="39"/>
      <x:c r="C996" s="39"/>
      <x:c r="D996" s="39"/>
      <x:c r="E996" s="39"/>
      <x:c r="F996" s="39"/>
      <x:c r="G996" s="39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</x:row>
    <x:row r="997">
      <x:c r="A997" s="39"/>
      <x:c r="B997" s="39"/>
      <x:c r="C997" s="39"/>
      <x:c r="D997" s="39"/>
      <x:c r="E997" s="39"/>
      <x:c r="F997" s="39"/>
      <x:c r="G997" s="39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</x:row>
    <x:row r="998">
      <x:c r="A998" s="39"/>
      <x:c r="B998" s="39"/>
      <x:c r="C998" s="39"/>
      <x:c r="D998" s="39"/>
      <x:c r="E998" s="39"/>
      <x:c r="F998" s="39"/>
      <x:c r="G998" s="39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</x:row>
    <x:row r="999">
      <x:c r="A999" s="39"/>
      <x:c r="B999" s="39"/>
      <x:c r="C999" s="39"/>
      <x:c r="D999" s="39"/>
      <x:c r="E999" s="39"/>
      <x:c r="F999" s="39"/>
      <x:c r="G999" s="39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</x:row>
    <x:row r="1000">
      <x:c r="A1000" s="39"/>
      <x:c r="B1000" s="39"/>
      <x:c r="C1000" s="39"/>
      <x:c r="D1000" s="39"/>
      <x:c r="E1000" s="39"/>
      <x:c r="F1000" s="39"/>
      <x:c r="G1000" s="39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</x:row>
    <x:row r="1001">
      <x:c r="A1001" s="39"/>
      <x:c r="B1001" s="39"/>
      <x:c r="C1001" s="39"/>
      <x:c r="D1001" s="39"/>
      <x:c r="E1001" s="39"/>
      <x:c r="F1001" s="39"/>
      <x:c r="G1001" s="39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</x:row>
    <x:row r="1002">
      <x:c r="A1002" s="39"/>
      <x:c r="B1002" s="39"/>
      <x:c r="C1002" s="39"/>
      <x:c r="D1002" s="39"/>
      <x:c r="E1002" s="39"/>
      <x:c r="F1002" s="39"/>
      <x:c r="G1002" s="39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</x:row>
    <x:row r="1003">
      <x:c r="A1003" s="39"/>
      <x:c r="B1003" s="39"/>
      <x:c r="C1003" s="39"/>
      <x:c r="D1003" s="39"/>
      <x:c r="E1003" s="39"/>
      <x:c r="F1003" s="39"/>
      <x:c r="G1003" s="39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</x:row>
    <x:row r="1004">
      <x:c r="A1004" s="39"/>
      <x:c r="B1004" s="39"/>
      <x:c r="C1004" s="39"/>
      <x:c r="D1004" s="39"/>
      <x:c r="E1004" s="39"/>
      <x:c r="F1004" s="39"/>
      <x:c r="G1004" s="39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</x:row>
    <x:row r="1005">
      <x:c r="A1005" s="39"/>
      <x:c r="B1005" s="39"/>
      <x:c r="C1005" s="39"/>
      <x:c r="D1005" s="39"/>
      <x:c r="E1005" s="39"/>
      <x:c r="F1005" s="39"/>
      <x:c r="G1005" s="39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</x:row>
    <x:row r="1006">
      <x:c r="A1006" s="39"/>
      <x:c r="B1006" s="39"/>
      <x:c r="C1006" s="39"/>
      <x:c r="D1006" s="39"/>
      <x:c r="E1006" s="39"/>
      <x:c r="F1006" s="39"/>
      <x:c r="G1006" s="39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</x:row>
    <x:row r="1007">
      <x:c r="A1007" s="39"/>
      <x:c r="B1007" s="39"/>
      <x:c r="C1007" s="39"/>
      <x:c r="D1007" s="39"/>
      <x:c r="E1007" s="39"/>
      <x:c r="F1007" s="39"/>
      <x:c r="G1007" s="39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</x:row>
    <x:row r="1008">
      <x:c r="A1008" s="39"/>
      <x:c r="B1008" s="39"/>
      <x:c r="C1008" s="39"/>
      <x:c r="D1008" s="39"/>
      <x:c r="E1008" s="39"/>
      <x:c r="F1008" s="39"/>
      <x:c r="G1008" s="39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</x:row>
    <x:row r="1009">
      <x:c r="A1009" s="39"/>
      <x:c r="B1009" s="39"/>
      <x:c r="C1009" s="39"/>
      <x:c r="D1009" s="39"/>
      <x:c r="E1009" s="39"/>
      <x:c r="F1009" s="39"/>
      <x:c r="G1009" s="39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</x:row>
    <x:row r="1010">
      <x:c r="A1010" s="39"/>
      <x:c r="B1010" s="39"/>
      <x:c r="C1010" s="39"/>
      <x:c r="D1010" s="39"/>
      <x:c r="E1010" s="39"/>
      <x:c r="F1010" s="39"/>
      <x:c r="G1010" s="39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</x:row>
    <x:row r="1011">
      <x:c r="A1011" s="39"/>
      <x:c r="B1011" s="39"/>
      <x:c r="C1011" s="39"/>
      <x:c r="D1011" s="39"/>
      <x:c r="E1011" s="39"/>
      <x:c r="F1011" s="39"/>
      <x:c r="G1011" s="39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</x:row>
    <x:row r="1012">
      <x:c r="A1012" s="39"/>
      <x:c r="B1012" s="39"/>
      <x:c r="C1012" s="39"/>
      <x:c r="D1012" s="39"/>
      <x:c r="E1012" s="39"/>
      <x:c r="F1012" s="39"/>
      <x:c r="G1012" s="39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</x:row>
    <x:row r="1013">
      <x:c r="A1013" s="39"/>
      <x:c r="B1013" s="39"/>
      <x:c r="C1013" s="39"/>
      <x:c r="D1013" s="39"/>
      <x:c r="E1013" s="39"/>
      <x:c r="F1013" s="39"/>
      <x:c r="G1013" s="39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</x:row>
    <x:row r="1014">
      <x:c r="A1014" s="39"/>
      <x:c r="B1014" s="39"/>
      <x:c r="C1014" s="39"/>
      <x:c r="D1014" s="39"/>
      <x:c r="E1014" s="39"/>
      <x:c r="F1014" s="39"/>
      <x:c r="G1014" s="39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</x:row>
    <x:row r="1015">
      <x:c r="A1015" s="39"/>
      <x:c r="B1015" s="39"/>
      <x:c r="C1015" s="39"/>
      <x:c r="D1015" s="39"/>
      <x:c r="E1015" s="39"/>
      <x:c r="F1015" s="39"/>
      <x:c r="G1015" s="39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</x:row>
    <x:row r="1016">
      <x:c r="A1016" s="39"/>
      <x:c r="B1016" s="39"/>
      <x:c r="C1016" s="39"/>
      <x:c r="D1016" s="39"/>
      <x:c r="E1016" s="39"/>
      <x:c r="F1016" s="39"/>
      <x:c r="G1016" s="39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</x:row>
    <x:row r="1017">
      <x:c r="A1017" s="39"/>
      <x:c r="B1017" s="39"/>
      <x:c r="C1017" s="39"/>
      <x:c r="D1017" s="39"/>
      <x:c r="E1017" s="39"/>
      <x:c r="F1017" s="39"/>
      <x:c r="G1017" s="39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</x:row>
    <x:row r="1018">
      <x:c r="A1018" s="39"/>
      <x:c r="B1018" s="39"/>
      <x:c r="C1018" s="39"/>
      <x:c r="D1018" s="39"/>
      <x:c r="E1018" s="39"/>
      <x:c r="F1018" s="39"/>
      <x:c r="G1018" s="39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</x:row>
    <x:row r="1019">
      <x:c r="A1019" s="39"/>
      <x:c r="B1019" s="39"/>
      <x:c r="C1019" s="39"/>
      <x:c r="D1019" s="39"/>
      <x:c r="E1019" s="39"/>
      <x:c r="F1019" s="39"/>
      <x:c r="G1019" s="39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</x:row>
    <x:row r="1020">
      <x:c r="A1020" s="39"/>
      <x:c r="B1020" s="39"/>
      <x:c r="C1020" s="39"/>
      <x:c r="D1020" s="39"/>
      <x:c r="E1020" s="39"/>
      <x:c r="F1020" s="39"/>
      <x:c r="G1020" s="39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</x:row>
    <x:row r="1021">
      <x:c r="A1021" s="39"/>
      <x:c r="B1021" s="39"/>
      <x:c r="C1021" s="39"/>
      <x:c r="D1021" s="39"/>
      <x:c r="E1021" s="39"/>
      <x:c r="F1021" s="39"/>
      <x:c r="G1021" s="39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</x:row>
    <x:row r="1022">
      <x:c r="A1022" s="39"/>
      <x:c r="B1022" s="39"/>
      <x:c r="C1022" s="39"/>
      <x:c r="D1022" s="39"/>
      <x:c r="E1022" s="39"/>
      <x:c r="F1022" s="39"/>
      <x:c r="G1022" s="39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</x:row>
    <x:row r="1023">
      <x:c r="A1023" s="39"/>
      <x:c r="B1023" s="39"/>
      <x:c r="C1023" s="39"/>
      <x:c r="D1023" s="39"/>
      <x:c r="E1023" s="39"/>
      <x:c r="F1023" s="39"/>
      <x:c r="G1023" s="39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</x:row>
    <x:row r="1024">
      <x:c r="A1024" s="39"/>
      <x:c r="B1024" s="39"/>
      <x:c r="C1024" s="39"/>
      <x:c r="D1024" s="39"/>
      <x:c r="E1024" s="39"/>
      <x:c r="F1024" s="39"/>
      <x:c r="G1024" s="39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</x:row>
    <x:row r="1025">
      <x:c r="A1025" s="39"/>
      <x:c r="B1025" s="39"/>
      <x:c r="C1025" s="39"/>
      <x:c r="D1025" s="39"/>
      <x:c r="E1025" s="39"/>
      <x:c r="F1025" s="39"/>
      <x:c r="G1025" s="39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</x:row>
    <x:row r="1026">
      <x:c r="A1026" s="39"/>
      <x:c r="B1026" s="39"/>
      <x:c r="C1026" s="39"/>
      <x:c r="D1026" s="39"/>
      <x:c r="E1026" s="39"/>
      <x:c r="F1026" s="39"/>
      <x:c r="G1026" s="39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</x:row>
    <x:row r="1027">
      <x:c r="A1027" s="39"/>
      <x:c r="B1027" s="39"/>
      <x:c r="C1027" s="39"/>
      <x:c r="D1027" s="39"/>
      <x:c r="E1027" s="39"/>
      <x:c r="F1027" s="39"/>
      <x:c r="G1027" s="39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</x:row>
    <x:row r="1028">
      <x:c r="A1028" s="39"/>
      <x:c r="B1028" s="39"/>
      <x:c r="C1028" s="39"/>
      <x:c r="D1028" s="39"/>
      <x:c r="E1028" s="39"/>
      <x:c r="F1028" s="39"/>
      <x:c r="G1028" s="39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</x:row>
    <x:row r="1029">
      <x:c r="A1029" s="39"/>
      <x:c r="B1029" s="39"/>
      <x:c r="C1029" s="39"/>
      <x:c r="D1029" s="39"/>
      <x:c r="E1029" s="39"/>
      <x:c r="F1029" s="39"/>
      <x:c r="G1029" s="39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</x:row>
    <x:row r="1030">
      <x:c r="A1030" s="39"/>
      <x:c r="B1030" s="39"/>
      <x:c r="C1030" s="39"/>
      <x:c r="D1030" s="39"/>
      <x:c r="E1030" s="39"/>
      <x:c r="F1030" s="39"/>
      <x:c r="G1030" s="39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</x:row>
    <x:row r="1031">
      <x:c r="A1031" s="39"/>
      <x:c r="B1031" s="39"/>
      <x:c r="C1031" s="39"/>
      <x:c r="D1031" s="39"/>
      <x:c r="E1031" s="39"/>
      <x:c r="F1031" s="39"/>
      <x:c r="G1031" s="39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</x:row>
    <x:row r="1032">
      <x:c r="A1032" s="39"/>
      <x:c r="B1032" s="39"/>
      <x:c r="C1032" s="39"/>
      <x:c r="D1032" s="39"/>
      <x:c r="E1032" s="39"/>
      <x:c r="F1032" s="39"/>
      <x:c r="G1032" s="39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</x:row>
    <x:row r="1033">
      <x:c r="A1033" s="39"/>
      <x:c r="B1033" s="39"/>
      <x:c r="C1033" s="39"/>
      <x:c r="D1033" s="39"/>
      <x:c r="E1033" s="39"/>
      <x:c r="F1033" s="39"/>
      <x:c r="G1033" s="39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</x:row>
    <x:row r="1034">
      <x:c r="A1034" s="39"/>
      <x:c r="B1034" s="39"/>
      <x:c r="C1034" s="39"/>
      <x:c r="D1034" s="39"/>
      <x:c r="E1034" s="39"/>
      <x:c r="F1034" s="39"/>
      <x:c r="G1034" s="39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</x:row>
    <x:row r="1035">
      <x:c r="A1035" s="39"/>
      <x:c r="B1035" s="39"/>
      <x:c r="C1035" s="39"/>
      <x:c r="D1035" s="39"/>
      <x:c r="E1035" s="39"/>
      <x:c r="F1035" s="39"/>
      <x:c r="G1035" s="39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</x:row>
    <x:row r="1036">
      <x:c r="A1036" s="39"/>
      <x:c r="B1036" s="39"/>
      <x:c r="C1036" s="39"/>
      <x:c r="D1036" s="39"/>
      <x:c r="E1036" s="39"/>
      <x:c r="F1036" s="39"/>
      <x:c r="G1036" s="39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</x:row>
    <x:row r="1037">
      <x:c r="A1037" s="39"/>
      <x:c r="B1037" s="39"/>
      <x:c r="C1037" s="39"/>
      <x:c r="D1037" s="39"/>
      <x:c r="E1037" s="39"/>
      <x:c r="F1037" s="39"/>
      <x:c r="G1037" s="39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</x:row>
    <x:row r="1038">
      <x:c r="A1038" s="39"/>
      <x:c r="B1038" s="39"/>
      <x:c r="C1038" s="39"/>
      <x:c r="D1038" s="39"/>
      <x:c r="E1038" s="39"/>
      <x:c r="F1038" s="39"/>
      <x:c r="G1038" s="39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</x:row>
    <x:row r="1039">
      <x:c r="A1039" s="39"/>
      <x:c r="B1039" s="39"/>
      <x:c r="C1039" s="39"/>
      <x:c r="D1039" s="39"/>
      <x:c r="E1039" s="39"/>
      <x:c r="F1039" s="39"/>
      <x:c r="G1039" s="39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</x:row>
    <x:row r="1040">
      <x:c r="A1040" s="39"/>
      <x:c r="B1040" s="39"/>
      <x:c r="C1040" s="39"/>
      <x:c r="D1040" s="39"/>
      <x:c r="E1040" s="39"/>
      <x:c r="F1040" s="39"/>
      <x:c r="G1040" s="39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</x:row>
    <x:row r="1041">
      <x:c r="A1041" s="39"/>
      <x:c r="B1041" s="39"/>
      <x:c r="C1041" s="39"/>
      <x:c r="D1041" s="39"/>
      <x:c r="E1041" s="39"/>
      <x:c r="F1041" s="39"/>
      <x:c r="G1041" s="39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</x:row>
    <x:row r="1042">
      <x:c r="A1042" s="39"/>
      <x:c r="B1042" s="39"/>
      <x:c r="C1042" s="39"/>
      <x:c r="D1042" s="39"/>
      <x:c r="E1042" s="39"/>
      <x:c r="F1042" s="39"/>
      <x:c r="G1042" s="39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</x:row>
    <x:row r="1043">
      <x:c r="A1043" s="39"/>
      <x:c r="B1043" s="39"/>
      <x:c r="C1043" s="39"/>
      <x:c r="D1043" s="39"/>
      <x:c r="E1043" s="39"/>
      <x:c r="F1043" s="39"/>
      <x:c r="G1043" s="39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</x:row>
    <x:row r="1044">
      <x:c r="A1044" s="39"/>
      <x:c r="B1044" s="39"/>
      <x:c r="C1044" s="39"/>
      <x:c r="D1044" s="39"/>
      <x:c r="E1044" s="39"/>
      <x:c r="F1044" s="39"/>
      <x:c r="G1044" s="39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</x:row>
    <x:row r="1045">
      <x:c r="A1045" s="39"/>
      <x:c r="B1045" s="39"/>
      <x:c r="C1045" s="39"/>
      <x:c r="D1045" s="39"/>
      <x:c r="E1045" s="39"/>
      <x:c r="F1045" s="39"/>
      <x:c r="G1045" s="39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</x:row>
    <x:row r="1046">
      <x:c r="A1046" s="39"/>
      <x:c r="B1046" s="39"/>
      <x:c r="C1046" s="39"/>
      <x:c r="D1046" s="39"/>
      <x:c r="E1046" s="39"/>
      <x:c r="F1046" s="39"/>
      <x:c r="G1046" s="39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</x:row>
    <x:row r="1047">
      <x:c r="A1047" s="39"/>
      <x:c r="B1047" s="39"/>
      <x:c r="C1047" s="39"/>
      <x:c r="D1047" s="39"/>
      <x:c r="E1047" s="39"/>
      <x:c r="F1047" s="39"/>
      <x:c r="G1047" s="39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</x:row>
    <x:row r="1048">
      <x:c r="A1048" s="39"/>
      <x:c r="B1048" s="39"/>
      <x:c r="C1048" s="39"/>
      <x:c r="D1048" s="39"/>
      <x:c r="E1048" s="39"/>
      <x:c r="F1048" s="39"/>
      <x:c r="G1048" s="39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</x:row>
    <x:row r="1049">
      <x:c r="A1049" s="39"/>
      <x:c r="B1049" s="39"/>
      <x:c r="C1049" s="39"/>
      <x:c r="D1049" s="39"/>
      <x:c r="E1049" s="39"/>
      <x:c r="F1049" s="39"/>
      <x:c r="G1049" s="39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</x:row>
    <x:row r="1050">
      <x:c r="A1050" s="39"/>
      <x:c r="B1050" s="39"/>
      <x:c r="C1050" s="39"/>
      <x:c r="D1050" s="39"/>
      <x:c r="E1050" s="39"/>
      <x:c r="F1050" s="39"/>
      <x:c r="G1050" s="39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</x:row>
    <x:row r="1051">
      <x:c r="A1051" s="39"/>
      <x:c r="B1051" s="39"/>
      <x:c r="C1051" s="39"/>
      <x:c r="D1051" s="39"/>
      <x:c r="E1051" s="39"/>
      <x:c r="F1051" s="39"/>
      <x:c r="G1051" s="39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</x:row>
    <x:row r="1052">
      <x:c r="A1052" s="39"/>
      <x:c r="B1052" s="39"/>
      <x:c r="C1052" s="39"/>
      <x:c r="D1052" s="39"/>
      <x:c r="E1052" s="39"/>
      <x:c r="F1052" s="39"/>
      <x:c r="G1052" s="39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</x:row>
    <x:row r="1053">
      <x:c r="A1053" s="39"/>
      <x:c r="B1053" s="39"/>
      <x:c r="C1053" s="39"/>
      <x:c r="D1053" s="39"/>
      <x:c r="E1053" s="39"/>
      <x:c r="F1053" s="39"/>
      <x:c r="G1053" s="39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</x:row>
    <x:row r="1054">
      <x:c r="A1054" s="39"/>
      <x:c r="B1054" s="39"/>
      <x:c r="C1054" s="39"/>
      <x:c r="D1054" s="39"/>
      <x:c r="E1054" s="39"/>
      <x:c r="F1054" s="39"/>
      <x:c r="G1054" s="39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</x:row>
    <x:row r="1055">
      <x:c r="A1055" s="39"/>
      <x:c r="B1055" s="39"/>
      <x:c r="C1055" s="39"/>
      <x:c r="D1055" s="39"/>
      <x:c r="E1055" s="39"/>
      <x:c r="F1055" s="39"/>
      <x:c r="G1055" s="39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</x:row>
    <x:row r="1056">
      <x:c r="A1056" s="39"/>
      <x:c r="B1056" s="39"/>
      <x:c r="C1056" s="39"/>
      <x:c r="D1056" s="39"/>
      <x:c r="E1056" s="39"/>
      <x:c r="F1056" s="39"/>
      <x:c r="G1056" s="39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</x:row>
    <x:row r="1057">
      <x:c r="A1057" s="39"/>
      <x:c r="B1057" s="39"/>
      <x:c r="C1057" s="39"/>
      <x:c r="D1057" s="39"/>
      <x:c r="E1057" s="39"/>
      <x:c r="F1057" s="39"/>
      <x:c r="G1057" s="39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</x:row>
    <x:row r="1058">
      <x:c r="A1058" s="39"/>
      <x:c r="B1058" s="39"/>
      <x:c r="C1058" s="39"/>
      <x:c r="D1058" s="39"/>
      <x:c r="E1058" s="39"/>
      <x:c r="F1058" s="39"/>
      <x:c r="G1058" s="39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</x:row>
    <x:row r="1059">
      <x:c r="A1059" s="39"/>
      <x:c r="B1059" s="39"/>
      <x:c r="C1059" s="39"/>
      <x:c r="D1059" s="39"/>
      <x:c r="E1059" s="39"/>
      <x:c r="F1059" s="39"/>
      <x:c r="G1059" s="39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</x:row>
    <x:row r="1060">
      <x:c r="A1060" s="39"/>
      <x:c r="B1060" s="39"/>
      <x:c r="C1060" s="39"/>
      <x:c r="D1060" s="39"/>
      <x:c r="E1060" s="39"/>
      <x:c r="F1060" s="39"/>
      <x:c r="G1060" s="39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</x:row>
    <x:row r="1061">
      <x:c r="A1061" s="39"/>
      <x:c r="B1061" s="39"/>
      <x:c r="C1061" s="39"/>
      <x:c r="D1061" s="39"/>
      <x:c r="E1061" s="39"/>
      <x:c r="F1061" s="39"/>
      <x:c r="G1061" s="39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</x:row>
    <x:row r="1062">
      <x:c r="A1062" s="39"/>
      <x:c r="B1062" s="39"/>
      <x:c r="C1062" s="39"/>
      <x:c r="D1062" s="39"/>
      <x:c r="E1062" s="39"/>
      <x:c r="F1062" s="39"/>
      <x:c r="G1062" s="39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</x:row>
    <x:row r="1063">
      <x:c r="A1063" s="39"/>
      <x:c r="B1063" s="39"/>
      <x:c r="C1063" s="39"/>
      <x:c r="D1063" s="39"/>
      <x:c r="E1063" s="39"/>
      <x:c r="F1063" s="39"/>
      <x:c r="G1063" s="39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</x:row>
    <x:row r="1064">
      <x:c r="A1064" s="39"/>
      <x:c r="B1064" s="39"/>
      <x:c r="C1064" s="39"/>
      <x:c r="D1064" s="39"/>
      <x:c r="E1064" s="39"/>
      <x:c r="F1064" s="39"/>
      <x:c r="G1064" s="39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</x:row>
    <x:row r="1065">
      <x:c r="A1065" s="39"/>
      <x:c r="B1065" s="39"/>
      <x:c r="C1065" s="39"/>
      <x:c r="D1065" s="39"/>
      <x:c r="E1065" s="39"/>
      <x:c r="F1065" s="39"/>
      <x:c r="G1065" s="39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</x:row>
    <x:row r="1066">
      <x:c r="A1066" s="39"/>
      <x:c r="B1066" s="39"/>
      <x:c r="C1066" s="39"/>
      <x:c r="D1066" s="39"/>
      <x:c r="E1066" s="39"/>
      <x:c r="F1066" s="39"/>
      <x:c r="G1066" s="39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</x:row>
    <x:row r="1067">
      <x:c r="A1067" s="39"/>
      <x:c r="B1067" s="39"/>
      <x:c r="C1067" s="39"/>
      <x:c r="D1067" s="39"/>
      <x:c r="E1067" s="39"/>
      <x:c r="F1067" s="39"/>
      <x:c r="G1067" s="39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</x:row>
    <x:row r="1068">
      <x:c r="A1068" s="39"/>
      <x:c r="B1068" s="39"/>
      <x:c r="C1068" s="39"/>
      <x:c r="D1068" s="39"/>
      <x:c r="E1068" s="39"/>
      <x:c r="F1068" s="39"/>
      <x:c r="G1068" s="39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</x:row>
    <x:row r="1069">
      <x:c r="A1069" s="39"/>
      <x:c r="B1069" s="39"/>
      <x:c r="C1069" s="39"/>
      <x:c r="D1069" s="39"/>
      <x:c r="E1069" s="39"/>
      <x:c r="F1069" s="39"/>
      <x:c r="G1069" s="39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</x:row>
    <x:row r="1070">
      <x:c r="A1070" s="39"/>
      <x:c r="B1070" s="39"/>
      <x:c r="C1070" s="39"/>
      <x:c r="D1070" s="39"/>
      <x:c r="E1070" s="39"/>
      <x:c r="F1070" s="39"/>
      <x:c r="G1070" s="39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</x:row>
    <x:row r="1071">
      <x:c r="A1071" s="39"/>
      <x:c r="B1071" s="39"/>
      <x:c r="C1071" s="39"/>
      <x:c r="D1071" s="39"/>
      <x:c r="E1071" s="39"/>
      <x:c r="F1071" s="39"/>
      <x:c r="G1071" s="39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</x:row>
    <x:row r="1072">
      <x:c r="A1072" s="39"/>
      <x:c r="B1072" s="39"/>
      <x:c r="C1072" s="39"/>
      <x:c r="D1072" s="39"/>
      <x:c r="E1072" s="39"/>
      <x:c r="F1072" s="39"/>
      <x:c r="G1072" s="39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</x:row>
    <x:row r="1073">
      <x:c r="A1073" s="39"/>
      <x:c r="B1073" s="39"/>
      <x:c r="C1073" s="39"/>
      <x:c r="D1073" s="39"/>
      <x:c r="E1073" s="39"/>
      <x:c r="F1073" s="39"/>
      <x:c r="G1073" s="39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</x:row>
    <x:row r="1074">
      <x:c r="A1074" s="39"/>
      <x:c r="B1074" s="39"/>
      <x:c r="C1074" s="39"/>
      <x:c r="D1074" s="39"/>
      <x:c r="E1074" s="39"/>
      <x:c r="F1074" s="39"/>
      <x:c r="G1074" s="39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</x:row>
    <x:row r="1075">
      <x:c r="A1075" s="39"/>
      <x:c r="B1075" s="39"/>
      <x:c r="C1075" s="39"/>
      <x:c r="D1075" s="39"/>
      <x:c r="E1075" s="39"/>
      <x:c r="F1075" s="39"/>
      <x:c r="G1075" s="39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</x:row>
    <x:row r="1076">
      <x:c r="A1076" s="39"/>
      <x:c r="B1076" s="39"/>
      <x:c r="C1076" s="39"/>
      <x:c r="D1076" s="39"/>
      <x:c r="E1076" s="39"/>
      <x:c r="F1076" s="39"/>
      <x:c r="G1076" s="39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</x:row>
    <x:row r="1077">
      <x:c r="A1077" s="39"/>
      <x:c r="B1077" s="39"/>
      <x:c r="C1077" s="39"/>
      <x:c r="D1077" s="39"/>
      <x:c r="E1077" s="39"/>
      <x:c r="F1077" s="39"/>
      <x:c r="G1077" s="39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</x:row>
    <x:row r="1078">
      <x:c r="A1078" s="39"/>
      <x:c r="B1078" s="39"/>
      <x:c r="C1078" s="39"/>
      <x:c r="D1078" s="39"/>
      <x:c r="E1078" s="39"/>
      <x:c r="F1078" s="39"/>
      <x:c r="G1078" s="39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</x:row>
    <x:row r="1079">
      <x:c r="A1079" s="39"/>
      <x:c r="B1079" s="39"/>
      <x:c r="C1079" s="39"/>
      <x:c r="D1079" s="39"/>
      <x:c r="E1079" s="39"/>
      <x:c r="F1079" s="39"/>
      <x:c r="G1079" s="39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</x:row>
    <x:row r="1080">
      <x:c r="A1080" s="39"/>
      <x:c r="B1080" s="39"/>
      <x:c r="C1080" s="39"/>
      <x:c r="D1080" s="39"/>
      <x:c r="E1080" s="39"/>
      <x:c r="F1080" s="39"/>
      <x:c r="G1080" s="39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</x:row>
    <x:row r="1081">
      <x:c r="A1081" s="39"/>
      <x:c r="B1081" s="39"/>
      <x:c r="C1081" s="39"/>
      <x:c r="D1081" s="39"/>
      <x:c r="E1081" s="39"/>
      <x:c r="F1081" s="39"/>
      <x:c r="G1081" s="39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</x:row>
    <x:row r="1082">
      <x:c r="A1082" s="39"/>
      <x:c r="B1082" s="39"/>
      <x:c r="C1082" s="39"/>
      <x:c r="D1082" s="39"/>
      <x:c r="E1082" s="39"/>
      <x:c r="F1082" s="39"/>
      <x:c r="G1082" s="39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</x:row>
    <x:row r="1083">
      <x:c r="A1083" s="39"/>
      <x:c r="B1083" s="39"/>
      <x:c r="C1083" s="39"/>
      <x:c r="D1083" s="39"/>
      <x:c r="E1083" s="39"/>
      <x:c r="F1083" s="39"/>
      <x:c r="G1083" s="39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</x:row>
    <x:row r="1084">
      <x:c r="A1084" s="39"/>
      <x:c r="B1084" s="39"/>
      <x:c r="C1084" s="39"/>
      <x:c r="D1084" s="39"/>
      <x:c r="E1084" s="39"/>
      <x:c r="F1084" s="39"/>
      <x:c r="G1084" s="39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</x:row>
    <x:row r="1085">
      <x:c r="A1085" s="39"/>
      <x:c r="B1085" s="39"/>
      <x:c r="C1085" s="39"/>
      <x:c r="D1085" s="39"/>
      <x:c r="E1085" s="39"/>
      <x:c r="F1085" s="39"/>
      <x:c r="G1085" s="39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</x:row>
    <x:row r="1086">
      <x:c r="A1086" s="39"/>
      <x:c r="B1086" s="39"/>
      <x:c r="C1086" s="39"/>
      <x:c r="D1086" s="39"/>
      <x:c r="E1086" s="39"/>
      <x:c r="F1086" s="39"/>
      <x:c r="G1086" s="39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</x:row>
    <x:row r="1087">
      <x:c r="A1087" s="39"/>
      <x:c r="B1087" s="39"/>
      <x:c r="C1087" s="39"/>
      <x:c r="D1087" s="39"/>
      <x:c r="E1087" s="39"/>
      <x:c r="F1087" s="39"/>
      <x:c r="G1087" s="39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</x:row>
    <x:row r="1088">
      <x:c r="A1088" s="39"/>
      <x:c r="B1088" s="39"/>
      <x:c r="C1088" s="39"/>
      <x:c r="D1088" s="39"/>
      <x:c r="E1088" s="39"/>
      <x:c r="F1088" s="39"/>
      <x:c r="G1088" s="39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</x:row>
    <x:row r="1089">
      <x:c r="A1089" s="39"/>
      <x:c r="B1089" s="39"/>
      <x:c r="C1089" s="39"/>
      <x:c r="D1089" s="39"/>
      <x:c r="E1089" s="39"/>
      <x:c r="F1089" s="39"/>
      <x:c r="G1089" s="39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</x:row>
    <x:row r="1090">
      <x:c r="A1090" s="39"/>
      <x:c r="B1090" s="39"/>
      <x:c r="C1090" s="39"/>
      <x:c r="D1090" s="39"/>
      <x:c r="E1090" s="39"/>
      <x:c r="F1090" s="39"/>
      <x:c r="G1090" s="39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</x:row>
    <x:row r="1091">
      <x:c r="A1091" s="39"/>
      <x:c r="B1091" s="39"/>
      <x:c r="C1091" s="39"/>
      <x:c r="D1091" s="39"/>
      <x:c r="E1091" s="39"/>
      <x:c r="F1091" s="39"/>
      <x:c r="G1091" s="39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</x:row>
    <x:row r="1092">
      <x:c r="A1092" s="39"/>
      <x:c r="B1092" s="39"/>
      <x:c r="C1092" s="39"/>
      <x:c r="D1092" s="39"/>
      <x:c r="E1092" s="39"/>
      <x:c r="F1092" s="39"/>
      <x:c r="G1092" s="39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</x:row>
    <x:row r="1093">
      <x:c r="A1093" s="39"/>
      <x:c r="B1093" s="39"/>
      <x:c r="C1093" s="39"/>
      <x:c r="D1093" s="39"/>
      <x:c r="E1093" s="39"/>
      <x:c r="F1093" s="39"/>
      <x:c r="G1093" s="39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</x:row>
    <x:row r="1094">
      <x:c r="A1094" s="39"/>
      <x:c r="B1094" s="39"/>
      <x:c r="C1094" s="39"/>
      <x:c r="D1094" s="39"/>
      <x:c r="E1094" s="39"/>
      <x:c r="F1094" s="39"/>
      <x:c r="G1094" s="39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</x:row>
    <x:row r="1095">
      <x:c r="A1095" s="39"/>
      <x:c r="B1095" s="39"/>
      <x:c r="C1095" s="39"/>
      <x:c r="D1095" s="39"/>
      <x:c r="E1095" s="39"/>
      <x:c r="F1095" s="39"/>
      <x:c r="G1095" s="39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</x:row>
    <x:row r="1096">
      <x:c r="A1096" s="39"/>
      <x:c r="B1096" s="39"/>
      <x:c r="C1096" s="39"/>
      <x:c r="D1096" s="39"/>
      <x:c r="E1096" s="39"/>
      <x:c r="F1096" s="39"/>
      <x:c r="G1096" s="39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</x:row>
    <x:row r="1097">
      <x:c r="A1097" s="39"/>
      <x:c r="B1097" s="39"/>
      <x:c r="C1097" s="39"/>
      <x:c r="D1097" s="39"/>
      <x:c r="E1097" s="39"/>
      <x:c r="F1097" s="39"/>
      <x:c r="G1097" s="39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</x:row>
    <x:row r="1098">
      <x:c r="A1098" s="39"/>
      <x:c r="B1098" s="39"/>
      <x:c r="C1098" s="39"/>
      <x:c r="D1098" s="39"/>
      <x:c r="E1098" s="39"/>
      <x:c r="F1098" s="39"/>
      <x:c r="G1098" s="39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</x:row>
    <x:row r="1099">
      <x:c r="A1099" s="39"/>
      <x:c r="B1099" s="39"/>
      <x:c r="C1099" s="39"/>
      <x:c r="D1099" s="39"/>
      <x:c r="E1099" s="39"/>
      <x:c r="F1099" s="39"/>
      <x:c r="G1099" s="39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</x:row>
    <x:row r="1100">
      <x:c r="A1100" s="39"/>
      <x:c r="B1100" s="39"/>
      <x:c r="C1100" s="39"/>
      <x:c r="D1100" s="39"/>
      <x:c r="E1100" s="39"/>
      <x:c r="F1100" s="39"/>
      <x:c r="G1100" s="39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</x:row>
    <x:row r="1101">
      <x:c r="A1101" s="39"/>
      <x:c r="B1101" s="39"/>
      <x:c r="C1101" s="39"/>
      <x:c r="D1101" s="39"/>
      <x:c r="E1101" s="39"/>
      <x:c r="F1101" s="39"/>
      <x:c r="G1101" s="39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</x:row>
    <x:row r="1102">
      <x:c r="A1102" s="39"/>
      <x:c r="B1102" s="39"/>
      <x:c r="C1102" s="39"/>
      <x:c r="D1102" s="39"/>
      <x:c r="E1102" s="39"/>
      <x:c r="F1102" s="39"/>
      <x:c r="G1102" s="39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</x:row>
    <x:row r="1103">
      <x:c r="A1103" s="39"/>
      <x:c r="B1103" s="39"/>
      <x:c r="C1103" s="39"/>
      <x:c r="D1103" s="39"/>
      <x:c r="E1103" s="39"/>
      <x:c r="F1103" s="39"/>
      <x:c r="G1103" s="39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</x:row>
    <x:row r="1104">
      <x:c r="A1104" s="39"/>
      <x:c r="B1104" s="39"/>
      <x:c r="C1104" s="39"/>
      <x:c r="D1104" s="39"/>
      <x:c r="E1104" s="39"/>
      <x:c r="F1104" s="39"/>
      <x:c r="G1104" s="39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</x:row>
    <x:row r="1105">
      <x:c r="A1105" s="39"/>
      <x:c r="B1105" s="39"/>
      <x:c r="C1105" s="39"/>
      <x:c r="D1105" s="39"/>
      <x:c r="E1105" s="39"/>
      <x:c r="F1105" s="39"/>
      <x:c r="G1105" s="39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</x:row>
    <x:row r="1106">
      <x:c r="A1106" s="39"/>
      <x:c r="B1106" s="39"/>
      <x:c r="C1106" s="39"/>
      <x:c r="D1106" s="39"/>
      <x:c r="E1106" s="39"/>
      <x:c r="F1106" s="39"/>
      <x:c r="G1106" s="39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</x:row>
    <x:row r="1107">
      <x:c r="A1107" s="39"/>
      <x:c r="B1107" s="39"/>
      <x:c r="C1107" s="39"/>
      <x:c r="D1107" s="39"/>
      <x:c r="E1107" s="39"/>
      <x:c r="F1107" s="39"/>
      <x:c r="G1107" s="39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</x:row>
    <x:row r="1108">
      <x:c r="A1108" s="39"/>
      <x:c r="B1108" s="39"/>
      <x:c r="C1108" s="39"/>
      <x:c r="D1108" s="39"/>
      <x:c r="E1108" s="39"/>
      <x:c r="F1108" s="39"/>
      <x:c r="G1108" s="39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</x:row>
    <x:row r="1109">
      <x:c r="A1109" s="39"/>
      <x:c r="B1109" s="39"/>
      <x:c r="C1109" s="39"/>
      <x:c r="D1109" s="39"/>
      <x:c r="E1109" s="39"/>
      <x:c r="F1109" s="39"/>
      <x:c r="G1109" s="39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</x:row>
    <x:row r="1110">
      <x:c r="A1110" s="39"/>
      <x:c r="B1110" s="39"/>
      <x:c r="C1110" s="39"/>
      <x:c r="D1110" s="39"/>
      <x:c r="E1110" s="39"/>
      <x:c r="F1110" s="39"/>
      <x:c r="G1110" s="39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</x:row>
    <x:row r="1111">
      <x:c r="A1111" s="39"/>
      <x:c r="B1111" s="39"/>
      <x:c r="C1111" s="39"/>
      <x:c r="D1111" s="39"/>
      <x:c r="E1111" s="39"/>
      <x:c r="F1111" s="39"/>
      <x:c r="G1111" s="39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</x:row>
    <x:row r="1112">
      <x:c r="A1112" s="39"/>
      <x:c r="B1112" s="39"/>
      <x:c r="C1112" s="39"/>
      <x:c r="D1112" s="39"/>
      <x:c r="E1112" s="39"/>
      <x:c r="F1112" s="39"/>
      <x:c r="G1112" s="39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</x:row>
    <x:row r="1113">
      <x:c r="A1113" s="39"/>
      <x:c r="B1113" s="39"/>
      <x:c r="C1113" s="39"/>
      <x:c r="D1113" s="39"/>
      <x:c r="E1113" s="39"/>
      <x:c r="F1113" s="39"/>
      <x:c r="G1113" s="39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</x:row>
    <x:row r="1114">
      <x:c r="A1114" s="39"/>
      <x:c r="B1114" s="39"/>
      <x:c r="C1114" s="39"/>
      <x:c r="D1114" s="39"/>
      <x:c r="E1114" s="39"/>
      <x:c r="F1114" s="39"/>
      <x:c r="G1114" s="39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</x:row>
    <x:row r="1115">
      <x:c r="A1115" s="39"/>
      <x:c r="B1115" s="39"/>
      <x:c r="C1115" s="39"/>
      <x:c r="D1115" s="39"/>
      <x:c r="E1115" s="39"/>
      <x:c r="F1115" s="39"/>
      <x:c r="G1115" s="39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</x:row>
    <x:row r="1116">
      <x:c r="A1116" s="39"/>
      <x:c r="B1116" s="39"/>
      <x:c r="C1116" s="39"/>
      <x:c r="D1116" s="39"/>
      <x:c r="E1116" s="39"/>
      <x:c r="F1116" s="39"/>
      <x:c r="G1116" s="39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</x:row>
    <x:row r="1117">
      <x:c r="A1117" s="39"/>
      <x:c r="B1117" s="39"/>
      <x:c r="C1117" s="39"/>
      <x:c r="D1117" s="39"/>
      <x:c r="E1117" s="39"/>
      <x:c r="F1117" s="39"/>
      <x:c r="G1117" s="39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</x:row>
    <x:row r="1118">
      <x:c r="A1118" s="39"/>
      <x:c r="B1118" s="39"/>
      <x:c r="C1118" s="39"/>
      <x:c r="D1118" s="39"/>
      <x:c r="E1118" s="39"/>
      <x:c r="F1118" s="39"/>
      <x:c r="G1118" s="39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</x:row>
    <x:row r="1119">
      <x:c r="A1119" s="39"/>
      <x:c r="B1119" s="39"/>
      <x:c r="C1119" s="39"/>
      <x:c r="D1119" s="39"/>
      <x:c r="E1119" s="39"/>
      <x:c r="F1119" s="39"/>
      <x:c r="G1119" s="39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</x:row>
    <x:row r="1120">
      <x:c r="A1120" s="39"/>
      <x:c r="B1120" s="39"/>
      <x:c r="C1120" s="39"/>
      <x:c r="D1120" s="39"/>
      <x:c r="E1120" s="39"/>
      <x:c r="F1120" s="39"/>
      <x:c r="G1120" s="39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</x:row>
    <x:row r="1121">
      <x:c r="A1121" s="39"/>
      <x:c r="B1121" s="39"/>
      <x:c r="C1121" s="39"/>
      <x:c r="D1121" s="39"/>
      <x:c r="E1121" s="39"/>
      <x:c r="F1121" s="39"/>
      <x:c r="G1121" s="39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</x:row>
    <x:row r="1122">
      <x:c r="A1122" s="39"/>
      <x:c r="B1122" s="39"/>
      <x:c r="C1122" s="39"/>
      <x:c r="D1122" s="39"/>
      <x:c r="E1122" s="39"/>
      <x:c r="F1122" s="39"/>
      <x:c r="G1122" s="39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</x:row>
    <x:row r="1123">
      <x:c r="A1123" s="39"/>
      <x:c r="B1123" s="39"/>
      <x:c r="C1123" s="39"/>
      <x:c r="D1123" s="39"/>
      <x:c r="E1123" s="39"/>
      <x:c r="F1123" s="39"/>
      <x:c r="G1123" s="39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</x:row>
    <x:row r="1124">
      <x:c r="A1124" s="39"/>
      <x:c r="B1124" s="39"/>
      <x:c r="C1124" s="39"/>
      <x:c r="D1124" s="39"/>
      <x:c r="E1124" s="39"/>
      <x:c r="F1124" s="39"/>
      <x:c r="G1124" s="39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</x:row>
    <x:row r="1125">
      <x:c r="A1125" s="39"/>
      <x:c r="B1125" s="39"/>
      <x:c r="C1125" s="39"/>
      <x:c r="D1125" s="39"/>
      <x:c r="E1125" s="39"/>
      <x:c r="F1125" s="39"/>
      <x:c r="G1125" s="39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</x:row>
    <x:row r="1126">
      <x:c r="A1126" s="39"/>
      <x:c r="B1126" s="39"/>
      <x:c r="C1126" s="39"/>
      <x:c r="D1126" s="39"/>
      <x:c r="E1126" s="39"/>
      <x:c r="F1126" s="39"/>
      <x:c r="G1126" s="39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</x:row>
    <x:row r="1127">
      <x:c r="A1127" s="39"/>
      <x:c r="B1127" s="39"/>
      <x:c r="C1127" s="39"/>
      <x:c r="D1127" s="39"/>
      <x:c r="E1127" s="39"/>
      <x:c r="F1127" s="39"/>
      <x:c r="G1127" s="39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</x:row>
    <x:row r="1128">
      <x:c r="A1128" s="39"/>
      <x:c r="B1128" s="39"/>
      <x:c r="C1128" s="39"/>
      <x:c r="D1128" s="39"/>
      <x:c r="E1128" s="39"/>
      <x:c r="F1128" s="39"/>
      <x:c r="G1128" s="39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</x:row>
    <x:row r="1129">
      <x:c r="A1129" s="39"/>
      <x:c r="B1129" s="39"/>
      <x:c r="C1129" s="39"/>
      <x:c r="D1129" s="39"/>
      <x:c r="E1129" s="39"/>
      <x:c r="F1129" s="39"/>
      <x:c r="G1129" s="39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</x:row>
    <x:row r="1130">
      <x:c r="A1130" s="39"/>
      <x:c r="B1130" s="39"/>
      <x:c r="C1130" s="39"/>
      <x:c r="D1130" s="39"/>
      <x:c r="E1130" s="39"/>
      <x:c r="F1130" s="39"/>
      <x:c r="G1130" s="39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</x:row>
    <x:row r="1131">
      <x:c r="A1131" s="39"/>
      <x:c r="B1131" s="39"/>
      <x:c r="C1131" s="39"/>
      <x:c r="D1131" s="39"/>
      <x:c r="E1131" s="39"/>
      <x:c r="F1131" s="39"/>
      <x:c r="G1131" s="39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</x:row>
    <x:row r="1132">
      <x:c r="A1132" s="39"/>
      <x:c r="B1132" s="39"/>
      <x:c r="C1132" s="39"/>
      <x:c r="D1132" s="39"/>
      <x:c r="E1132" s="39"/>
      <x:c r="F1132" s="39"/>
      <x:c r="G1132" s="39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</x:row>
    <x:row r="1133">
      <x:c r="A1133" s="39"/>
      <x:c r="B1133" s="39"/>
      <x:c r="C1133" s="39"/>
      <x:c r="D1133" s="39"/>
      <x:c r="E1133" s="39"/>
      <x:c r="F1133" s="39"/>
      <x:c r="G1133" s="39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</x:row>
    <x:row r="1134">
      <x:c r="A1134" s="39"/>
      <x:c r="B1134" s="39"/>
      <x:c r="C1134" s="39"/>
      <x:c r="D1134" s="39"/>
      <x:c r="E1134" s="39"/>
      <x:c r="F1134" s="39"/>
      <x:c r="G1134" s="39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</x:row>
    <x:row r="1135">
      <x:c r="A1135" s="39"/>
      <x:c r="B1135" s="39"/>
      <x:c r="C1135" s="39"/>
      <x:c r="D1135" s="39"/>
      <x:c r="E1135" s="39"/>
      <x:c r="F1135" s="39"/>
      <x:c r="G1135" s="39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</x:row>
    <x:row r="1136">
      <x:c r="A1136" s="39"/>
      <x:c r="B1136" s="39"/>
      <x:c r="C1136" s="39"/>
      <x:c r="D1136" s="39"/>
      <x:c r="E1136" s="39"/>
      <x:c r="F1136" s="39"/>
      <x:c r="G1136" s="39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</x:row>
    <x:row r="1137">
      <x:c r="A1137" s="39"/>
      <x:c r="B1137" s="39"/>
      <x:c r="C1137" s="39"/>
      <x:c r="D1137" s="39"/>
      <x:c r="E1137" s="39"/>
      <x:c r="F1137" s="39"/>
      <x:c r="G1137" s="39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</x:row>
    <x:row r="1138">
      <x:c r="A1138" s="39"/>
      <x:c r="B1138" s="39"/>
      <x:c r="C1138" s="39"/>
      <x:c r="D1138" s="39"/>
      <x:c r="E1138" s="39"/>
      <x:c r="F1138" s="39"/>
      <x:c r="G1138" s="39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</x:row>
    <x:row r="1139">
      <x:c r="A1139" s="39"/>
      <x:c r="B1139" s="39"/>
      <x:c r="C1139" s="39"/>
      <x:c r="D1139" s="39"/>
      <x:c r="E1139" s="39"/>
      <x:c r="F1139" s="39"/>
      <x:c r="G1139" s="39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</x:row>
    <x:row r="1140">
      <x:c r="A1140" s="39"/>
      <x:c r="B1140" s="39"/>
      <x:c r="C1140" s="39"/>
      <x:c r="D1140" s="39"/>
      <x:c r="E1140" s="39"/>
      <x:c r="F1140" s="39"/>
      <x:c r="G1140" s="39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</x:row>
    <x:row r="1141">
      <x:c r="A1141" s="39"/>
      <x:c r="B1141" s="39"/>
      <x:c r="C1141" s="39"/>
      <x:c r="D1141" s="39"/>
      <x:c r="E1141" s="39"/>
      <x:c r="F1141" s="39"/>
      <x:c r="G1141" s="39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</x:row>
    <x:row r="1142">
      <x:c r="A1142" s="39"/>
      <x:c r="B1142" s="39"/>
      <x:c r="C1142" s="39"/>
      <x:c r="D1142" s="39"/>
      <x:c r="E1142" s="39"/>
      <x:c r="F1142" s="39"/>
      <x:c r="G1142" s="39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</x:row>
    <x:row r="1143">
      <x:c r="A1143" s="39"/>
      <x:c r="B1143" s="39"/>
      <x:c r="C1143" s="39"/>
      <x:c r="D1143" s="39"/>
      <x:c r="E1143" s="39"/>
      <x:c r="F1143" s="39"/>
      <x:c r="G1143" s="39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</x:row>
    <x:row r="1144">
      <x:c r="A1144" s="39"/>
      <x:c r="B1144" s="39"/>
      <x:c r="C1144" s="39"/>
      <x:c r="D1144" s="39"/>
      <x:c r="E1144" s="39"/>
      <x:c r="F1144" s="39"/>
      <x:c r="G1144" s="39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</x:row>
    <x:row r="1145">
      <x:c r="A1145" s="39"/>
      <x:c r="B1145" s="39"/>
      <x:c r="C1145" s="39"/>
      <x:c r="D1145" s="39"/>
      <x:c r="E1145" s="39"/>
      <x:c r="F1145" s="39"/>
      <x:c r="G1145" s="39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</x:row>
    <x:row r="1146">
      <x:c r="A1146" s="39"/>
      <x:c r="B1146" s="39"/>
      <x:c r="C1146" s="39"/>
      <x:c r="D1146" s="39"/>
      <x:c r="E1146" s="39"/>
      <x:c r="F1146" s="39"/>
      <x:c r="G1146" s="39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</x:row>
    <x:row r="1147">
      <x:c r="A1147" s="39"/>
      <x:c r="B1147" s="39"/>
      <x:c r="C1147" s="39"/>
      <x:c r="D1147" s="39"/>
      <x:c r="E1147" s="39"/>
      <x:c r="F1147" s="39"/>
      <x:c r="G1147" s="39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</x:row>
    <x:row r="1148">
      <x:c r="A1148" s="39"/>
      <x:c r="B1148" s="39"/>
      <x:c r="C1148" s="39"/>
      <x:c r="D1148" s="39"/>
      <x:c r="E1148" s="39"/>
      <x:c r="F1148" s="39"/>
      <x:c r="G1148" s="39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</x:row>
    <x:row r="1149">
      <x:c r="A1149" s="39"/>
      <x:c r="B1149" s="39"/>
      <x:c r="C1149" s="39"/>
      <x:c r="D1149" s="39"/>
      <x:c r="E1149" s="39"/>
      <x:c r="F1149" s="39"/>
      <x:c r="G1149" s="39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</x:row>
    <x:row r="1150">
      <x:c r="A1150" s="39"/>
      <x:c r="B1150" s="39"/>
      <x:c r="C1150" s="39"/>
      <x:c r="D1150" s="39"/>
      <x:c r="E1150" s="39"/>
      <x:c r="F1150" s="39"/>
      <x:c r="G1150" s="39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</x:row>
    <x:row r="1151">
      <x:c r="A1151" s="39"/>
      <x:c r="B1151" s="39"/>
      <x:c r="C1151" s="39"/>
      <x:c r="D1151" s="39"/>
      <x:c r="E1151" s="39"/>
      <x:c r="F1151" s="39"/>
      <x:c r="G1151" s="39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</x:row>
    <x:row r="1152">
      <x:c r="A1152" s="39"/>
      <x:c r="B1152" s="39"/>
      <x:c r="C1152" s="39"/>
      <x:c r="D1152" s="39"/>
      <x:c r="E1152" s="39"/>
      <x:c r="F1152" s="39"/>
      <x:c r="G1152" s="39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</x:row>
    <x:row r="1153">
      <x:c r="A1153" s="39"/>
      <x:c r="B1153" s="39"/>
      <x:c r="C1153" s="39"/>
      <x:c r="D1153" s="39"/>
      <x:c r="E1153" s="39"/>
      <x:c r="F1153" s="39"/>
      <x:c r="G1153" s="39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</x:row>
    <x:row r="1154">
      <x:c r="A1154" s="39"/>
      <x:c r="B1154" s="39"/>
      <x:c r="C1154" s="39"/>
      <x:c r="D1154" s="39"/>
      <x:c r="E1154" s="39"/>
      <x:c r="F1154" s="39"/>
      <x:c r="G1154" s="39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</x:row>
    <x:row r="1155">
      <x:c r="A1155" s="39"/>
      <x:c r="B1155" s="39"/>
      <x:c r="C1155" s="39"/>
      <x:c r="D1155" s="39"/>
      <x:c r="E1155" s="39"/>
      <x:c r="F1155" s="39"/>
      <x:c r="G1155" s="39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</x:row>
    <x:row r="1156">
      <x:c r="A1156" s="39"/>
      <x:c r="B1156" s="39"/>
      <x:c r="C1156" s="39"/>
      <x:c r="D1156" s="39"/>
      <x:c r="E1156" s="39"/>
      <x:c r="F1156" s="39"/>
      <x:c r="G1156" s="39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</x:row>
    <x:row r="1157">
      <x:c r="A1157" s="39"/>
      <x:c r="B1157" s="39"/>
      <x:c r="C1157" s="39"/>
      <x:c r="D1157" s="39"/>
      <x:c r="E1157" s="39"/>
      <x:c r="F1157" s="39"/>
      <x:c r="G1157" s="39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</x:row>
    <x:row r="1158">
      <x:c r="A1158" s="39"/>
      <x:c r="B1158" s="39"/>
      <x:c r="C1158" s="39"/>
      <x:c r="D1158" s="39"/>
      <x:c r="E1158" s="39"/>
      <x:c r="F1158" s="39"/>
      <x:c r="G1158" s="39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</x:row>
    <x:row r="1159">
      <x:c r="A1159" s="39"/>
      <x:c r="B1159" s="39"/>
      <x:c r="C1159" s="39"/>
      <x:c r="D1159" s="39"/>
      <x:c r="E1159" s="39"/>
      <x:c r="F1159" s="39"/>
      <x:c r="G1159" s="39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</x:row>
    <x:row r="1160">
      <x:c r="A1160" s="39"/>
      <x:c r="B1160" s="39"/>
      <x:c r="C1160" s="39"/>
      <x:c r="D1160" s="39"/>
      <x:c r="E1160" s="39"/>
      <x:c r="F1160" s="39"/>
      <x:c r="G1160" s="39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</x:row>
    <x:row r="1161">
      <x:c r="A1161" s="39"/>
      <x:c r="B1161" s="39"/>
      <x:c r="C1161" s="39"/>
      <x:c r="D1161" s="39"/>
      <x:c r="E1161" s="39"/>
      <x:c r="F1161" s="39"/>
      <x:c r="G1161" s="39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</x:row>
    <x:row r="1162">
      <x:c r="A1162" s="39"/>
      <x:c r="B1162" s="39"/>
      <x:c r="C1162" s="39"/>
      <x:c r="D1162" s="39"/>
      <x:c r="E1162" s="39"/>
      <x:c r="F1162" s="39"/>
      <x:c r="G1162" s="39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</x:row>
    <x:row r="1163">
      <x:c r="A1163" s="39"/>
      <x:c r="B1163" s="39"/>
      <x:c r="C1163" s="39"/>
      <x:c r="D1163" s="39"/>
      <x:c r="E1163" s="39"/>
      <x:c r="F1163" s="39"/>
      <x:c r="G1163" s="39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</x:row>
    <x:row r="1164">
      <x:c r="A1164" s="39"/>
      <x:c r="B1164" s="39"/>
      <x:c r="C1164" s="39"/>
      <x:c r="D1164" s="39"/>
      <x:c r="E1164" s="39"/>
      <x:c r="F1164" s="39"/>
      <x:c r="G1164" s="39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</x:row>
    <x:row r="1165">
      <x:c r="A1165" s="39"/>
      <x:c r="B1165" s="39"/>
      <x:c r="C1165" s="39"/>
      <x:c r="D1165" s="39"/>
      <x:c r="E1165" s="39"/>
      <x:c r="F1165" s="39"/>
      <x:c r="G1165" s="39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</x:row>
    <x:row r="1166">
      <x:c r="A1166" s="39"/>
      <x:c r="B1166" s="39"/>
      <x:c r="C1166" s="39"/>
      <x:c r="D1166" s="39"/>
      <x:c r="E1166" s="39"/>
      <x:c r="F1166" s="39"/>
      <x:c r="G1166" s="39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</x:row>
    <x:row r="1167">
      <x:c r="A1167" s="39"/>
      <x:c r="B1167" s="39"/>
      <x:c r="C1167" s="39"/>
      <x:c r="D1167" s="39"/>
      <x:c r="E1167" s="39"/>
      <x:c r="F1167" s="39"/>
      <x:c r="G1167" s="39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</x:row>
    <x:row r="1168">
      <x:c r="A1168" s="39"/>
      <x:c r="B1168" s="39"/>
      <x:c r="C1168" s="39"/>
      <x:c r="D1168" s="39"/>
      <x:c r="E1168" s="39"/>
      <x:c r="F1168" s="39"/>
      <x:c r="G1168" s="39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</x:row>
    <x:row r="1169">
      <x:c r="A1169" s="39"/>
      <x:c r="B1169" s="39"/>
      <x:c r="C1169" s="39"/>
      <x:c r="D1169" s="39"/>
      <x:c r="E1169" s="39"/>
      <x:c r="F1169" s="39"/>
      <x:c r="G1169" s="39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</x:row>
    <x:row r="1170">
      <x:c r="A1170" s="39"/>
      <x:c r="B1170" s="39"/>
      <x:c r="C1170" s="39"/>
      <x:c r="D1170" s="39"/>
      <x:c r="E1170" s="39"/>
      <x:c r="F1170" s="39"/>
      <x:c r="G1170" s="39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</x:row>
    <x:row r="1171">
      <x:c r="A1171" s="39"/>
      <x:c r="B1171" s="39"/>
      <x:c r="C1171" s="39"/>
      <x:c r="D1171" s="39"/>
      <x:c r="E1171" s="39"/>
      <x:c r="F1171" s="39"/>
      <x:c r="G1171" s="39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</x:row>
    <x:row r="1172">
      <x:c r="A1172" s="39"/>
      <x:c r="B1172" s="39"/>
      <x:c r="C1172" s="39"/>
      <x:c r="D1172" s="39"/>
      <x:c r="E1172" s="39"/>
      <x:c r="F1172" s="39"/>
      <x:c r="G1172" s="39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</x:row>
    <x:row r="1173">
      <x:c r="A1173" s="39"/>
      <x:c r="B1173" s="39"/>
      <x:c r="C1173" s="39"/>
      <x:c r="D1173" s="39"/>
      <x:c r="E1173" s="39"/>
      <x:c r="F1173" s="39"/>
      <x:c r="G1173" s="39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</x:row>
    <x:row r="1174">
      <x:c r="A1174" s="39"/>
      <x:c r="B1174" s="39"/>
      <x:c r="C1174" s="39"/>
      <x:c r="D1174" s="39"/>
      <x:c r="E1174" s="39"/>
      <x:c r="F1174" s="39"/>
      <x:c r="G1174" s="39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</x:row>
    <x:row r="1175">
      <x:c r="A1175" s="39"/>
      <x:c r="B1175" s="39"/>
      <x:c r="C1175" s="39"/>
      <x:c r="D1175" s="39"/>
      <x:c r="E1175" s="39"/>
      <x:c r="F1175" s="39"/>
      <x:c r="G1175" s="39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</x:row>
    <x:row r="1176">
      <x:c r="A1176" s="39"/>
      <x:c r="B1176" s="39"/>
      <x:c r="C1176" s="39"/>
      <x:c r="D1176" s="39"/>
      <x:c r="E1176" s="39"/>
      <x:c r="F1176" s="39"/>
      <x:c r="G1176" s="39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</x:row>
    <x:row r="1177">
      <x:c r="A1177" s="39"/>
      <x:c r="B1177" s="39"/>
      <x:c r="C1177" s="39"/>
      <x:c r="D1177" s="39"/>
      <x:c r="E1177" s="39"/>
      <x:c r="F1177" s="39"/>
      <x:c r="G1177" s="39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</x:row>
    <x:row r="1178">
      <x:c r="A1178" s="39"/>
      <x:c r="B1178" s="39"/>
      <x:c r="C1178" s="39"/>
      <x:c r="D1178" s="39"/>
      <x:c r="E1178" s="39"/>
      <x:c r="F1178" s="39"/>
      <x:c r="G1178" s="39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</x:row>
    <x:row r="1179">
      <x:c r="A1179" s="39"/>
      <x:c r="B1179" s="39"/>
      <x:c r="C1179" s="39"/>
      <x:c r="D1179" s="39"/>
      <x:c r="E1179" s="39"/>
      <x:c r="F1179" s="39"/>
      <x:c r="G1179" s="39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</x:row>
    <x:row r="1180">
      <x:c r="A1180" s="39"/>
      <x:c r="B1180" s="39"/>
      <x:c r="C1180" s="39"/>
      <x:c r="D1180" s="39"/>
      <x:c r="E1180" s="39"/>
      <x:c r="F1180" s="39"/>
      <x:c r="G1180" s="39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</x:row>
    <x:row r="1181">
      <x:c r="A1181" s="39"/>
      <x:c r="B1181" s="39"/>
      <x:c r="C1181" s="39"/>
      <x:c r="D1181" s="39"/>
      <x:c r="E1181" s="39"/>
      <x:c r="F1181" s="39"/>
      <x:c r="G1181" s="39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</x:row>
    <x:row r="1182">
      <x:c r="A1182" s="39"/>
      <x:c r="B1182" s="39"/>
      <x:c r="C1182" s="39"/>
      <x:c r="D1182" s="39"/>
      <x:c r="E1182" s="39"/>
      <x:c r="F1182" s="39"/>
      <x:c r="G1182" s="39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</x:row>
    <x:row r="1183">
      <x:c r="A1183" s="39"/>
      <x:c r="B1183" s="39"/>
      <x:c r="C1183" s="39"/>
      <x:c r="D1183" s="39"/>
      <x:c r="E1183" s="39"/>
      <x:c r="F1183" s="39"/>
      <x:c r="G1183" s="39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</x:row>
    <x:row r="1184">
      <x:c r="A1184" s="39"/>
      <x:c r="B1184" s="39"/>
      <x:c r="C1184" s="39"/>
      <x:c r="D1184" s="39"/>
      <x:c r="E1184" s="39"/>
      <x:c r="F1184" s="39"/>
      <x:c r="G1184" s="39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</x:row>
    <x:row r="1185">
      <x:c r="A1185" s="39"/>
      <x:c r="B1185" s="39"/>
      <x:c r="C1185" s="39"/>
      <x:c r="D1185" s="39"/>
      <x:c r="E1185" s="39"/>
      <x:c r="F1185" s="39"/>
      <x:c r="G1185" s="39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</x:row>
    <x:row r="1186">
      <x:c r="A1186" s="39"/>
      <x:c r="B1186" s="39"/>
      <x:c r="C1186" s="39"/>
      <x:c r="D1186" s="39"/>
      <x:c r="E1186" s="39"/>
      <x:c r="F1186" s="39"/>
      <x:c r="G1186" s="39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</x:row>
    <x:row r="1187">
      <x:c r="A1187" s="39"/>
      <x:c r="B1187" s="39"/>
      <x:c r="C1187" s="39"/>
      <x:c r="D1187" s="39"/>
      <x:c r="E1187" s="39"/>
      <x:c r="F1187" s="39"/>
      <x:c r="G1187" s="39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</x:row>
    <x:row r="1188">
      <x:c r="A1188" s="39"/>
      <x:c r="B1188" s="39"/>
      <x:c r="C1188" s="39"/>
      <x:c r="D1188" s="39"/>
      <x:c r="E1188" s="39"/>
      <x:c r="F1188" s="39"/>
      <x:c r="G1188" s="39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</x:row>
    <x:row r="1189">
      <x:c r="A1189" s="39"/>
      <x:c r="B1189" s="39"/>
      <x:c r="C1189" s="39"/>
      <x:c r="D1189" s="39"/>
      <x:c r="E1189" s="39"/>
      <x:c r="F1189" s="39"/>
      <x:c r="G1189" s="39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</x:row>
    <x:row r="1190">
      <x:c r="A1190" s="39"/>
      <x:c r="B1190" s="39"/>
      <x:c r="C1190" s="39"/>
      <x:c r="D1190" s="39"/>
      <x:c r="E1190" s="39"/>
      <x:c r="F1190" s="39"/>
      <x:c r="G1190" s="39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</x:row>
    <x:row r="1191">
      <x:c r="A1191" s="39"/>
      <x:c r="B1191" s="39"/>
      <x:c r="C1191" s="39"/>
      <x:c r="D1191" s="39"/>
      <x:c r="E1191" s="39"/>
      <x:c r="F1191" s="39"/>
      <x:c r="G1191" s="39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</x:row>
    <x:row r="1192">
      <x:c r="A1192" s="39"/>
      <x:c r="B1192" s="39"/>
      <x:c r="C1192" s="39"/>
      <x:c r="D1192" s="39"/>
      <x:c r="E1192" s="39"/>
      <x:c r="F1192" s="39"/>
      <x:c r="G1192" s="39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</x:row>
    <x:row r="1193">
      <x:c r="A1193" s="39"/>
      <x:c r="B1193" s="39"/>
      <x:c r="C1193" s="39"/>
      <x:c r="D1193" s="39"/>
      <x:c r="E1193" s="39"/>
      <x:c r="F1193" s="39"/>
      <x:c r="G1193" s="39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</x:row>
    <x:row r="1194">
      <x:c r="A1194" s="39"/>
      <x:c r="B1194" s="39"/>
      <x:c r="C1194" s="39"/>
      <x:c r="D1194" s="39"/>
      <x:c r="E1194" s="39"/>
      <x:c r="F1194" s="39"/>
      <x:c r="G1194" s="39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</x:row>
    <x:row r="1195">
      <x:c r="A1195" s="39"/>
      <x:c r="B1195" s="39"/>
      <x:c r="C1195" s="39"/>
      <x:c r="D1195" s="39"/>
      <x:c r="E1195" s="39"/>
      <x:c r="F1195" s="39"/>
      <x:c r="G1195" s="39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</x:row>
    <x:row r="1196">
      <x:c r="A1196" s="39"/>
      <x:c r="B1196" s="39"/>
      <x:c r="C1196" s="39"/>
      <x:c r="D1196" s="39"/>
      <x:c r="E1196" s="39"/>
      <x:c r="F1196" s="39"/>
      <x:c r="G1196" s="39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</x:row>
    <x:row r="1197">
      <x:c r="A1197" s="39"/>
      <x:c r="B1197" s="39"/>
      <x:c r="C1197" s="39"/>
      <x:c r="D1197" s="39"/>
      <x:c r="E1197" s="39"/>
      <x:c r="F1197" s="39"/>
      <x:c r="G1197" s="39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</x:row>
    <x:row r="1198">
      <x:c r="A1198" s="39"/>
      <x:c r="B1198" s="39"/>
      <x:c r="C1198" s="39"/>
      <x:c r="D1198" s="39"/>
      <x:c r="E1198" s="39"/>
      <x:c r="F1198" s="39"/>
      <x:c r="G1198" s="39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</x:row>
    <x:row r="1199">
      <x:c r="A1199" s="39"/>
      <x:c r="B1199" s="39"/>
      <x:c r="C1199" s="39"/>
      <x:c r="D1199" s="39"/>
      <x:c r="E1199" s="39"/>
      <x:c r="F1199" s="39"/>
      <x:c r="G1199" s="39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</x:row>
    <x:row r="1200">
      <x:c r="A1200" s="39"/>
      <x:c r="B1200" s="39"/>
      <x:c r="C1200" s="39"/>
      <x:c r="D1200" s="39"/>
      <x:c r="E1200" s="39"/>
      <x:c r="F1200" s="39"/>
      <x:c r="G1200" s="39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</x:row>
    <x:row r="1201">
      <x:c r="A1201" s="39"/>
      <x:c r="B1201" s="39"/>
      <x:c r="C1201" s="39"/>
      <x:c r="D1201" s="39"/>
      <x:c r="E1201" s="39"/>
      <x:c r="F1201" s="39"/>
      <x:c r="G1201" s="39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</x:row>
    <x:row r="1202">
      <x:c r="A1202" s="39"/>
      <x:c r="B1202" s="39"/>
      <x:c r="C1202" s="39"/>
      <x:c r="D1202" s="39"/>
      <x:c r="E1202" s="39"/>
      <x:c r="F1202" s="39"/>
      <x:c r="G1202" s="39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</x:row>
    <x:row r="1203">
      <x:c r="A1203" s="39"/>
      <x:c r="B1203" s="39"/>
      <x:c r="C1203" s="39"/>
      <x:c r="D1203" s="39"/>
      <x:c r="E1203" s="39"/>
      <x:c r="F1203" s="39"/>
      <x:c r="G1203" s="39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</x:row>
    <x:row r="1204">
      <x:c r="A1204" s="39"/>
      <x:c r="B1204" s="39"/>
      <x:c r="C1204" s="39"/>
      <x:c r="D1204" s="39"/>
      <x:c r="E1204" s="39"/>
      <x:c r="F1204" s="39"/>
      <x:c r="G1204" s="39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</x:row>
    <x:row r="1205">
      <x:c r="A1205" s="39"/>
      <x:c r="B1205" s="39"/>
      <x:c r="C1205" s="39"/>
      <x:c r="D1205" s="39"/>
      <x:c r="E1205" s="39"/>
      <x:c r="F1205" s="39"/>
      <x:c r="G1205" s="39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</x:row>
    <x:row r="1206">
      <x:c r="A1206" s="39"/>
      <x:c r="B1206" s="39"/>
      <x:c r="C1206" s="39"/>
      <x:c r="D1206" s="39"/>
      <x:c r="E1206" s="39"/>
      <x:c r="F1206" s="39"/>
      <x:c r="G1206" s="39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</x:row>
    <x:row r="1207">
      <x:c r="A1207" s="39"/>
      <x:c r="B1207" s="39"/>
      <x:c r="C1207" s="39"/>
      <x:c r="D1207" s="39"/>
      <x:c r="E1207" s="39"/>
      <x:c r="F1207" s="39"/>
      <x:c r="G1207" s="39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</x:row>
    <x:row r="1208">
      <x:c r="A1208" s="39"/>
      <x:c r="B1208" s="39"/>
      <x:c r="C1208" s="39"/>
      <x:c r="D1208" s="39"/>
      <x:c r="E1208" s="39"/>
      <x:c r="F1208" s="39"/>
      <x:c r="G1208" s="39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</x:row>
    <x:row r="1209">
      <x:c r="A1209" s="39"/>
      <x:c r="B1209" s="39"/>
      <x:c r="C1209" s="39"/>
      <x:c r="D1209" s="39"/>
      <x:c r="E1209" s="39"/>
      <x:c r="F1209" s="39"/>
      <x:c r="G1209" s="39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</x:row>
    <x:row r="1210">
      <x:c r="A1210" s="39"/>
      <x:c r="B1210" s="39"/>
      <x:c r="C1210" s="39"/>
      <x:c r="D1210" s="39"/>
      <x:c r="E1210" s="39"/>
      <x:c r="F1210" s="39"/>
      <x:c r="G1210" s="39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</x:row>
    <x:row r="1211">
      <x:c r="A1211" s="39"/>
      <x:c r="B1211" s="39"/>
      <x:c r="C1211" s="39"/>
      <x:c r="D1211" s="39"/>
      <x:c r="E1211" s="39"/>
      <x:c r="F1211" s="39"/>
      <x:c r="G1211" s="39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</x:row>
    <x:row r="1212">
      <x:c r="A1212" s="39"/>
      <x:c r="B1212" s="39"/>
      <x:c r="C1212" s="39"/>
      <x:c r="D1212" s="39"/>
      <x:c r="E1212" s="39"/>
      <x:c r="F1212" s="39"/>
      <x:c r="G1212" s="39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</x:row>
    <x:row r="1213">
      <x:c r="A1213" s="39"/>
      <x:c r="B1213" s="39"/>
      <x:c r="C1213" s="39"/>
      <x:c r="D1213" s="39"/>
      <x:c r="E1213" s="39"/>
      <x:c r="F1213" s="39"/>
      <x:c r="G1213" s="39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</x:row>
    <x:row r="1214">
      <x:c r="A1214" s="39"/>
      <x:c r="B1214" s="39"/>
      <x:c r="C1214" s="39"/>
      <x:c r="D1214" s="39"/>
      <x:c r="E1214" s="39"/>
      <x:c r="F1214" s="39"/>
      <x:c r="G1214" s="39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</x:row>
    <x:row r="1215">
      <x:c r="A1215" s="39"/>
      <x:c r="B1215" s="39"/>
      <x:c r="C1215" s="39"/>
      <x:c r="D1215" s="39"/>
      <x:c r="E1215" s="39"/>
      <x:c r="F1215" s="39"/>
      <x:c r="G1215" s="39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</x:row>
    <x:row r="1216">
      <x:c r="A1216" s="39"/>
      <x:c r="B1216" s="39"/>
      <x:c r="C1216" s="39"/>
      <x:c r="D1216" s="39"/>
      <x:c r="E1216" s="39"/>
      <x:c r="F1216" s="39"/>
      <x:c r="G1216" s="39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</x:row>
    <x:row r="1217">
      <x:c r="A1217" s="39"/>
      <x:c r="B1217" s="39"/>
      <x:c r="C1217" s="39"/>
      <x:c r="D1217" s="39"/>
      <x:c r="E1217" s="39"/>
      <x:c r="F1217" s="39"/>
      <x:c r="G1217" s="39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</x:row>
    <x:row r="1218">
      <x:c r="A1218" s="39"/>
      <x:c r="B1218" s="39"/>
      <x:c r="C1218" s="39"/>
      <x:c r="D1218" s="39"/>
      <x:c r="E1218" s="39"/>
      <x:c r="F1218" s="39"/>
      <x:c r="G1218" s="39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</x:row>
    <x:row r="1219">
      <x:c r="A1219" s="39"/>
      <x:c r="B1219" s="39"/>
      <x:c r="C1219" s="39"/>
      <x:c r="D1219" s="39"/>
      <x:c r="E1219" s="39"/>
      <x:c r="F1219" s="39"/>
      <x:c r="G1219" s="39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</x:row>
    <x:row r="1220">
      <x:c r="A1220" s="39"/>
      <x:c r="B1220" s="39"/>
      <x:c r="C1220" s="39"/>
      <x:c r="D1220" s="39"/>
      <x:c r="E1220" s="39"/>
      <x:c r="F1220" s="39"/>
      <x:c r="G1220" s="39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</x:row>
    <x:row r="1221">
      <x:c r="A1221" s="39"/>
      <x:c r="B1221" s="39"/>
      <x:c r="C1221" s="39"/>
      <x:c r="D1221" s="39"/>
      <x:c r="E1221" s="39"/>
      <x:c r="F1221" s="39"/>
      <x:c r="G1221" s="39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</x:row>
    <x:row r="1222">
      <x:c r="A1222" s="39"/>
      <x:c r="B1222" s="39"/>
      <x:c r="C1222" s="39"/>
      <x:c r="D1222" s="39"/>
      <x:c r="E1222" s="39"/>
      <x:c r="F1222" s="39"/>
      <x:c r="G1222" s="39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</x:row>
    <x:row r="1223">
      <x:c r="A1223" s="39"/>
      <x:c r="B1223" s="39"/>
      <x:c r="C1223" s="39"/>
      <x:c r="D1223" s="39"/>
      <x:c r="E1223" s="39"/>
      <x:c r="F1223" s="39"/>
      <x:c r="G1223" s="39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</x:row>
    <x:row r="1224">
      <x:c r="A1224" s="39"/>
      <x:c r="B1224" s="39"/>
      <x:c r="C1224" s="39"/>
      <x:c r="D1224" s="39"/>
      <x:c r="E1224" s="39"/>
      <x:c r="F1224" s="39"/>
      <x:c r="G1224" s="39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</x:row>
    <x:row r="1225">
      <x:c r="A1225" s="39"/>
      <x:c r="B1225" s="39"/>
      <x:c r="C1225" s="39"/>
      <x:c r="D1225" s="39"/>
      <x:c r="E1225" s="39"/>
      <x:c r="F1225" s="39"/>
      <x:c r="G1225" s="39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</x:row>
    <x:row r="1226">
      <x:c r="A1226" s="39"/>
      <x:c r="B1226" s="39"/>
      <x:c r="C1226" s="39"/>
      <x:c r="D1226" s="39"/>
      <x:c r="E1226" s="39"/>
      <x:c r="F1226" s="39"/>
      <x:c r="G1226" s="39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</x:row>
    <x:row r="1227">
      <x:c r="A1227" s="39"/>
      <x:c r="B1227" s="39"/>
      <x:c r="C1227" s="39"/>
      <x:c r="D1227" s="39"/>
      <x:c r="E1227" s="39"/>
      <x:c r="F1227" s="39"/>
      <x:c r="G1227" s="39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</x:row>
    <x:row r="1228">
      <x:c r="A1228" s="39"/>
      <x:c r="B1228" s="39"/>
      <x:c r="C1228" s="39"/>
      <x:c r="D1228" s="39"/>
      <x:c r="E1228" s="39"/>
      <x:c r="F1228" s="39"/>
      <x:c r="G1228" s="39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</x:row>
    <x:row r="1229">
      <x:c r="A1229" s="39"/>
      <x:c r="B1229" s="39"/>
      <x:c r="C1229" s="39"/>
      <x:c r="D1229" s="39"/>
      <x:c r="E1229" s="39"/>
      <x:c r="F1229" s="39"/>
      <x:c r="G1229" s="39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</x:row>
    <x:row r="1230">
      <x:c r="A1230" s="39"/>
      <x:c r="B1230" s="39"/>
      <x:c r="C1230" s="39"/>
      <x:c r="D1230" s="39"/>
      <x:c r="E1230" s="39"/>
      <x:c r="F1230" s="39"/>
      <x:c r="G1230" s="39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</x:row>
    <x:row r="1231">
      <x:c r="A1231" s="39"/>
      <x:c r="B1231" s="39"/>
      <x:c r="C1231" s="39"/>
      <x:c r="D1231" s="39"/>
      <x:c r="E1231" s="39"/>
      <x:c r="F1231" s="39"/>
      <x:c r="G1231" s="39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</x:row>
    <x:row r="1232">
      <x:c r="A1232" s="39"/>
      <x:c r="B1232" s="39"/>
      <x:c r="C1232" s="39"/>
      <x:c r="D1232" s="39"/>
      <x:c r="E1232" s="39"/>
      <x:c r="F1232" s="39"/>
      <x:c r="G1232" s="39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</x:row>
    <x:row r="1233">
      <x:c r="A1233" s="39"/>
      <x:c r="B1233" s="39"/>
      <x:c r="C1233" s="39"/>
      <x:c r="D1233" s="39"/>
      <x:c r="E1233" s="39"/>
      <x:c r="F1233" s="39"/>
      <x:c r="G1233" s="39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</x:row>
    <x:row r="1234">
      <x:c r="A1234" s="39"/>
      <x:c r="B1234" s="39"/>
      <x:c r="C1234" s="39"/>
      <x:c r="D1234" s="39"/>
      <x:c r="E1234" s="39"/>
      <x:c r="F1234" s="39"/>
      <x:c r="G1234" s="39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</x:row>
    <x:row r="1235">
      <x:c r="A1235" s="39"/>
      <x:c r="B1235" s="39"/>
      <x:c r="C1235" s="39"/>
      <x:c r="D1235" s="39"/>
      <x:c r="E1235" s="39"/>
      <x:c r="F1235" s="39"/>
      <x:c r="G1235" s="39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</x:row>
    <x:row r="1236">
      <x:c r="A1236" s="39"/>
      <x:c r="B1236" s="39"/>
      <x:c r="C1236" s="39"/>
      <x:c r="D1236" s="39"/>
      <x:c r="E1236" s="39"/>
      <x:c r="F1236" s="39"/>
      <x:c r="G1236" s="39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</x:row>
    <x:row r="1237">
      <x:c r="A1237" s="39"/>
      <x:c r="B1237" s="39"/>
      <x:c r="C1237" s="39"/>
      <x:c r="D1237" s="39"/>
      <x:c r="E1237" s="39"/>
      <x:c r="F1237" s="39"/>
      <x:c r="G1237" s="39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</x:row>
    <x:row r="1238">
      <x:c r="A1238" s="39"/>
      <x:c r="B1238" s="39"/>
      <x:c r="C1238" s="39"/>
      <x:c r="D1238" s="39"/>
      <x:c r="E1238" s="39"/>
      <x:c r="F1238" s="39"/>
      <x:c r="G1238" s="39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</x:row>
    <x:row r="1239">
      <x:c r="A1239" s="39"/>
      <x:c r="B1239" s="39"/>
      <x:c r="C1239" s="39"/>
      <x:c r="D1239" s="39"/>
      <x:c r="E1239" s="39"/>
      <x:c r="F1239" s="39"/>
      <x:c r="G1239" s="39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</x:row>
    <x:row r="1240">
      <x:c r="A1240" s="39"/>
      <x:c r="B1240" s="39"/>
      <x:c r="C1240" s="39"/>
      <x:c r="D1240" s="39"/>
      <x:c r="E1240" s="39"/>
      <x:c r="F1240" s="39"/>
      <x:c r="G1240" s="39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</x:row>
    <x:row r="1241">
      <x:c r="A1241" s="39"/>
      <x:c r="B1241" s="39"/>
      <x:c r="C1241" s="39"/>
      <x:c r="D1241" s="39"/>
      <x:c r="E1241" s="39"/>
      <x:c r="F1241" s="39"/>
      <x:c r="G1241" s="39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</x:row>
    <x:row r="1242">
      <x:c r="A1242" s="39"/>
      <x:c r="B1242" s="39"/>
      <x:c r="C1242" s="39"/>
      <x:c r="D1242" s="39"/>
      <x:c r="E1242" s="39"/>
      <x:c r="F1242" s="39"/>
      <x:c r="G1242" s="39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</x:row>
    <x:row r="1243">
      <x:c r="A1243" s="39"/>
      <x:c r="B1243" s="39"/>
      <x:c r="C1243" s="39"/>
      <x:c r="D1243" s="39"/>
      <x:c r="E1243" s="39"/>
      <x:c r="F1243" s="39"/>
      <x:c r="G1243" s="39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</x:row>
    <x:row r="1244">
      <x:c r="A1244" s="39"/>
      <x:c r="B1244" s="39"/>
      <x:c r="C1244" s="39"/>
      <x:c r="D1244" s="39"/>
      <x:c r="E1244" s="39"/>
      <x:c r="F1244" s="39"/>
      <x:c r="G1244" s="39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</x:row>
    <x:row r="1245">
      <x:c r="A1245" s="39"/>
      <x:c r="B1245" s="39"/>
      <x:c r="C1245" s="39"/>
      <x:c r="D1245" s="39"/>
      <x:c r="E1245" s="39"/>
      <x:c r="F1245" s="39"/>
      <x:c r="G1245" s="39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</x:row>
    <x:row r="1246">
      <x:c r="A1246" s="39"/>
      <x:c r="B1246" s="39"/>
      <x:c r="C1246" s="39"/>
      <x:c r="D1246" s="39"/>
      <x:c r="E1246" s="39"/>
      <x:c r="F1246" s="39"/>
      <x:c r="G1246" s="39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</x:row>
    <x:row r="1247">
      <x:c r="A1247" s="39"/>
      <x:c r="B1247" s="39"/>
      <x:c r="C1247" s="39"/>
      <x:c r="D1247" s="39"/>
      <x:c r="E1247" s="39"/>
      <x:c r="F1247" s="39"/>
      <x:c r="G1247" s="39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</x:row>
    <x:row r="1248">
      <x:c r="A1248" s="39"/>
      <x:c r="B1248" s="39"/>
      <x:c r="C1248" s="39"/>
      <x:c r="D1248" s="39"/>
      <x:c r="E1248" s="39"/>
      <x:c r="F1248" s="39"/>
      <x:c r="G1248" s="39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</x:row>
    <x:row r="1249">
      <x:c r="A1249" s="39"/>
      <x:c r="B1249" s="39"/>
      <x:c r="C1249" s="39"/>
      <x:c r="D1249" s="39"/>
      <x:c r="E1249" s="39"/>
      <x:c r="F1249" s="39"/>
      <x:c r="G1249" s="39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</x:row>
    <x:row r="1250">
      <x:c r="A1250" s="39"/>
      <x:c r="B1250" s="39"/>
      <x:c r="C1250" s="39"/>
      <x:c r="D1250" s="39"/>
      <x:c r="E1250" s="39"/>
      <x:c r="F1250" s="39"/>
      <x:c r="G1250" s="39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</x:row>
    <x:row r="1251">
      <x:c r="A1251" s="39"/>
      <x:c r="B1251" s="39"/>
      <x:c r="C1251" s="39"/>
      <x:c r="D1251" s="39"/>
      <x:c r="E1251" s="39"/>
      <x:c r="F1251" s="39"/>
      <x:c r="G1251" s="39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</x:row>
    <x:row r="1252">
      <x:c r="A1252" s="39"/>
      <x:c r="B1252" s="39"/>
      <x:c r="C1252" s="39"/>
      <x:c r="D1252" s="39"/>
      <x:c r="E1252" s="39"/>
      <x:c r="F1252" s="39"/>
      <x:c r="G1252" s="39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</x:row>
    <x:row r="1253">
      <x:c r="A1253" s="39"/>
      <x:c r="B1253" s="39"/>
      <x:c r="C1253" s="39"/>
      <x:c r="D1253" s="39"/>
      <x:c r="E1253" s="39"/>
      <x:c r="F1253" s="39"/>
      <x:c r="G1253" s="39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</x:row>
    <x:row r="1254">
      <x:c r="A1254" s="39"/>
      <x:c r="B1254" s="39"/>
      <x:c r="C1254" s="39"/>
      <x:c r="D1254" s="39"/>
      <x:c r="E1254" s="39"/>
      <x:c r="F1254" s="39"/>
      <x:c r="G1254" s="39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</x:row>
    <x:row r="1255">
      <x:c r="A1255" s="39"/>
      <x:c r="B1255" s="39"/>
      <x:c r="C1255" s="39"/>
      <x:c r="D1255" s="39"/>
      <x:c r="E1255" s="39"/>
      <x:c r="F1255" s="39"/>
      <x:c r="G1255" s="39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</x:row>
    <x:row r="1256">
      <x:c r="A1256" s="39"/>
      <x:c r="B1256" s="39"/>
      <x:c r="C1256" s="39"/>
      <x:c r="D1256" s="39"/>
      <x:c r="E1256" s="39"/>
      <x:c r="F1256" s="39"/>
      <x:c r="G1256" s="39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</x:row>
    <x:row r="1257">
      <x:c r="A1257" s="39"/>
      <x:c r="B1257" s="39"/>
      <x:c r="C1257" s="39"/>
      <x:c r="D1257" s="39"/>
      <x:c r="E1257" s="39"/>
      <x:c r="F1257" s="39"/>
      <x:c r="G1257" s="39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</x:row>
    <x:row r="1258">
      <x:c r="A1258" s="39"/>
      <x:c r="B1258" s="39"/>
      <x:c r="C1258" s="39"/>
      <x:c r="D1258" s="39"/>
      <x:c r="E1258" s="39"/>
      <x:c r="F1258" s="39"/>
      <x:c r="G1258" s="39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</x:row>
    <x:row r="1259">
      <x:c r="A1259" s="39"/>
      <x:c r="B1259" s="39"/>
      <x:c r="C1259" s="39"/>
      <x:c r="D1259" s="39"/>
      <x:c r="E1259" s="39"/>
      <x:c r="F1259" s="39"/>
      <x:c r="G1259" s="39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</x:row>
    <x:row r="1260">
      <x:c r="A1260" s="39"/>
      <x:c r="B1260" s="39"/>
      <x:c r="C1260" s="39"/>
      <x:c r="D1260" s="39"/>
      <x:c r="E1260" s="39"/>
      <x:c r="F1260" s="39"/>
      <x:c r="G1260" s="39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</x:row>
    <x:row r="1261">
      <x:c r="A1261" s="39"/>
      <x:c r="B1261" s="39"/>
      <x:c r="C1261" s="39"/>
      <x:c r="D1261" s="39"/>
      <x:c r="E1261" s="39"/>
      <x:c r="F1261" s="39"/>
      <x:c r="G1261" s="39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</x:row>
    <x:row r="1262">
      <x:c r="A1262" s="39"/>
      <x:c r="B1262" s="39"/>
      <x:c r="C1262" s="39"/>
      <x:c r="D1262" s="39"/>
      <x:c r="E1262" s="39"/>
      <x:c r="F1262" s="39"/>
      <x:c r="G1262" s="39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</x:row>
    <x:row r="1263">
      <x:c r="A1263" s="39"/>
      <x:c r="B1263" s="39"/>
      <x:c r="C1263" s="39"/>
      <x:c r="D1263" s="39"/>
      <x:c r="E1263" s="39"/>
      <x:c r="F1263" s="39"/>
      <x:c r="G1263" s="39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</x:row>
    <x:row r="1264">
      <x:c r="A1264" s="39"/>
      <x:c r="B1264" s="39"/>
      <x:c r="C1264" s="39"/>
      <x:c r="D1264" s="39"/>
      <x:c r="E1264" s="39"/>
      <x:c r="F1264" s="39"/>
      <x:c r="G1264" s="39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</x:row>
    <x:row r="1265">
      <x:c r="A1265" s="39"/>
      <x:c r="B1265" s="39"/>
      <x:c r="C1265" s="39"/>
      <x:c r="D1265" s="39"/>
      <x:c r="E1265" s="39"/>
      <x:c r="F1265" s="39"/>
      <x:c r="G1265" s="39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</x:row>
    <x:row r="1266">
      <x:c r="A1266" s="39"/>
      <x:c r="B1266" s="39"/>
      <x:c r="C1266" s="39"/>
      <x:c r="D1266" s="39"/>
      <x:c r="E1266" s="39"/>
      <x:c r="F1266" s="39"/>
      <x:c r="G1266" s="39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</x:row>
    <x:row r="1267">
      <x:c r="A1267" s="39"/>
      <x:c r="B1267" s="39"/>
      <x:c r="C1267" s="39"/>
      <x:c r="D1267" s="39"/>
      <x:c r="E1267" s="39"/>
      <x:c r="F1267" s="39"/>
      <x:c r="G1267" s="39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</x:row>
    <x:row r="1268">
      <x:c r="A1268" s="39"/>
      <x:c r="B1268" s="39"/>
      <x:c r="C1268" s="39"/>
      <x:c r="D1268" s="39"/>
      <x:c r="E1268" s="39"/>
      <x:c r="F1268" s="39"/>
      <x:c r="G1268" s="39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</x:row>
    <x:row r="1269">
      <x:c r="A1269" s="39"/>
      <x:c r="B1269" s="39"/>
      <x:c r="C1269" s="39"/>
      <x:c r="D1269" s="39"/>
      <x:c r="E1269" s="39"/>
      <x:c r="F1269" s="39"/>
      <x:c r="G1269" s="39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</x:row>
    <x:row r="1270">
      <x:c r="A1270" s="39"/>
      <x:c r="B1270" s="39"/>
      <x:c r="C1270" s="39"/>
      <x:c r="D1270" s="39"/>
      <x:c r="E1270" s="39"/>
      <x:c r="F1270" s="39"/>
      <x:c r="G1270" s="39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</x:row>
    <x:row r="1271">
      <x:c r="A1271" s="39"/>
      <x:c r="B1271" s="39"/>
      <x:c r="C1271" s="39"/>
      <x:c r="D1271" s="39"/>
      <x:c r="E1271" s="39"/>
      <x:c r="F1271" s="39"/>
      <x:c r="G1271" s="39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</x:row>
    <x:row r="1272">
      <x:c r="A1272" s="39"/>
      <x:c r="B1272" s="39"/>
      <x:c r="C1272" s="39"/>
      <x:c r="D1272" s="39"/>
      <x:c r="E1272" s="39"/>
      <x:c r="F1272" s="39"/>
      <x:c r="G1272" s="39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</x:row>
    <x:row r="1273">
      <x:c r="A1273" s="39"/>
      <x:c r="B1273" s="39"/>
      <x:c r="C1273" s="39"/>
      <x:c r="D1273" s="39"/>
      <x:c r="E1273" s="39"/>
      <x:c r="F1273" s="39"/>
      <x:c r="G1273" s="39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</x:row>
    <x:row r="1274">
      <x:c r="A1274" s="39"/>
      <x:c r="B1274" s="39"/>
      <x:c r="C1274" s="39"/>
      <x:c r="D1274" s="39"/>
      <x:c r="E1274" s="39"/>
      <x:c r="F1274" s="39"/>
      <x:c r="G1274" s="39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</x:row>
    <x:row r="1275">
      <x:c r="A1275" s="39"/>
      <x:c r="B1275" s="39"/>
      <x:c r="C1275" s="39"/>
      <x:c r="D1275" s="39"/>
      <x:c r="E1275" s="39"/>
      <x:c r="F1275" s="39"/>
      <x:c r="G1275" s="39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</x:row>
    <x:row r="1276">
      <x:c r="A1276" s="39"/>
      <x:c r="B1276" s="39"/>
      <x:c r="C1276" s="39"/>
      <x:c r="D1276" s="39"/>
      <x:c r="E1276" s="39"/>
      <x:c r="F1276" s="39"/>
      <x:c r="G1276" s="39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</x:row>
    <x:row r="1277">
      <x:c r="A1277" s="39"/>
      <x:c r="B1277" s="39"/>
      <x:c r="C1277" s="39"/>
      <x:c r="D1277" s="39"/>
      <x:c r="E1277" s="39"/>
      <x:c r="F1277" s="39"/>
      <x:c r="G1277" s="39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</x:row>
    <x:row r="1278">
      <x:c r="A1278" s="39"/>
      <x:c r="B1278" s="39"/>
      <x:c r="C1278" s="39"/>
      <x:c r="D1278" s="39"/>
      <x:c r="E1278" s="39"/>
      <x:c r="F1278" s="39"/>
      <x:c r="G1278" s="39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</x:row>
    <x:row r="1279">
      <x:c r="A1279" s="39"/>
      <x:c r="B1279" s="39"/>
      <x:c r="C1279" s="39"/>
      <x:c r="D1279" s="39"/>
      <x:c r="E1279" s="39"/>
      <x:c r="F1279" s="39"/>
      <x:c r="G1279" s="39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</x:row>
    <x:row r="1280">
      <x:c r="A1280" s="39"/>
      <x:c r="B1280" s="39"/>
      <x:c r="C1280" s="39"/>
      <x:c r="D1280" s="39"/>
      <x:c r="E1280" s="39"/>
      <x:c r="F1280" s="39"/>
      <x:c r="G1280" s="39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</x:row>
    <x:row r="1281">
      <x:c r="A1281" s="39"/>
      <x:c r="B1281" s="39"/>
      <x:c r="C1281" s="39"/>
      <x:c r="D1281" s="39"/>
      <x:c r="E1281" s="39"/>
      <x:c r="F1281" s="39"/>
      <x:c r="G1281" s="39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</x:row>
    <x:row r="1282">
      <x:c r="A1282" s="39"/>
      <x:c r="B1282" s="39"/>
      <x:c r="C1282" s="39"/>
      <x:c r="D1282" s="39"/>
      <x:c r="E1282" s="39"/>
      <x:c r="F1282" s="39"/>
      <x:c r="G1282" s="39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</x:row>
    <x:row r="1283">
      <x:c r="A1283" s="39"/>
      <x:c r="B1283" s="39"/>
      <x:c r="C1283" s="39"/>
      <x:c r="D1283" s="39"/>
      <x:c r="E1283" s="39"/>
      <x:c r="F1283" s="39"/>
      <x:c r="G1283" s="39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</x:row>
    <x:row r="1284">
      <x:c r="A1284" s="39"/>
      <x:c r="B1284" s="39"/>
      <x:c r="C1284" s="39"/>
      <x:c r="D1284" s="39"/>
      <x:c r="E1284" s="39"/>
      <x:c r="F1284" s="39"/>
      <x:c r="G1284" s="39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</x:row>
    <x:row r="1285">
      <x:c r="A1285" s="39"/>
      <x:c r="B1285" s="39"/>
      <x:c r="C1285" s="39"/>
      <x:c r="D1285" s="39"/>
      <x:c r="E1285" s="39"/>
      <x:c r="F1285" s="39"/>
      <x:c r="G1285" s="39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</x:row>
    <x:row r="1286">
      <x:c r="A1286" s="39"/>
      <x:c r="B1286" s="39"/>
      <x:c r="C1286" s="39"/>
      <x:c r="D1286" s="39"/>
      <x:c r="E1286" s="39"/>
      <x:c r="F1286" s="39"/>
      <x:c r="G1286" s="39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</x:row>
    <x:row r="1287">
      <x:c r="A1287" s="39"/>
      <x:c r="B1287" s="39"/>
      <x:c r="C1287" s="39"/>
      <x:c r="D1287" s="39"/>
      <x:c r="E1287" s="39"/>
      <x:c r="F1287" s="39"/>
      <x:c r="G1287" s="39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</x:row>
    <x:row r="1288">
      <x:c r="A1288" s="39"/>
      <x:c r="B1288" s="39"/>
      <x:c r="C1288" s="39"/>
      <x:c r="D1288" s="39"/>
      <x:c r="E1288" s="39"/>
      <x:c r="F1288" s="39"/>
      <x:c r="G1288" s="39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</x:row>
    <x:row r="1289">
      <x:c r="A1289" s="39"/>
      <x:c r="B1289" s="39"/>
      <x:c r="C1289" s="39"/>
      <x:c r="D1289" s="39"/>
      <x:c r="E1289" s="39"/>
      <x:c r="F1289" s="39"/>
      <x:c r="G1289" s="39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</x:row>
    <x:row r="1290">
      <x:c r="A1290" s="39"/>
      <x:c r="B1290" s="39"/>
      <x:c r="C1290" s="39"/>
      <x:c r="D1290" s="39"/>
      <x:c r="E1290" s="39"/>
      <x:c r="F1290" s="39"/>
      <x:c r="G1290" s="39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</x:row>
    <x:row r="1291">
      <x:c r="A1291" s="39"/>
      <x:c r="B1291" s="39"/>
      <x:c r="C1291" s="39"/>
      <x:c r="D1291" s="39"/>
      <x:c r="E1291" s="39"/>
      <x:c r="F1291" s="39"/>
      <x:c r="G1291" s="39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</x:row>
    <x:row r="1292">
      <x:c r="A1292" s="39"/>
      <x:c r="B1292" s="39"/>
      <x:c r="C1292" s="39"/>
      <x:c r="D1292" s="39"/>
      <x:c r="E1292" s="39"/>
      <x:c r="F1292" s="39"/>
      <x:c r="G1292" s="39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</x:row>
    <x:row r="1293">
      <x:c r="A1293" s="39"/>
      <x:c r="B1293" s="39"/>
      <x:c r="C1293" s="39"/>
      <x:c r="D1293" s="39"/>
      <x:c r="E1293" s="39"/>
      <x:c r="F1293" s="39"/>
      <x:c r="G1293" s="39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</x:row>
    <x:row r="1294">
      <x:c r="A1294" s="39"/>
      <x:c r="B1294" s="39"/>
      <x:c r="C1294" s="39"/>
      <x:c r="D1294" s="39"/>
      <x:c r="E1294" s="39"/>
      <x:c r="F1294" s="39"/>
      <x:c r="G1294" s="39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</x:row>
    <x:row r="1295">
      <x:c r="A1295" s="39"/>
      <x:c r="B1295" s="39"/>
      <x:c r="C1295" s="39"/>
      <x:c r="D1295" s="39"/>
      <x:c r="E1295" s="39"/>
      <x:c r="F1295" s="39"/>
      <x:c r="G1295" s="39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</x:row>
    <x:row r="1296">
      <x:c r="A1296" s="39"/>
      <x:c r="B1296" s="39"/>
      <x:c r="C1296" s="39"/>
      <x:c r="D1296" s="39"/>
      <x:c r="E1296" s="39"/>
      <x:c r="F1296" s="39"/>
      <x:c r="G1296" s="39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</x:row>
    <x:row r="1297">
      <x:c r="A1297" s="39"/>
      <x:c r="B1297" s="39"/>
      <x:c r="C1297" s="39"/>
      <x:c r="D1297" s="39"/>
      <x:c r="E1297" s="39"/>
      <x:c r="F1297" s="39"/>
      <x:c r="G1297" s="39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</x:row>
    <x:row r="1298">
      <x:c r="A1298" s="39"/>
      <x:c r="B1298" s="39"/>
      <x:c r="C1298" s="39"/>
      <x:c r="D1298" s="39"/>
      <x:c r="E1298" s="39"/>
      <x:c r="F1298" s="39"/>
      <x:c r="G1298" s="39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</x:row>
    <x:row r="1299">
      <x:c r="A1299" s="39"/>
      <x:c r="B1299" s="39"/>
      <x:c r="C1299" s="39"/>
      <x:c r="D1299" s="39"/>
      <x:c r="E1299" s="39"/>
      <x:c r="F1299" s="39"/>
      <x:c r="G1299" s="39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</x:row>
    <x:row r="1300">
      <x:c r="A1300" s="39"/>
      <x:c r="B1300" s="39"/>
      <x:c r="C1300" s="39"/>
      <x:c r="D1300" s="39"/>
      <x:c r="E1300" s="39"/>
      <x:c r="F1300" s="39"/>
      <x:c r="G1300" s="39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</x:row>
    <x:row r="1301">
      <x:c r="A1301" s="39"/>
      <x:c r="B1301" s="39"/>
      <x:c r="C1301" s="39"/>
      <x:c r="D1301" s="39"/>
      <x:c r="E1301" s="39"/>
      <x:c r="F1301" s="39"/>
      <x:c r="G1301" s="39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</x:row>
    <x:row r="1302">
      <x:c r="A1302" s="39"/>
      <x:c r="B1302" s="39"/>
      <x:c r="C1302" s="39"/>
      <x:c r="D1302" s="39"/>
      <x:c r="E1302" s="39"/>
      <x:c r="F1302" s="39"/>
      <x:c r="G1302" s="39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</x:row>
    <x:row r="1303">
      <x:c r="A1303" s="39"/>
      <x:c r="B1303" s="39"/>
      <x:c r="C1303" s="39"/>
      <x:c r="D1303" s="39"/>
      <x:c r="E1303" s="39"/>
      <x:c r="F1303" s="39"/>
      <x:c r="G1303" s="39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</x:row>
    <x:row r="1304">
      <x:c r="A1304" s="39"/>
      <x:c r="B1304" s="39"/>
      <x:c r="C1304" s="39"/>
      <x:c r="D1304" s="39"/>
      <x:c r="E1304" s="39"/>
      <x:c r="F1304" s="39"/>
      <x:c r="G1304" s="39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</x:row>
    <x:row r="1305">
      <x:c r="A1305" s="39"/>
      <x:c r="B1305" s="39"/>
      <x:c r="C1305" s="39"/>
      <x:c r="D1305" s="39"/>
      <x:c r="E1305" s="39"/>
      <x:c r="F1305" s="39"/>
      <x:c r="G1305" s="39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</x:row>
    <x:row r="1306">
      <x:c r="A1306" s="39"/>
      <x:c r="B1306" s="39"/>
      <x:c r="C1306" s="39"/>
      <x:c r="D1306" s="39"/>
      <x:c r="E1306" s="39"/>
      <x:c r="F1306" s="39"/>
      <x:c r="G1306" s="39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</x:row>
    <x:row r="1307">
      <x:c r="A1307" s="39"/>
      <x:c r="B1307" s="39"/>
      <x:c r="C1307" s="39"/>
      <x:c r="D1307" s="39"/>
      <x:c r="E1307" s="39"/>
      <x:c r="F1307" s="39"/>
      <x:c r="G1307" s="39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</x:row>
    <x:row r="1308">
      <x:c r="A1308" s="39"/>
      <x:c r="B1308" s="39"/>
      <x:c r="C1308" s="39"/>
      <x:c r="D1308" s="39"/>
      <x:c r="E1308" s="39"/>
      <x:c r="F1308" s="39"/>
      <x:c r="G1308" s="39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</x:row>
    <x:row r="1309">
      <x:c r="A1309" s="39"/>
      <x:c r="B1309" s="39"/>
      <x:c r="C1309" s="39"/>
      <x:c r="D1309" s="39"/>
      <x:c r="E1309" s="39"/>
      <x:c r="F1309" s="39"/>
      <x:c r="G1309" s="39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</x:row>
    <x:row r="1310">
      <x:c r="A1310" s="39"/>
      <x:c r="B1310" s="39"/>
      <x:c r="C1310" s="39"/>
      <x:c r="D1310" s="39"/>
      <x:c r="E1310" s="39"/>
      <x:c r="F1310" s="39"/>
      <x:c r="G1310" s="39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</x:row>
    <x:row r="1311">
      <x:c r="A1311" s="39"/>
      <x:c r="B1311" s="39"/>
      <x:c r="C1311" s="39"/>
      <x:c r="D1311" s="39"/>
      <x:c r="E1311" s="39"/>
      <x:c r="F1311" s="39"/>
      <x:c r="G1311" s="39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</x:row>
    <x:row r="1312">
      <x:c r="A1312" s="39"/>
      <x:c r="B1312" s="39"/>
      <x:c r="C1312" s="39"/>
      <x:c r="D1312" s="39"/>
      <x:c r="E1312" s="39"/>
      <x:c r="F1312" s="39"/>
      <x:c r="G1312" s="39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</x:row>
    <x:row r="1313">
      <x:c r="A1313" s="39"/>
      <x:c r="B1313" s="39"/>
      <x:c r="C1313" s="39"/>
      <x:c r="D1313" s="39"/>
      <x:c r="E1313" s="39"/>
      <x:c r="F1313" s="39"/>
      <x:c r="G1313" s="39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</x:row>
    <x:row r="1314">
      <x:c r="A1314" s="39"/>
      <x:c r="B1314" s="39"/>
      <x:c r="C1314" s="39"/>
      <x:c r="D1314" s="39"/>
      <x:c r="E1314" s="39"/>
      <x:c r="F1314" s="39"/>
      <x:c r="G1314" s="39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</x:row>
    <x:row r="1315">
      <x:c r="A1315" s="39"/>
      <x:c r="B1315" s="39"/>
      <x:c r="C1315" s="39"/>
      <x:c r="D1315" s="39"/>
      <x:c r="E1315" s="39"/>
      <x:c r="F1315" s="39"/>
      <x:c r="G1315" s="39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</x:row>
    <x:row r="1316">
      <x:c r="A1316" s="39"/>
      <x:c r="B1316" s="39"/>
      <x:c r="C1316" s="39"/>
      <x:c r="D1316" s="39"/>
      <x:c r="E1316" s="39"/>
      <x:c r="F1316" s="39"/>
      <x:c r="G1316" s="39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</x:row>
    <x:row r="1317">
      <x:c r="A1317" s="39"/>
      <x:c r="B1317" s="39"/>
      <x:c r="C1317" s="39"/>
      <x:c r="D1317" s="39"/>
      <x:c r="E1317" s="39"/>
      <x:c r="F1317" s="39"/>
      <x:c r="G1317" s="39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</x:row>
    <x:row r="1318">
      <x:c r="A1318" s="39"/>
      <x:c r="B1318" s="39"/>
      <x:c r="C1318" s="39"/>
      <x:c r="D1318" s="39"/>
      <x:c r="E1318" s="39"/>
      <x:c r="F1318" s="39"/>
      <x:c r="G1318" s="39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</x:row>
    <x:row r="1319">
      <x:c r="A1319" s="39"/>
      <x:c r="B1319" s="39"/>
      <x:c r="C1319" s="39"/>
      <x:c r="D1319" s="39"/>
      <x:c r="E1319" s="39"/>
      <x:c r="F1319" s="39"/>
      <x:c r="G1319" s="39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</x:row>
    <x:row r="1320">
      <x:c r="A1320" s="39"/>
      <x:c r="B1320" s="39"/>
      <x:c r="C1320" s="39"/>
      <x:c r="D1320" s="39"/>
      <x:c r="E1320" s="39"/>
      <x:c r="F1320" s="39"/>
      <x:c r="G1320" s="39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</x:row>
    <x:row r="1321">
      <x:c r="A1321" s="39"/>
      <x:c r="B1321" s="39"/>
      <x:c r="C1321" s="39"/>
      <x:c r="D1321" s="39"/>
      <x:c r="E1321" s="39"/>
      <x:c r="F1321" s="39"/>
      <x:c r="G1321" s="39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</x:row>
    <x:row r="1322">
      <x:c r="A1322" s="39"/>
      <x:c r="B1322" s="39"/>
      <x:c r="C1322" s="39"/>
      <x:c r="D1322" s="39"/>
      <x:c r="E1322" s="39"/>
      <x:c r="F1322" s="39"/>
      <x:c r="G1322" s="39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</x:row>
    <x:row r="1323">
      <x:c r="A1323" s="39"/>
      <x:c r="B1323" s="39"/>
      <x:c r="C1323" s="39"/>
      <x:c r="D1323" s="39"/>
      <x:c r="E1323" s="39"/>
      <x:c r="F1323" s="39"/>
      <x:c r="G1323" s="39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</x:row>
    <x:row r="1324">
      <x:c r="A1324" s="39"/>
      <x:c r="B1324" s="39"/>
      <x:c r="C1324" s="39"/>
      <x:c r="D1324" s="39"/>
      <x:c r="E1324" s="39"/>
      <x:c r="F1324" s="39"/>
      <x:c r="G1324" s="39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</x:row>
    <x:row r="1325">
      <x:c r="A1325" s="39"/>
      <x:c r="B1325" s="39"/>
      <x:c r="C1325" s="39"/>
      <x:c r="D1325" s="39"/>
      <x:c r="E1325" s="39"/>
      <x:c r="F1325" s="39"/>
      <x:c r="G1325" s="39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</x:row>
    <x:row r="1326">
      <x:c r="A1326" s="39"/>
      <x:c r="B1326" s="39"/>
      <x:c r="C1326" s="39"/>
      <x:c r="D1326" s="39"/>
      <x:c r="E1326" s="39"/>
      <x:c r="F1326" s="39"/>
      <x:c r="G1326" s="39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</x:row>
    <x:row r="1327">
      <x:c r="A1327" s="39"/>
      <x:c r="B1327" s="39"/>
      <x:c r="C1327" s="39"/>
      <x:c r="D1327" s="39"/>
      <x:c r="E1327" s="39"/>
      <x:c r="F1327" s="39"/>
      <x:c r="G1327" s="39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</x:row>
    <x:row r="1328">
      <x:c r="A1328" s="39"/>
      <x:c r="B1328" s="39"/>
      <x:c r="C1328" s="39"/>
      <x:c r="D1328" s="39"/>
      <x:c r="E1328" s="39"/>
      <x:c r="F1328" s="39"/>
      <x:c r="G1328" s="39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</x:row>
    <x:row r="1329">
      <x:c r="A1329" s="39"/>
      <x:c r="B1329" s="39"/>
      <x:c r="C1329" s="39"/>
      <x:c r="D1329" s="39"/>
      <x:c r="E1329" s="39"/>
      <x:c r="F1329" s="39"/>
      <x:c r="G1329" s="39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</x:row>
    <x:row r="1330">
      <x:c r="A1330" s="39"/>
      <x:c r="B1330" s="39"/>
      <x:c r="C1330" s="39"/>
      <x:c r="D1330" s="39"/>
      <x:c r="E1330" s="39"/>
      <x:c r="F1330" s="39"/>
      <x:c r="G1330" s="39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</x:row>
    <x:row r="1331">
      <x:c r="A1331" s="39"/>
      <x:c r="B1331" s="39"/>
      <x:c r="C1331" s="39"/>
      <x:c r="D1331" s="39"/>
      <x:c r="E1331" s="39"/>
      <x:c r="F1331" s="39"/>
      <x:c r="G1331" s="39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</x:row>
    <x:row r="1332">
      <x:c r="A1332" s="39"/>
      <x:c r="B1332" s="39"/>
      <x:c r="C1332" s="39"/>
      <x:c r="D1332" s="39"/>
      <x:c r="E1332" s="39"/>
      <x:c r="F1332" s="39"/>
      <x:c r="G1332" s="39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</x:row>
    <x:row r="1333">
      <x:c r="A1333" s="39"/>
      <x:c r="B1333" s="39"/>
      <x:c r="C1333" s="39"/>
      <x:c r="D1333" s="39"/>
      <x:c r="E1333" s="39"/>
      <x:c r="F1333" s="39"/>
      <x:c r="G1333" s="39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</x:row>
    <x:row r="1334">
      <x:c r="A1334" s="39"/>
      <x:c r="B1334" s="39"/>
      <x:c r="C1334" s="39"/>
      <x:c r="D1334" s="39"/>
      <x:c r="E1334" s="39"/>
      <x:c r="F1334" s="39"/>
      <x:c r="G1334" s="39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</x:row>
    <x:row r="1335">
      <x:c r="A1335" s="39"/>
      <x:c r="B1335" s="39"/>
      <x:c r="C1335" s="39"/>
      <x:c r="D1335" s="39"/>
      <x:c r="E1335" s="39"/>
      <x:c r="F1335" s="39"/>
      <x:c r="G1335" s="39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</x:row>
    <x:row r="1336">
      <x:c r="A1336" s="39"/>
      <x:c r="B1336" s="39"/>
      <x:c r="C1336" s="39"/>
      <x:c r="D1336" s="39"/>
      <x:c r="E1336" s="39"/>
      <x:c r="F1336" s="39"/>
      <x:c r="G1336" s="39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</x:row>
    <x:row r="1337">
      <x:c r="A1337" s="39"/>
      <x:c r="B1337" s="39"/>
      <x:c r="C1337" s="39"/>
      <x:c r="D1337" s="39"/>
      <x:c r="E1337" s="39"/>
      <x:c r="F1337" s="39"/>
      <x:c r="G1337" s="39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</x:row>
    <x:row r="1338">
      <x:c r="A1338" s="39"/>
      <x:c r="B1338" s="39"/>
      <x:c r="C1338" s="39"/>
      <x:c r="D1338" s="39"/>
      <x:c r="E1338" s="39"/>
      <x:c r="F1338" s="39"/>
      <x:c r="G1338" s="39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</x:row>
    <x:row r="1339">
      <x:c r="A1339" s="39"/>
      <x:c r="B1339" s="39"/>
      <x:c r="C1339" s="39"/>
      <x:c r="D1339" s="39"/>
      <x:c r="E1339" s="39"/>
      <x:c r="F1339" s="39"/>
      <x:c r="G1339" s="39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</x:row>
    <x:row r="1340">
      <x:c r="A1340" s="39"/>
      <x:c r="B1340" s="39"/>
      <x:c r="C1340" s="39"/>
      <x:c r="D1340" s="39"/>
      <x:c r="E1340" s="39"/>
      <x:c r="F1340" s="39"/>
      <x:c r="G1340" s="39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</x:row>
    <x:row r="1341">
      <x:c r="A1341" s="39"/>
      <x:c r="B1341" s="39"/>
      <x:c r="C1341" s="39"/>
      <x:c r="D1341" s="39"/>
      <x:c r="E1341" s="39"/>
      <x:c r="F1341" s="39"/>
      <x:c r="G1341" s="39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</x:row>
    <x:row r="1342">
      <x:c r="A1342" s="39"/>
      <x:c r="B1342" s="39"/>
      <x:c r="C1342" s="39"/>
      <x:c r="D1342" s="39"/>
      <x:c r="E1342" s="39"/>
      <x:c r="F1342" s="39"/>
      <x:c r="G1342" s="39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</x:row>
    <x:row r="1343">
      <x:c r="A1343" s="39"/>
      <x:c r="B1343" s="39"/>
      <x:c r="C1343" s="39"/>
      <x:c r="D1343" s="39"/>
      <x:c r="E1343" s="39"/>
      <x:c r="F1343" s="39"/>
      <x:c r="G1343" s="39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</x:row>
    <x:row r="1344">
      <x:c r="A1344" s="39"/>
      <x:c r="B1344" s="39"/>
      <x:c r="C1344" s="39"/>
      <x:c r="D1344" s="39"/>
      <x:c r="E1344" s="39"/>
      <x:c r="F1344" s="39"/>
      <x:c r="G1344" s="39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</x:row>
    <x:row r="1345">
      <x:c r="A1345" s="39"/>
      <x:c r="B1345" s="39"/>
      <x:c r="C1345" s="39"/>
      <x:c r="D1345" s="39"/>
      <x:c r="E1345" s="39"/>
      <x:c r="F1345" s="39"/>
      <x:c r="G1345" s="39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</x:row>
    <x:row r="1346">
      <x:c r="A1346" s="39"/>
      <x:c r="B1346" s="39"/>
      <x:c r="C1346" s="39"/>
      <x:c r="D1346" s="39"/>
      <x:c r="E1346" s="39"/>
      <x:c r="F1346" s="39"/>
      <x:c r="G1346" s="39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</x:row>
    <x:row r="1347">
      <x:c r="A1347" s="39"/>
      <x:c r="B1347" s="39"/>
      <x:c r="C1347" s="39"/>
      <x:c r="D1347" s="39"/>
      <x:c r="E1347" s="39"/>
      <x:c r="F1347" s="39"/>
      <x:c r="G1347" s="39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</x:row>
    <x:row r="1348">
      <x:c r="A1348" s="39"/>
      <x:c r="B1348" s="39"/>
      <x:c r="C1348" s="39"/>
      <x:c r="D1348" s="39"/>
      <x:c r="E1348" s="39"/>
      <x:c r="F1348" s="39"/>
      <x:c r="G1348" s="39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</x:row>
    <x:row r="1349">
      <x:c r="A1349" s="39"/>
      <x:c r="B1349" s="39"/>
      <x:c r="C1349" s="39"/>
      <x:c r="D1349" s="39"/>
      <x:c r="E1349" s="39"/>
      <x:c r="F1349" s="39"/>
      <x:c r="G1349" s="39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</x:row>
    <x:row r="1350">
      <x:c r="A1350" s="39"/>
      <x:c r="B1350" s="39"/>
      <x:c r="C1350" s="39"/>
      <x:c r="D1350" s="39"/>
      <x:c r="E1350" s="39"/>
      <x:c r="F1350" s="39"/>
      <x:c r="G1350" s="39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</x:row>
    <x:row r="1351">
      <x:c r="A1351" s="39"/>
      <x:c r="B1351" s="39"/>
      <x:c r="C1351" s="39"/>
      <x:c r="D1351" s="39"/>
      <x:c r="E1351" s="39"/>
      <x:c r="F1351" s="39"/>
      <x:c r="G1351" s="39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</x:row>
    <x:row r="1352">
      <x:c r="A1352" s="39"/>
      <x:c r="B1352" s="39"/>
      <x:c r="C1352" s="39"/>
      <x:c r="D1352" s="39"/>
      <x:c r="E1352" s="39"/>
      <x:c r="F1352" s="39"/>
      <x:c r="G1352" s="39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</x:row>
    <x:row r="1353">
      <x:c r="A1353" s="39"/>
      <x:c r="B1353" s="39"/>
      <x:c r="C1353" s="39"/>
      <x:c r="D1353" s="39"/>
      <x:c r="E1353" s="39"/>
      <x:c r="F1353" s="39"/>
      <x:c r="G1353" s="39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</x:row>
    <x:row r="1354">
      <x:c r="A1354" s="39"/>
      <x:c r="B1354" s="39"/>
      <x:c r="C1354" s="39"/>
      <x:c r="D1354" s="39"/>
      <x:c r="E1354" s="39"/>
      <x:c r="F1354" s="39"/>
      <x:c r="G1354" s="39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</x:row>
    <x:row r="1355">
      <x:c r="A1355" s="39"/>
      <x:c r="B1355" s="39"/>
      <x:c r="C1355" s="39"/>
      <x:c r="D1355" s="39"/>
      <x:c r="E1355" s="39"/>
      <x:c r="F1355" s="39"/>
      <x:c r="G1355" s="39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</x:row>
    <x:row r="1356">
      <x:c r="A1356" s="39"/>
      <x:c r="B1356" s="39"/>
      <x:c r="C1356" s="39"/>
      <x:c r="D1356" s="39"/>
      <x:c r="E1356" s="39"/>
      <x:c r="F1356" s="39"/>
      <x:c r="G1356" s="39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</x:row>
    <x:row r="1357">
      <x:c r="A1357" s="39"/>
      <x:c r="B1357" s="39"/>
      <x:c r="C1357" s="39"/>
      <x:c r="D1357" s="39"/>
      <x:c r="E1357" s="39"/>
      <x:c r="F1357" s="39"/>
      <x:c r="G1357" s="39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</x:row>
    <x:row r="1358">
      <x:c r="A1358" s="39"/>
      <x:c r="B1358" s="39"/>
      <x:c r="C1358" s="39"/>
      <x:c r="D1358" s="39"/>
      <x:c r="E1358" s="39"/>
      <x:c r="F1358" s="39"/>
      <x:c r="G1358" s="39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</x:row>
    <x:row r="1359">
      <x:c r="A1359" s="39"/>
      <x:c r="B1359" s="39"/>
      <x:c r="C1359" s="39"/>
      <x:c r="D1359" s="39"/>
      <x:c r="E1359" s="39"/>
      <x:c r="F1359" s="39"/>
      <x:c r="G1359" s="39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</x:row>
    <x:row r="1360">
      <x:c r="A1360" s="39"/>
      <x:c r="B1360" s="39"/>
      <x:c r="C1360" s="39"/>
      <x:c r="D1360" s="39"/>
      <x:c r="E1360" s="39"/>
      <x:c r="F1360" s="39"/>
      <x:c r="G1360" s="39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</x:row>
    <x:row r="1361">
      <x:c r="A1361" s="39"/>
      <x:c r="B1361" s="39"/>
      <x:c r="C1361" s="39"/>
      <x:c r="D1361" s="39"/>
      <x:c r="E1361" s="39"/>
      <x:c r="F1361" s="39"/>
      <x:c r="G1361" s="39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</x:row>
    <x:row r="1362">
      <x:c r="A1362" s="39"/>
      <x:c r="B1362" s="39"/>
      <x:c r="C1362" s="39"/>
      <x:c r="D1362" s="39"/>
      <x:c r="E1362" s="39"/>
      <x:c r="F1362" s="39"/>
      <x:c r="G1362" s="39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</x:row>
    <x:row r="1363">
      <x:c r="A1363" s="39"/>
      <x:c r="B1363" s="39"/>
      <x:c r="C1363" s="39"/>
      <x:c r="D1363" s="39"/>
      <x:c r="E1363" s="39"/>
      <x:c r="F1363" s="39"/>
      <x:c r="G1363" s="39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</x:row>
    <x:row r="1364">
      <x:c r="A1364" s="39"/>
      <x:c r="B1364" s="39"/>
      <x:c r="C1364" s="39"/>
      <x:c r="D1364" s="39"/>
      <x:c r="E1364" s="39"/>
      <x:c r="F1364" s="39"/>
      <x:c r="G1364" s="39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</x:row>
    <x:row r="1365">
      <x:c r="A1365" s="39"/>
      <x:c r="B1365" s="39"/>
      <x:c r="C1365" s="39"/>
      <x:c r="D1365" s="39"/>
      <x:c r="E1365" s="39"/>
      <x:c r="F1365" s="39"/>
      <x:c r="G1365" s="39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</x:row>
    <x:row r="1366">
      <x:c r="A1366" s="39"/>
      <x:c r="B1366" s="39"/>
      <x:c r="C1366" s="39"/>
      <x:c r="D1366" s="39"/>
      <x:c r="E1366" s="39"/>
      <x:c r="F1366" s="39"/>
      <x:c r="G1366" s="39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</x:row>
    <x:row r="1367">
      <x:c r="A1367" s="39"/>
      <x:c r="B1367" s="39"/>
      <x:c r="C1367" s="39"/>
      <x:c r="D1367" s="39"/>
      <x:c r="E1367" s="39"/>
      <x:c r="F1367" s="39"/>
      <x:c r="G1367" s="39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</x:row>
    <x:row r="1368">
      <x:c r="A1368" s="39"/>
      <x:c r="B1368" s="39"/>
      <x:c r="C1368" s="39"/>
      <x:c r="D1368" s="39"/>
      <x:c r="E1368" s="39"/>
      <x:c r="F1368" s="39"/>
      <x:c r="G1368" s="39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</x:row>
    <x:row r="1369">
      <x:c r="A1369" s="39"/>
      <x:c r="B1369" s="39"/>
      <x:c r="C1369" s="39"/>
      <x:c r="D1369" s="39"/>
      <x:c r="E1369" s="39"/>
      <x:c r="F1369" s="39"/>
      <x:c r="G1369" s="39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</x:row>
    <x:row r="1370">
      <x:c r="A1370" s="39"/>
      <x:c r="B1370" s="39"/>
      <x:c r="C1370" s="39"/>
      <x:c r="D1370" s="39"/>
      <x:c r="E1370" s="39"/>
      <x:c r="F1370" s="39"/>
      <x:c r="G1370" s="39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</x:row>
    <x:row r="1371">
      <x:c r="A1371" s="39"/>
      <x:c r="B1371" s="39"/>
      <x:c r="C1371" s="39"/>
      <x:c r="D1371" s="39"/>
      <x:c r="E1371" s="39"/>
      <x:c r="F1371" s="39"/>
      <x:c r="G1371" s="39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</x:row>
    <x:row r="1372">
      <x:c r="A1372" s="39"/>
      <x:c r="B1372" s="39"/>
      <x:c r="C1372" s="39"/>
      <x:c r="D1372" s="39"/>
      <x:c r="E1372" s="39"/>
      <x:c r="F1372" s="39"/>
      <x:c r="G1372" s="39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</x:row>
    <x:row r="1373">
      <x:c r="A1373" s="39"/>
      <x:c r="B1373" s="39"/>
      <x:c r="C1373" s="39"/>
      <x:c r="D1373" s="39"/>
      <x:c r="E1373" s="39"/>
      <x:c r="F1373" s="39"/>
      <x:c r="G1373" s="39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</x:row>
    <x:row r="1374">
      <x:c r="A1374" s="39"/>
      <x:c r="B1374" s="39"/>
      <x:c r="C1374" s="39"/>
      <x:c r="D1374" s="39"/>
      <x:c r="E1374" s="39"/>
      <x:c r="F1374" s="39"/>
      <x:c r="G1374" s="39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</x:row>
    <x:row r="1375">
      <x:c r="A1375" s="39"/>
      <x:c r="B1375" s="39"/>
      <x:c r="C1375" s="39"/>
      <x:c r="D1375" s="39"/>
      <x:c r="E1375" s="39"/>
      <x:c r="F1375" s="39"/>
      <x:c r="G1375" s="39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</x:row>
    <x:row r="1376">
      <x:c r="A1376" s="39"/>
      <x:c r="B1376" s="39"/>
      <x:c r="C1376" s="39"/>
      <x:c r="D1376" s="39"/>
      <x:c r="E1376" s="39"/>
      <x:c r="F1376" s="39"/>
      <x:c r="G1376" s="39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</x:row>
    <x:row r="1377">
      <x:c r="A1377" s="39"/>
      <x:c r="B1377" s="39"/>
      <x:c r="C1377" s="39"/>
      <x:c r="D1377" s="39"/>
      <x:c r="E1377" s="39"/>
      <x:c r="F1377" s="39"/>
      <x:c r="G1377" s="39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</x:row>
    <x:row r="1378">
      <x:c r="A1378" s="39"/>
      <x:c r="B1378" s="39"/>
      <x:c r="C1378" s="39"/>
      <x:c r="D1378" s="39"/>
      <x:c r="E1378" s="39"/>
      <x:c r="F1378" s="39"/>
      <x:c r="G1378" s="39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</x:row>
    <x:row r="1379">
      <x:c r="A1379" s="39"/>
      <x:c r="B1379" s="39"/>
      <x:c r="C1379" s="39"/>
      <x:c r="D1379" s="39"/>
      <x:c r="E1379" s="39"/>
      <x:c r="F1379" s="39"/>
      <x:c r="G1379" s="39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</x:row>
    <x:row r="1380">
      <x:c r="A1380" s="39"/>
      <x:c r="B1380" s="39"/>
      <x:c r="C1380" s="39"/>
      <x:c r="D1380" s="39"/>
      <x:c r="E1380" s="39"/>
      <x:c r="F1380" s="39"/>
      <x:c r="G1380" s="39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</x:row>
    <x:row r="1381">
      <x:c r="A1381" s="39"/>
      <x:c r="B1381" s="39"/>
      <x:c r="C1381" s="39"/>
      <x:c r="D1381" s="39"/>
      <x:c r="E1381" s="39"/>
      <x:c r="F1381" s="39"/>
      <x:c r="G1381" s="39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</x:row>
    <x:row r="1382">
      <x:c r="A1382" s="39"/>
      <x:c r="B1382" s="39"/>
      <x:c r="C1382" s="39"/>
      <x:c r="D1382" s="39"/>
      <x:c r="E1382" s="39"/>
      <x:c r="F1382" s="39"/>
      <x:c r="G1382" s="39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</x:row>
    <x:row r="1383">
      <x:c r="A1383" s="39"/>
      <x:c r="B1383" s="39"/>
      <x:c r="C1383" s="39"/>
      <x:c r="D1383" s="39"/>
      <x:c r="E1383" s="39"/>
      <x:c r="F1383" s="39"/>
      <x:c r="G1383" s="39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</x:row>
    <x:row r="1384">
      <x:c r="A1384" s="39"/>
      <x:c r="B1384" s="39"/>
      <x:c r="C1384" s="39"/>
      <x:c r="D1384" s="39"/>
      <x:c r="E1384" s="39"/>
      <x:c r="F1384" s="39"/>
      <x:c r="G1384" s="39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</x:row>
    <x:row r="1385">
      <x:c r="A1385" s="39"/>
      <x:c r="B1385" s="39"/>
      <x:c r="C1385" s="39"/>
      <x:c r="D1385" s="39"/>
      <x:c r="E1385" s="39"/>
      <x:c r="F1385" s="39"/>
      <x:c r="G1385" s="39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</x:row>
    <x:row r="1386">
      <x:c r="A1386" s="39"/>
      <x:c r="B1386" s="39"/>
      <x:c r="C1386" s="39"/>
      <x:c r="D1386" s="39"/>
      <x:c r="E1386" s="39"/>
      <x:c r="F1386" s="39"/>
      <x:c r="G1386" s="39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</x:row>
    <x:row r="1387">
      <x:c r="A1387" s="39"/>
      <x:c r="B1387" s="39"/>
      <x:c r="C1387" s="39"/>
      <x:c r="D1387" s="39"/>
      <x:c r="E1387" s="39"/>
      <x:c r="F1387" s="39"/>
      <x:c r="G1387" s="39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</x:row>
    <x:row r="1388">
      <x:c r="A1388" s="39"/>
      <x:c r="B1388" s="39"/>
      <x:c r="C1388" s="39"/>
      <x:c r="D1388" s="39"/>
      <x:c r="E1388" s="39"/>
      <x:c r="F1388" s="39"/>
      <x:c r="G1388" s="39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</x:row>
    <x:row r="1389">
      <x:c r="A1389" s="39"/>
      <x:c r="B1389" s="39"/>
      <x:c r="C1389" s="39"/>
      <x:c r="D1389" s="39"/>
      <x:c r="E1389" s="39"/>
      <x:c r="F1389" s="39"/>
      <x:c r="G1389" s="39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</x:row>
    <x:row r="1390">
      <x:c r="A1390" s="39"/>
      <x:c r="B1390" s="39"/>
      <x:c r="C1390" s="39"/>
      <x:c r="D1390" s="39"/>
      <x:c r="E1390" s="39"/>
      <x:c r="F1390" s="39"/>
      <x:c r="G1390" s="39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</x:row>
    <x:row r="1391">
      <x:c r="A1391" s="39"/>
      <x:c r="B1391" s="39"/>
      <x:c r="C1391" s="39"/>
      <x:c r="D1391" s="39"/>
      <x:c r="E1391" s="39"/>
      <x:c r="F1391" s="39"/>
      <x:c r="G1391" s="39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</x:row>
    <x:row r="1392">
      <x:c r="A1392" s="39"/>
      <x:c r="B1392" s="39"/>
      <x:c r="C1392" s="39"/>
      <x:c r="D1392" s="39"/>
      <x:c r="E1392" s="39"/>
      <x:c r="F1392" s="39"/>
      <x:c r="G1392" s="39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</x:row>
    <x:row r="1393">
      <x:c r="A1393" s="39"/>
      <x:c r="B1393" s="39"/>
      <x:c r="C1393" s="39"/>
      <x:c r="D1393" s="39"/>
      <x:c r="E1393" s="39"/>
      <x:c r="F1393" s="39"/>
      <x:c r="G1393" s="39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</x:row>
    <x:row r="1394">
      <x:c r="A1394" s="39"/>
      <x:c r="B1394" s="39"/>
      <x:c r="C1394" s="39"/>
      <x:c r="D1394" s="39"/>
      <x:c r="E1394" s="39"/>
      <x:c r="F1394" s="39"/>
      <x:c r="G1394" s="39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</x:row>
    <x:row r="1395">
      <x:c r="A1395" s="39"/>
      <x:c r="B1395" s="39"/>
      <x:c r="C1395" s="39"/>
      <x:c r="D1395" s="39"/>
      <x:c r="E1395" s="39"/>
      <x:c r="F1395" s="39"/>
      <x:c r="G1395" s="39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</x:row>
    <x:row r="1396">
      <x:c r="A1396" s="39"/>
      <x:c r="B1396" s="39"/>
      <x:c r="C1396" s="39"/>
      <x:c r="D1396" s="39"/>
      <x:c r="E1396" s="39"/>
      <x:c r="F1396" s="39"/>
      <x:c r="G1396" s="39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</x:row>
    <x:row r="1397">
      <x:c r="A1397" s="39"/>
      <x:c r="B1397" s="39"/>
      <x:c r="C1397" s="39"/>
      <x:c r="D1397" s="39"/>
      <x:c r="E1397" s="39"/>
      <x:c r="F1397" s="39"/>
      <x:c r="G1397" s="39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</x:row>
    <x:row r="1398">
      <x:c r="A1398" s="39"/>
      <x:c r="B1398" s="39"/>
      <x:c r="C1398" s="39"/>
      <x:c r="D1398" s="39"/>
      <x:c r="E1398" s="39"/>
      <x:c r="F1398" s="39"/>
      <x:c r="G1398" s="39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</x:row>
    <x:row r="1399">
      <x:c r="A1399" s="39"/>
      <x:c r="B1399" s="39"/>
      <x:c r="C1399" s="39"/>
      <x:c r="D1399" s="39"/>
      <x:c r="E1399" s="39"/>
      <x:c r="F1399" s="39"/>
      <x:c r="G1399" s="39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</x:row>
    <x:row r="1400">
      <x:c r="A1400" s="39"/>
      <x:c r="B1400" s="39"/>
      <x:c r="C1400" s="39"/>
      <x:c r="D1400" s="39"/>
      <x:c r="E1400" s="39"/>
      <x:c r="F1400" s="39"/>
      <x:c r="G1400" s="39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</x:row>
    <x:row r="1401">
      <x:c r="A1401" s="39"/>
      <x:c r="B1401" s="39"/>
      <x:c r="C1401" s="39"/>
      <x:c r="D1401" s="39"/>
      <x:c r="E1401" s="39"/>
      <x:c r="F1401" s="39"/>
      <x:c r="G1401" s="39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</x:row>
    <x:row r="1402">
      <x:c r="A1402" s="39"/>
      <x:c r="B1402" s="39"/>
      <x:c r="C1402" s="39"/>
      <x:c r="D1402" s="39"/>
      <x:c r="E1402" s="39"/>
      <x:c r="F1402" s="39"/>
      <x:c r="G1402" s="39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</x:row>
    <x:row r="1403">
      <x:c r="A1403" s="39"/>
      <x:c r="B1403" s="39"/>
      <x:c r="C1403" s="39"/>
      <x:c r="D1403" s="39"/>
      <x:c r="E1403" s="39"/>
      <x:c r="F1403" s="39"/>
      <x:c r="G1403" s="39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</x:row>
    <x:row r="1404">
      <x:c r="A1404" s="39"/>
      <x:c r="B1404" s="39"/>
      <x:c r="C1404" s="39"/>
      <x:c r="D1404" s="39"/>
      <x:c r="E1404" s="39"/>
      <x:c r="F1404" s="39"/>
      <x:c r="G1404" s="39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</x:row>
    <x:row r="1405">
      <x:c r="A1405" s="39"/>
      <x:c r="B1405" s="39"/>
      <x:c r="C1405" s="39"/>
      <x:c r="D1405" s="39"/>
      <x:c r="E1405" s="39"/>
      <x:c r="F1405" s="39"/>
      <x:c r="G1405" s="39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</x:row>
    <x:row r="1406">
      <x:c r="A1406" s="39"/>
      <x:c r="B1406" s="39"/>
      <x:c r="C1406" s="39"/>
      <x:c r="D1406" s="39"/>
      <x:c r="E1406" s="39"/>
      <x:c r="F1406" s="39"/>
      <x:c r="G1406" s="39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</x:row>
    <x:row r="1407">
      <x:c r="A1407" s="39"/>
      <x:c r="B1407" s="39"/>
      <x:c r="C1407" s="39"/>
      <x:c r="D1407" s="39"/>
      <x:c r="E1407" s="39"/>
      <x:c r="F1407" s="39"/>
      <x:c r="G1407" s="39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</x:row>
    <x:row r="1408">
      <x:c r="A1408" s="39"/>
      <x:c r="B1408" s="39"/>
      <x:c r="C1408" s="39"/>
      <x:c r="D1408" s="39"/>
      <x:c r="E1408" s="39"/>
      <x:c r="F1408" s="39"/>
      <x:c r="G1408" s="39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</x:row>
    <x:row r="1409">
      <x:c r="A1409" s="39"/>
      <x:c r="B1409" s="39"/>
      <x:c r="C1409" s="39"/>
      <x:c r="D1409" s="39"/>
      <x:c r="E1409" s="39"/>
      <x:c r="F1409" s="39"/>
      <x:c r="G1409" s="39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</x:row>
    <x:row r="1410">
      <x:c r="A1410" s="39"/>
      <x:c r="B1410" s="39"/>
      <x:c r="C1410" s="39"/>
      <x:c r="D1410" s="39"/>
      <x:c r="E1410" s="39"/>
      <x:c r="F1410" s="39"/>
      <x:c r="G1410" s="39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</x:row>
    <x:row r="1411">
      <x:c r="A1411" s="39"/>
      <x:c r="B1411" s="39"/>
      <x:c r="C1411" s="39"/>
      <x:c r="D1411" s="39"/>
      <x:c r="E1411" s="39"/>
      <x:c r="F1411" s="39"/>
      <x:c r="G1411" s="39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</x:row>
    <x:row r="1412">
      <x:c r="A1412" s="39"/>
      <x:c r="B1412" s="39"/>
      <x:c r="C1412" s="39"/>
      <x:c r="D1412" s="39"/>
      <x:c r="E1412" s="39"/>
      <x:c r="F1412" s="39"/>
      <x:c r="G1412" s="39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</x:row>
    <x:row r="1413">
      <x:c r="A1413" s="39"/>
      <x:c r="B1413" s="39"/>
      <x:c r="C1413" s="39"/>
      <x:c r="D1413" s="39"/>
      <x:c r="E1413" s="39"/>
      <x:c r="F1413" s="39"/>
      <x:c r="G1413" s="39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</x:row>
    <x:row r="1414">
      <x:c r="A1414" s="39"/>
      <x:c r="B1414" s="39"/>
      <x:c r="C1414" s="39"/>
      <x:c r="D1414" s="39"/>
      <x:c r="E1414" s="39"/>
      <x:c r="F1414" s="39"/>
      <x:c r="G1414" s="39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</x:row>
    <x:row r="1415">
      <x:c r="A1415" s="39"/>
      <x:c r="B1415" s="39"/>
      <x:c r="C1415" s="39"/>
      <x:c r="D1415" s="39"/>
      <x:c r="E1415" s="39"/>
      <x:c r="F1415" s="39"/>
      <x:c r="G1415" s="39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</x:row>
    <x:row r="1416">
      <x:c r="A1416" s="39"/>
      <x:c r="B1416" s="39"/>
      <x:c r="C1416" s="39"/>
      <x:c r="D1416" s="39"/>
      <x:c r="E1416" s="39"/>
      <x:c r="F1416" s="39"/>
      <x:c r="G1416" s="39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</x:row>
    <x:row r="1417">
      <x:c r="A1417" s="39"/>
      <x:c r="B1417" s="39"/>
      <x:c r="C1417" s="39"/>
      <x:c r="D1417" s="39"/>
      <x:c r="E1417" s="39"/>
      <x:c r="F1417" s="39"/>
      <x:c r="G1417" s="39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</x:row>
    <x:row r="1418">
      <x:c r="A1418" s="39"/>
      <x:c r="B1418" s="39"/>
      <x:c r="C1418" s="39"/>
      <x:c r="D1418" s="39"/>
      <x:c r="E1418" s="39"/>
      <x:c r="F1418" s="39"/>
      <x:c r="G1418" s="39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</x:row>
    <x:row r="1419">
      <x:c r="A1419" s="39"/>
      <x:c r="B1419" s="39"/>
      <x:c r="C1419" s="39"/>
      <x:c r="D1419" s="39"/>
      <x:c r="E1419" s="39"/>
      <x:c r="F1419" s="39"/>
      <x:c r="G1419" s="39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</x:row>
    <x:row r="1420">
      <x:c r="A1420" s="39"/>
      <x:c r="B1420" s="39"/>
      <x:c r="C1420" s="39"/>
      <x:c r="D1420" s="39"/>
      <x:c r="E1420" s="39"/>
      <x:c r="F1420" s="39"/>
      <x:c r="G1420" s="39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</x:row>
    <x:row r="1421">
      <x:c r="A1421" s="39"/>
      <x:c r="B1421" s="39"/>
      <x:c r="C1421" s="39"/>
      <x:c r="D1421" s="39"/>
      <x:c r="E1421" s="39"/>
      <x:c r="F1421" s="39"/>
      <x:c r="G1421" s="39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</x:row>
    <x:row r="1422">
      <x:c r="A1422" s="39"/>
      <x:c r="B1422" s="39"/>
      <x:c r="C1422" s="39"/>
      <x:c r="D1422" s="39"/>
      <x:c r="E1422" s="39"/>
      <x:c r="F1422" s="39"/>
      <x:c r="G1422" s="39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</x:row>
    <x:row r="1423">
      <x:c r="A1423" s="39"/>
      <x:c r="B1423" s="39"/>
      <x:c r="C1423" s="39"/>
      <x:c r="D1423" s="39"/>
      <x:c r="E1423" s="39"/>
      <x:c r="F1423" s="39"/>
      <x:c r="G1423" s="39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</x:row>
    <x:row r="1424">
      <x:c r="A1424" s="39"/>
      <x:c r="B1424" s="39"/>
      <x:c r="C1424" s="39"/>
      <x:c r="D1424" s="39"/>
      <x:c r="E1424" s="39"/>
      <x:c r="F1424" s="39"/>
      <x:c r="G1424" s="39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</x:row>
    <x:row r="1425">
      <x:c r="A1425" s="39"/>
      <x:c r="B1425" s="39"/>
      <x:c r="C1425" s="39"/>
      <x:c r="D1425" s="39"/>
      <x:c r="E1425" s="39"/>
      <x:c r="F1425" s="39"/>
      <x:c r="G1425" s="39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</x:row>
    <x:row r="1426">
      <x:c r="A1426" s="39"/>
      <x:c r="B1426" s="39"/>
      <x:c r="C1426" s="39"/>
      <x:c r="D1426" s="39"/>
      <x:c r="E1426" s="39"/>
      <x:c r="F1426" s="39"/>
      <x:c r="G1426" s="39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</x:row>
    <x:row r="1427">
      <x:c r="A1427" s="39"/>
      <x:c r="B1427" s="39"/>
      <x:c r="C1427" s="39"/>
      <x:c r="D1427" s="39"/>
      <x:c r="E1427" s="39"/>
      <x:c r="F1427" s="39"/>
      <x:c r="G1427" s="39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</x:row>
    <x:row r="1428">
      <x:c r="A1428" s="39"/>
      <x:c r="B1428" s="39"/>
      <x:c r="C1428" s="39"/>
      <x:c r="D1428" s="39"/>
      <x:c r="E1428" s="39"/>
      <x:c r="F1428" s="39"/>
      <x:c r="G1428" s="39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</x:row>
    <x:row r="1429">
      <x:c r="A1429" s="39"/>
      <x:c r="B1429" s="39"/>
      <x:c r="C1429" s="39"/>
      <x:c r="D1429" s="39"/>
      <x:c r="E1429" s="39"/>
      <x:c r="F1429" s="39"/>
      <x:c r="G1429" s="39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</x:row>
    <x:row r="1430">
      <x:c r="A1430" s="39"/>
      <x:c r="B1430" s="39"/>
      <x:c r="C1430" s="39"/>
      <x:c r="D1430" s="39"/>
      <x:c r="E1430" s="39"/>
      <x:c r="F1430" s="39"/>
      <x:c r="G1430" s="39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</x:row>
    <x:row r="1431">
      <x:c r="A1431" s="39"/>
      <x:c r="B1431" s="39"/>
      <x:c r="C1431" s="39"/>
      <x:c r="D1431" s="39"/>
      <x:c r="E1431" s="39"/>
      <x:c r="F1431" s="39"/>
      <x:c r="G1431" s="39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</x:row>
    <x:row r="1432">
      <x:c r="A1432" s="39"/>
      <x:c r="B1432" s="39"/>
      <x:c r="C1432" s="39"/>
      <x:c r="D1432" s="39"/>
      <x:c r="E1432" s="39"/>
      <x:c r="F1432" s="39"/>
      <x:c r="G1432" s="39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</x:row>
    <x:row r="1433">
      <x:c r="A1433" s="39"/>
      <x:c r="B1433" s="39"/>
      <x:c r="C1433" s="39"/>
      <x:c r="D1433" s="39"/>
      <x:c r="E1433" s="39"/>
      <x:c r="F1433" s="39"/>
      <x:c r="G1433" s="39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</x:row>
    <x:row r="1434">
      <x:c r="A1434" s="39"/>
      <x:c r="B1434" s="39"/>
      <x:c r="C1434" s="39"/>
      <x:c r="D1434" s="39"/>
      <x:c r="E1434" s="39"/>
      <x:c r="F1434" s="39"/>
      <x:c r="G1434" s="39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</x:row>
    <x:row r="1435">
      <x:c r="A1435" s="39"/>
      <x:c r="B1435" s="39"/>
      <x:c r="C1435" s="39"/>
      <x:c r="D1435" s="39"/>
      <x:c r="E1435" s="39"/>
      <x:c r="F1435" s="39"/>
      <x:c r="G1435" s="39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</x:row>
    <x:row r="1436">
      <x:c r="A1436" s="39"/>
      <x:c r="B1436" s="39"/>
      <x:c r="C1436" s="39"/>
      <x:c r="D1436" s="39"/>
      <x:c r="E1436" s="39"/>
      <x:c r="F1436" s="39"/>
      <x:c r="G1436" s="39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</x:row>
    <x:row r="1437">
      <x:c r="A1437" s="39"/>
      <x:c r="B1437" s="39"/>
      <x:c r="C1437" s="39"/>
      <x:c r="D1437" s="39"/>
      <x:c r="E1437" s="39"/>
      <x:c r="F1437" s="39"/>
      <x:c r="G1437" s="39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</x:row>
    <x:row r="1438">
      <x:c r="A1438" s="39"/>
      <x:c r="B1438" s="39"/>
      <x:c r="C1438" s="39"/>
      <x:c r="D1438" s="39"/>
      <x:c r="E1438" s="39"/>
      <x:c r="F1438" s="39"/>
      <x:c r="G1438" s="39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</x:row>
    <x:row r="1439">
      <x:c r="A1439" s="39"/>
      <x:c r="B1439" s="39"/>
      <x:c r="C1439" s="39"/>
      <x:c r="D1439" s="39"/>
      <x:c r="E1439" s="39"/>
      <x:c r="F1439" s="39"/>
      <x:c r="G1439" s="39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</x:row>
    <x:row r="1440">
      <x:c r="A1440" s="39"/>
      <x:c r="B1440" s="39"/>
      <x:c r="C1440" s="39"/>
      <x:c r="D1440" s="39"/>
      <x:c r="E1440" s="39"/>
      <x:c r="F1440" s="39"/>
      <x:c r="G1440" s="39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</x:row>
    <x:row r="1441">
      <x:c r="A1441" s="39"/>
      <x:c r="B1441" s="39"/>
      <x:c r="C1441" s="39"/>
      <x:c r="D1441" s="39"/>
      <x:c r="E1441" s="39"/>
      <x:c r="F1441" s="39"/>
      <x:c r="G1441" s="39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</x:row>
    <x:row r="1442">
      <x:c r="A1442" s="39"/>
      <x:c r="B1442" s="39"/>
      <x:c r="C1442" s="39"/>
      <x:c r="D1442" s="39"/>
      <x:c r="E1442" s="39"/>
      <x:c r="F1442" s="39"/>
      <x:c r="G1442" s="39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</x:row>
    <x:row r="1443">
      <x:c r="A1443" s="39"/>
      <x:c r="B1443" s="39"/>
      <x:c r="C1443" s="39"/>
      <x:c r="D1443" s="39"/>
      <x:c r="E1443" s="39"/>
      <x:c r="F1443" s="39"/>
      <x:c r="G1443" s="39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</x:row>
    <x:row r="1444">
      <x:c r="A1444" s="39"/>
      <x:c r="B1444" s="39"/>
      <x:c r="C1444" s="39"/>
      <x:c r="D1444" s="39"/>
      <x:c r="E1444" s="39"/>
      <x:c r="F1444" s="39"/>
      <x:c r="G1444" s="39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</x:row>
    <x:row r="1445">
      <x:c r="A1445" s="39"/>
      <x:c r="B1445" s="39"/>
      <x:c r="C1445" s="39"/>
      <x:c r="D1445" s="39"/>
      <x:c r="E1445" s="39"/>
      <x:c r="F1445" s="39"/>
      <x:c r="G1445" s="39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</x:row>
    <x:row r="1446">
      <x:c r="A1446" s="39"/>
      <x:c r="B1446" s="39"/>
      <x:c r="C1446" s="39"/>
      <x:c r="D1446" s="39"/>
      <x:c r="E1446" s="39"/>
      <x:c r="F1446" s="39"/>
      <x:c r="G1446" s="39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</x:row>
    <x:row r="1447">
      <x:c r="A1447" s="39"/>
      <x:c r="B1447" s="39"/>
      <x:c r="C1447" s="39"/>
      <x:c r="D1447" s="39"/>
      <x:c r="E1447" s="39"/>
      <x:c r="F1447" s="39"/>
      <x:c r="G1447" s="39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</x:row>
    <x:row r="1448">
      <x:c r="A1448" s="39"/>
      <x:c r="B1448" s="39"/>
      <x:c r="C1448" s="39"/>
      <x:c r="D1448" s="39"/>
      <x:c r="E1448" s="39"/>
      <x:c r="F1448" s="39"/>
      <x:c r="G1448" s="39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</x:row>
    <x:row r="1449">
      <x:c r="A1449" s="39"/>
      <x:c r="B1449" s="39"/>
      <x:c r="C1449" s="39"/>
      <x:c r="D1449" s="39"/>
      <x:c r="E1449" s="39"/>
      <x:c r="F1449" s="39"/>
      <x:c r="G1449" s="39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</x:row>
    <x:row r="1450">
      <x:c r="A1450" s="39"/>
      <x:c r="B1450" s="39"/>
      <x:c r="C1450" s="39"/>
      <x:c r="D1450" s="39"/>
      <x:c r="E1450" s="39"/>
      <x:c r="F1450" s="39"/>
      <x:c r="G1450" s="39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</x:row>
    <x:row r="1451">
      <x:c r="A1451" s="39"/>
      <x:c r="B1451" s="39"/>
      <x:c r="C1451" s="39"/>
      <x:c r="D1451" s="39"/>
      <x:c r="E1451" s="39"/>
      <x:c r="F1451" s="39"/>
      <x:c r="G1451" s="39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</x:row>
    <x:row r="1452">
      <x:c r="A1452" s="39"/>
      <x:c r="B1452" s="39"/>
      <x:c r="C1452" s="39"/>
      <x:c r="D1452" s="39"/>
      <x:c r="E1452" s="39"/>
      <x:c r="F1452" s="39"/>
      <x:c r="G1452" s="39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</x:row>
    <x:row r="1453">
      <x:c r="A1453" s="39"/>
      <x:c r="B1453" s="39"/>
      <x:c r="C1453" s="39"/>
      <x:c r="D1453" s="39"/>
      <x:c r="E1453" s="39"/>
      <x:c r="F1453" s="39"/>
      <x:c r="G1453" s="39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</x:row>
    <x:row r="1454">
      <x:c r="A1454" s="39"/>
      <x:c r="B1454" s="39"/>
      <x:c r="C1454" s="39"/>
      <x:c r="D1454" s="39"/>
      <x:c r="E1454" s="39"/>
      <x:c r="F1454" s="39"/>
      <x:c r="G1454" s="39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</x:row>
    <x:row r="1455">
      <x:c r="A1455" s="39"/>
      <x:c r="B1455" s="39"/>
      <x:c r="C1455" s="39"/>
      <x:c r="D1455" s="39"/>
      <x:c r="E1455" s="39"/>
      <x:c r="F1455" s="39"/>
      <x:c r="G1455" s="39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</x:row>
    <x:row r="1456">
      <x:c r="A1456" s="39"/>
      <x:c r="B1456" s="39"/>
      <x:c r="C1456" s="39"/>
      <x:c r="D1456" s="39"/>
      <x:c r="E1456" s="39"/>
      <x:c r="F1456" s="39"/>
      <x:c r="G1456" s="39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</x:row>
    <x:row r="1457">
      <x:c r="A1457" s="39"/>
      <x:c r="B1457" s="39"/>
      <x:c r="C1457" s="39"/>
      <x:c r="D1457" s="39"/>
      <x:c r="E1457" s="39"/>
      <x:c r="F1457" s="39"/>
      <x:c r="G1457" s="39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</x:row>
    <x:row r="1458">
      <x:c r="A1458" s="39"/>
      <x:c r="B1458" s="39"/>
      <x:c r="C1458" s="39"/>
      <x:c r="D1458" s="39"/>
      <x:c r="E1458" s="39"/>
      <x:c r="F1458" s="39"/>
      <x:c r="G1458" s="39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</x:row>
    <x:row r="1459">
      <x:c r="A1459" s="39"/>
      <x:c r="B1459" s="39"/>
      <x:c r="C1459" s="39"/>
      <x:c r="D1459" s="39"/>
      <x:c r="E1459" s="39"/>
      <x:c r="F1459" s="39"/>
      <x:c r="G1459" s="39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</x:row>
    <x:row r="1460">
      <x:c r="A1460" s="39"/>
      <x:c r="B1460" s="39"/>
      <x:c r="C1460" s="39"/>
      <x:c r="D1460" s="39"/>
      <x:c r="E1460" s="39"/>
      <x:c r="F1460" s="39"/>
      <x:c r="G1460" s="39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</x:row>
    <x:row r="1461">
      <x:c r="A1461" s="39"/>
      <x:c r="B1461" s="39"/>
      <x:c r="C1461" s="39"/>
      <x:c r="D1461" s="39"/>
      <x:c r="E1461" s="39"/>
      <x:c r="F1461" s="39"/>
      <x:c r="G1461" s="39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</x:row>
    <x:row r="1462">
      <x:c r="A1462" s="39"/>
      <x:c r="B1462" s="39"/>
      <x:c r="C1462" s="39"/>
      <x:c r="D1462" s="39"/>
      <x:c r="E1462" s="39"/>
      <x:c r="F1462" s="39"/>
      <x:c r="G1462" s="39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</x:row>
    <x:row r="1463">
      <x:c r="A1463" s="39"/>
      <x:c r="B1463" s="39"/>
      <x:c r="C1463" s="39"/>
      <x:c r="D1463" s="39"/>
      <x:c r="E1463" s="39"/>
      <x:c r="F1463" s="39"/>
      <x:c r="G1463" s="39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</x:row>
    <x:row r="1464">
      <x:c r="A1464" s="39"/>
      <x:c r="B1464" s="39"/>
      <x:c r="C1464" s="39"/>
      <x:c r="D1464" s="39"/>
      <x:c r="E1464" s="39"/>
      <x:c r="F1464" s="39"/>
      <x:c r="G1464" s="39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</x:row>
    <x:row r="1465">
      <x:c r="A1465" s="39"/>
      <x:c r="B1465" s="39"/>
      <x:c r="C1465" s="39"/>
      <x:c r="D1465" s="39"/>
      <x:c r="E1465" s="39"/>
      <x:c r="F1465" s="39"/>
      <x:c r="G1465" s="39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</x:row>
    <x:row r="1466">
      <x:c r="A1466" s="39"/>
      <x:c r="B1466" s="39"/>
      <x:c r="C1466" s="39"/>
      <x:c r="D1466" s="39"/>
      <x:c r="E1466" s="39"/>
      <x:c r="F1466" s="39"/>
      <x:c r="G1466" s="39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</x:row>
    <x:row r="1467">
      <x:c r="A1467" s="39"/>
      <x:c r="B1467" s="39"/>
      <x:c r="C1467" s="39"/>
      <x:c r="D1467" s="39"/>
      <x:c r="E1467" s="39"/>
      <x:c r="F1467" s="39"/>
      <x:c r="G1467" s="39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</x:row>
    <x:row r="1468">
      <x:c r="A1468" s="39"/>
      <x:c r="B1468" s="39"/>
      <x:c r="C1468" s="39"/>
      <x:c r="D1468" s="39"/>
      <x:c r="E1468" s="39"/>
      <x:c r="F1468" s="39"/>
      <x:c r="G1468" s="39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</x:row>
    <x:row r="1469">
      <x:c r="A1469" s="39"/>
      <x:c r="B1469" s="39"/>
      <x:c r="C1469" s="39"/>
      <x:c r="D1469" s="39"/>
      <x:c r="E1469" s="39"/>
      <x:c r="F1469" s="39"/>
      <x:c r="G1469" s="39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</x:row>
    <x:row r="1470">
      <x:c r="A1470" s="39"/>
      <x:c r="B1470" s="39"/>
      <x:c r="C1470" s="39"/>
      <x:c r="D1470" s="39"/>
      <x:c r="E1470" s="39"/>
      <x:c r="F1470" s="39"/>
      <x:c r="G1470" s="39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</x:row>
    <x:row r="1471">
      <x:c r="A1471" s="39"/>
      <x:c r="B1471" s="39"/>
      <x:c r="C1471" s="39"/>
      <x:c r="D1471" s="39"/>
      <x:c r="E1471" s="39"/>
      <x:c r="F1471" s="39"/>
      <x:c r="G1471" s="39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</x:row>
    <x:row r="1472">
      <x:c r="A1472" s="39"/>
      <x:c r="B1472" s="39"/>
      <x:c r="C1472" s="39"/>
      <x:c r="D1472" s="39"/>
      <x:c r="E1472" s="39"/>
      <x:c r="F1472" s="39"/>
      <x:c r="G1472" s="39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</x:row>
    <x:row r="1473">
      <x:c r="A1473" s="39"/>
      <x:c r="B1473" s="39"/>
      <x:c r="C1473" s="39"/>
      <x:c r="D1473" s="39"/>
      <x:c r="E1473" s="39"/>
      <x:c r="F1473" s="39"/>
      <x:c r="G1473" s="39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</x:row>
    <x:row r="1474">
      <x:c r="A1474" s="39"/>
      <x:c r="B1474" s="39"/>
      <x:c r="C1474" s="39"/>
      <x:c r="D1474" s="39"/>
      <x:c r="E1474" s="39"/>
      <x:c r="F1474" s="39"/>
      <x:c r="G1474" s="39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</x:row>
    <x:row r="1475">
      <x:c r="A1475" s="39"/>
      <x:c r="B1475" s="39"/>
      <x:c r="C1475" s="39"/>
      <x:c r="D1475" s="39"/>
      <x:c r="E1475" s="39"/>
      <x:c r="F1475" s="39"/>
      <x:c r="G1475" s="39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</x:row>
    <x:row r="1476">
      <x:c r="A1476" s="39"/>
      <x:c r="B1476" s="39"/>
      <x:c r="C1476" s="39"/>
      <x:c r="D1476" s="39"/>
      <x:c r="E1476" s="39"/>
      <x:c r="F1476" s="39"/>
      <x:c r="G1476" s="39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</x:row>
    <x:row r="1477">
      <x:c r="A1477" s="39"/>
      <x:c r="B1477" s="39"/>
      <x:c r="C1477" s="39"/>
      <x:c r="D1477" s="39"/>
      <x:c r="E1477" s="39"/>
      <x:c r="F1477" s="39"/>
      <x:c r="G1477" s="39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</x:row>
    <x:row r="1478">
      <x:c r="A1478" s="39"/>
      <x:c r="B1478" s="39"/>
      <x:c r="C1478" s="39"/>
      <x:c r="D1478" s="39"/>
      <x:c r="E1478" s="39"/>
      <x:c r="F1478" s="39"/>
      <x:c r="G1478" s="39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</x:row>
    <x:row r="1479">
      <x:c r="A1479" s="39"/>
      <x:c r="B1479" s="39"/>
      <x:c r="C1479" s="39"/>
      <x:c r="D1479" s="39"/>
      <x:c r="E1479" s="39"/>
      <x:c r="F1479" s="39"/>
      <x:c r="G1479" s="39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</x:row>
    <x:row r="1480">
      <x:c r="A1480" s="39"/>
      <x:c r="B1480" s="39"/>
      <x:c r="C1480" s="39"/>
      <x:c r="D1480" s="39"/>
      <x:c r="E1480" s="39"/>
      <x:c r="F1480" s="39"/>
      <x:c r="G1480" s="39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</x:row>
    <x:row r="1481">
      <x:c r="A1481" s="39"/>
      <x:c r="B1481" s="39"/>
      <x:c r="C1481" s="39"/>
      <x:c r="D1481" s="39"/>
      <x:c r="E1481" s="39"/>
      <x:c r="F1481" s="39"/>
      <x:c r="G1481" s="39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</x:row>
    <x:row r="1482">
      <x:c r="A1482" s="39"/>
      <x:c r="B1482" s="39"/>
      <x:c r="C1482" s="39"/>
      <x:c r="D1482" s="39"/>
      <x:c r="E1482" s="39"/>
      <x:c r="F1482" s="39"/>
      <x:c r="G1482" s="39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</x:row>
    <x:row r="1483">
      <x:c r="A1483" s="39"/>
      <x:c r="B1483" s="39"/>
      <x:c r="C1483" s="39"/>
      <x:c r="D1483" s="39"/>
      <x:c r="E1483" s="39"/>
      <x:c r="F1483" s="39"/>
      <x:c r="G1483" s="39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</x:row>
    <x:row r="1484">
      <x:c r="A1484" s="39"/>
      <x:c r="B1484" s="39"/>
      <x:c r="C1484" s="39"/>
      <x:c r="D1484" s="39"/>
      <x:c r="E1484" s="39"/>
      <x:c r="F1484" s="39"/>
      <x:c r="G1484" s="39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</x:row>
    <x:row r="1485">
      <x:c r="A1485" s="39"/>
      <x:c r="B1485" s="39"/>
      <x:c r="C1485" s="39"/>
      <x:c r="D1485" s="39"/>
      <x:c r="E1485" s="39"/>
      <x:c r="F1485" s="39"/>
      <x:c r="G1485" s="39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</x:row>
    <x:row r="1486">
      <x:c r="A1486" s="39"/>
      <x:c r="B1486" s="39"/>
      <x:c r="C1486" s="39"/>
      <x:c r="D1486" s="39"/>
      <x:c r="E1486" s="39"/>
      <x:c r="F1486" s="39"/>
      <x:c r="G1486" s="39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</x:row>
    <x:row r="1487">
      <x:c r="A1487" s="39"/>
      <x:c r="B1487" s="39"/>
      <x:c r="C1487" s="39"/>
      <x:c r="D1487" s="39"/>
      <x:c r="E1487" s="39"/>
      <x:c r="F1487" s="39"/>
      <x:c r="G1487" s="39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</x:row>
    <x:row r="1488">
      <x:c r="A1488" s="39"/>
      <x:c r="B1488" s="39"/>
      <x:c r="C1488" s="39"/>
      <x:c r="D1488" s="39"/>
      <x:c r="E1488" s="39"/>
      <x:c r="F1488" s="39"/>
      <x:c r="G1488" s="39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</x:row>
    <x:row r="1489">
      <x:c r="A1489" s="39"/>
      <x:c r="B1489" s="39"/>
      <x:c r="C1489" s="39"/>
      <x:c r="D1489" s="39"/>
      <x:c r="E1489" s="39"/>
      <x:c r="F1489" s="39"/>
      <x:c r="G1489" s="39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</x:row>
    <x:row r="1490">
      <x:c r="A1490" s="39"/>
      <x:c r="B1490" s="39"/>
      <x:c r="C1490" s="39"/>
      <x:c r="D1490" s="39"/>
      <x:c r="E1490" s="39"/>
      <x:c r="F1490" s="39"/>
      <x:c r="G1490" s="39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</x:row>
    <x:row r="1491">
      <x:c r="A1491" s="39"/>
      <x:c r="B1491" s="39"/>
      <x:c r="C1491" s="39"/>
      <x:c r="D1491" s="39"/>
      <x:c r="E1491" s="39"/>
      <x:c r="F1491" s="39"/>
      <x:c r="G1491" s="39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</x:row>
    <x:row r="1492">
      <x:c r="A1492" s="39"/>
      <x:c r="B1492" s="39"/>
      <x:c r="C1492" s="39"/>
      <x:c r="D1492" s="39"/>
      <x:c r="E1492" s="39"/>
      <x:c r="F1492" s="39"/>
      <x:c r="G1492" s="39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</x:row>
    <x:row r="1493">
      <x:c r="A1493" s="39"/>
      <x:c r="B1493" s="39"/>
      <x:c r="C1493" s="39"/>
      <x:c r="D1493" s="39"/>
      <x:c r="E1493" s="39"/>
      <x:c r="F1493" s="39"/>
      <x:c r="G1493" s="39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</x:row>
    <x:row r="1494">
      <x:c r="A1494" s="39"/>
      <x:c r="B1494" s="39"/>
      <x:c r="C1494" s="39"/>
      <x:c r="D1494" s="39"/>
      <x:c r="E1494" s="39"/>
      <x:c r="F1494" s="39"/>
      <x:c r="G1494" s="39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</x:row>
    <x:row r="1495">
      <x:c r="A1495" s="39"/>
      <x:c r="B1495" s="39"/>
      <x:c r="C1495" s="39"/>
      <x:c r="D1495" s="39"/>
      <x:c r="E1495" s="39"/>
      <x:c r="F1495" s="39"/>
      <x:c r="G1495" s="39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</x:row>
    <x:row r="1496">
      <x:c r="A1496" s="39"/>
      <x:c r="B1496" s="39"/>
      <x:c r="C1496" s="39"/>
      <x:c r="D1496" s="39"/>
      <x:c r="E1496" s="39"/>
      <x:c r="F1496" s="39"/>
      <x:c r="G1496" s="39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</x:row>
    <x:row r="1497">
      <x:c r="A1497" s="39"/>
      <x:c r="B1497" s="39"/>
      <x:c r="C1497" s="39"/>
      <x:c r="D1497" s="39"/>
      <x:c r="E1497" s="39"/>
      <x:c r="F1497" s="39"/>
      <x:c r="G1497" s="39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</x:row>
    <x:row r="1498">
      <x:c r="A1498" s="39"/>
      <x:c r="B1498" s="39"/>
      <x:c r="C1498" s="39"/>
      <x:c r="D1498" s="39"/>
      <x:c r="E1498" s="39"/>
      <x:c r="F1498" s="39"/>
      <x:c r="G1498" s="39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</x:row>
    <x:row r="1499">
      <x:c r="A1499" s="39"/>
      <x:c r="B1499" s="39"/>
      <x:c r="C1499" s="39"/>
      <x:c r="D1499" s="39"/>
      <x:c r="E1499" s="39"/>
      <x:c r="F1499" s="39"/>
      <x:c r="G1499" s="39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</x:row>
    <x:row r="1500">
      <x:c r="A1500" s="39"/>
      <x:c r="B1500" s="39"/>
      <x:c r="C1500" s="39"/>
      <x:c r="D1500" s="39"/>
      <x:c r="E1500" s="39"/>
      <x:c r="F1500" s="39"/>
      <x:c r="G1500" s="39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</x:row>
    <x:row r="1501">
      <x:c r="A1501" s="39"/>
      <x:c r="B1501" s="39"/>
      <x:c r="C1501" s="39"/>
      <x:c r="D1501" s="39"/>
      <x:c r="E1501" s="39"/>
      <x:c r="F1501" s="39"/>
      <x:c r="G1501" s="39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</x:row>
    <x:row r="1502">
      <x:c r="A1502" s="39"/>
      <x:c r="B1502" s="39"/>
      <x:c r="C1502" s="39"/>
      <x:c r="D1502" s="39"/>
      <x:c r="E1502" s="39"/>
      <x:c r="F1502" s="39"/>
      <x:c r="G1502" s="39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</x:row>
    <x:row r="1503">
      <x:c r="A1503" s="39"/>
      <x:c r="B1503" s="39"/>
      <x:c r="C1503" s="39"/>
      <x:c r="D1503" s="39"/>
      <x:c r="E1503" s="39"/>
      <x:c r="F1503" s="39"/>
      <x:c r="G1503" s="39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</x:row>
    <x:row r="1504">
      <x:c r="A1504" s="39"/>
      <x:c r="B1504" s="39"/>
      <x:c r="C1504" s="39"/>
      <x:c r="D1504" s="39"/>
      <x:c r="E1504" s="39"/>
      <x:c r="F1504" s="39"/>
      <x:c r="G1504" s="39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</x:row>
    <x:row r="1505">
      <x:c r="A1505" s="39"/>
      <x:c r="B1505" s="39"/>
      <x:c r="C1505" s="39"/>
      <x:c r="D1505" s="39"/>
      <x:c r="E1505" s="39"/>
      <x:c r="F1505" s="39"/>
      <x:c r="G1505" s="39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</x:row>
    <x:row r="1506">
      <x:c r="A1506" s="39"/>
      <x:c r="B1506" s="39"/>
      <x:c r="C1506" s="39"/>
      <x:c r="D1506" s="39"/>
      <x:c r="E1506" s="39"/>
      <x:c r="F1506" s="39"/>
      <x:c r="G1506" s="39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</x:row>
    <x:row r="1507">
      <x:c r="A1507" s="39"/>
      <x:c r="B1507" s="39"/>
      <x:c r="C1507" s="39"/>
      <x:c r="D1507" s="39"/>
      <x:c r="E1507" s="39"/>
      <x:c r="F1507" s="39"/>
      <x:c r="G1507" s="39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</x:row>
    <x:row r="1508">
      <x:c r="A1508" s="39"/>
      <x:c r="B1508" s="39"/>
      <x:c r="C1508" s="39"/>
      <x:c r="D1508" s="39"/>
      <x:c r="E1508" s="39"/>
      <x:c r="F1508" s="39"/>
      <x:c r="G1508" s="39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</x:row>
    <x:row r="1509">
      <x:c r="A1509" s="39"/>
      <x:c r="B1509" s="39"/>
      <x:c r="C1509" s="39"/>
      <x:c r="D1509" s="39"/>
      <x:c r="E1509" s="39"/>
      <x:c r="F1509" s="39"/>
      <x:c r="G1509" s="39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</x:row>
    <x:row r="1510">
      <x:c r="A1510" s="39"/>
      <x:c r="B1510" s="39"/>
      <x:c r="C1510" s="39"/>
      <x:c r="D1510" s="39"/>
      <x:c r="E1510" s="39"/>
      <x:c r="F1510" s="39"/>
      <x:c r="G1510" s="39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</x:row>
    <x:row r="1511">
      <x:c r="A1511" s="39"/>
      <x:c r="B1511" s="39"/>
      <x:c r="C1511" s="39"/>
      <x:c r="D1511" s="39"/>
      <x:c r="E1511" s="39"/>
      <x:c r="F1511" s="39"/>
      <x:c r="G1511" s="39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</x:row>
    <x:row r="1512">
      <x:c r="A1512" s="39"/>
      <x:c r="B1512" s="39"/>
      <x:c r="C1512" s="39"/>
      <x:c r="D1512" s="39"/>
      <x:c r="E1512" s="39"/>
      <x:c r="F1512" s="39"/>
      <x:c r="G1512" s="39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</x:row>
    <x:row r="1513">
      <x:c r="A1513" s="39"/>
      <x:c r="B1513" s="39"/>
      <x:c r="C1513" s="39"/>
      <x:c r="D1513" s="39"/>
      <x:c r="E1513" s="39"/>
      <x:c r="F1513" s="39"/>
      <x:c r="G1513" s="39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</x:row>
    <x:row r="1514">
      <x:c r="A1514" s="39"/>
      <x:c r="B1514" s="39"/>
      <x:c r="C1514" s="39"/>
      <x:c r="D1514" s="39"/>
      <x:c r="E1514" s="39"/>
      <x:c r="F1514" s="39"/>
      <x:c r="G1514" s="39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</x:row>
    <x:row r="1515">
      <x:c r="A1515" s="39"/>
      <x:c r="B1515" s="39"/>
      <x:c r="C1515" s="39"/>
      <x:c r="D1515" s="39"/>
      <x:c r="E1515" s="39"/>
      <x:c r="F1515" s="39"/>
      <x:c r="G1515" s="39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</x:row>
    <x:row r="1516">
      <x:c r="A1516" s="39"/>
      <x:c r="B1516" s="39"/>
      <x:c r="C1516" s="39"/>
      <x:c r="D1516" s="39"/>
      <x:c r="E1516" s="39"/>
      <x:c r="F1516" s="39"/>
      <x:c r="G1516" s="39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</x:row>
    <x:row r="1517">
      <x:c r="A1517" s="39"/>
      <x:c r="B1517" s="39"/>
      <x:c r="C1517" s="39"/>
      <x:c r="D1517" s="39"/>
      <x:c r="E1517" s="39"/>
      <x:c r="F1517" s="39"/>
      <x:c r="G1517" s="39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</x:row>
    <x:row r="1518">
      <x:c r="A1518" s="39"/>
      <x:c r="B1518" s="39"/>
      <x:c r="C1518" s="39"/>
      <x:c r="D1518" s="39"/>
      <x:c r="E1518" s="39"/>
      <x:c r="F1518" s="39"/>
      <x:c r="G1518" s="39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</x:row>
    <x:row r="1519">
      <x:c r="A1519" s="39"/>
      <x:c r="B1519" s="39"/>
      <x:c r="C1519" s="39"/>
      <x:c r="D1519" s="39"/>
      <x:c r="E1519" s="39"/>
      <x:c r="F1519" s="39"/>
      <x:c r="G1519" s="39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</x:row>
    <x:row r="1520">
      <x:c r="A1520" s="39"/>
      <x:c r="B1520" s="39"/>
      <x:c r="C1520" s="39"/>
      <x:c r="D1520" s="39"/>
      <x:c r="E1520" s="39"/>
      <x:c r="F1520" s="39"/>
      <x:c r="G1520" s="39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</x:row>
    <x:row r="1521">
      <x:c r="A1521" s="39"/>
      <x:c r="B1521" s="39"/>
      <x:c r="C1521" s="39"/>
      <x:c r="D1521" s="39"/>
      <x:c r="E1521" s="39"/>
      <x:c r="F1521" s="39"/>
      <x:c r="G1521" s="39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</x:row>
    <x:row r="1522">
      <x:c r="A1522" s="39"/>
      <x:c r="B1522" s="39"/>
      <x:c r="C1522" s="39"/>
      <x:c r="D1522" s="39"/>
      <x:c r="E1522" s="39"/>
      <x:c r="F1522" s="39"/>
      <x:c r="G1522" s="39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</x:row>
    <x:row r="1523">
      <x:c r="A1523" s="39"/>
      <x:c r="B1523" s="39"/>
      <x:c r="C1523" s="39"/>
      <x:c r="D1523" s="39"/>
      <x:c r="E1523" s="39"/>
      <x:c r="F1523" s="39"/>
      <x:c r="G1523" s="39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</x:row>
    <x:row r="1524">
      <x:c r="A1524" s="39"/>
      <x:c r="B1524" s="39"/>
      <x:c r="C1524" s="39"/>
      <x:c r="D1524" s="39"/>
      <x:c r="E1524" s="39"/>
      <x:c r="F1524" s="39"/>
      <x:c r="G1524" s="39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</x:row>
    <x:row r="1525">
      <x:c r="A1525" s="39"/>
      <x:c r="B1525" s="39"/>
      <x:c r="C1525" s="39"/>
      <x:c r="D1525" s="39"/>
      <x:c r="E1525" s="39"/>
      <x:c r="F1525" s="39"/>
      <x:c r="G1525" s="39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</x:row>
    <x:row r="1526">
      <x:c r="A1526" s="39"/>
      <x:c r="B1526" s="39"/>
      <x:c r="C1526" s="39"/>
      <x:c r="D1526" s="39"/>
      <x:c r="E1526" s="39"/>
      <x:c r="F1526" s="39"/>
      <x:c r="G1526" s="39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</x:row>
    <x:row r="1527">
      <x:c r="A1527" s="39"/>
      <x:c r="B1527" s="39"/>
      <x:c r="C1527" s="39"/>
      <x:c r="D1527" s="39"/>
      <x:c r="E1527" s="39"/>
      <x:c r="F1527" s="39"/>
      <x:c r="G1527" s="39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</x:row>
    <x:row r="1528">
      <x:c r="A1528" s="39"/>
      <x:c r="B1528" s="39"/>
      <x:c r="C1528" s="39"/>
      <x:c r="D1528" s="39"/>
      <x:c r="E1528" s="39"/>
      <x:c r="F1528" s="39"/>
      <x:c r="G1528" s="39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</x:row>
    <x:row r="1529">
      <x:c r="A1529" s="39"/>
      <x:c r="B1529" s="39"/>
      <x:c r="C1529" s="39"/>
      <x:c r="D1529" s="39"/>
      <x:c r="E1529" s="39"/>
      <x:c r="F1529" s="39"/>
      <x:c r="G1529" s="39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</x:row>
    <x:row r="1530">
      <x:c r="A1530" s="39"/>
      <x:c r="B1530" s="39"/>
      <x:c r="C1530" s="39"/>
      <x:c r="D1530" s="39"/>
      <x:c r="E1530" s="39"/>
      <x:c r="F1530" s="39"/>
      <x:c r="G1530" s="39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</x:row>
    <x:row r="1531">
      <x:c r="A1531" s="39"/>
      <x:c r="B1531" s="39"/>
      <x:c r="C1531" s="39"/>
      <x:c r="D1531" s="39"/>
      <x:c r="E1531" s="39"/>
      <x:c r="F1531" s="39"/>
      <x:c r="G1531" s="39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</x:row>
    <x:row r="1532">
      <x:c r="A1532" s="39"/>
      <x:c r="B1532" s="39"/>
      <x:c r="C1532" s="39"/>
      <x:c r="D1532" s="39"/>
      <x:c r="E1532" s="39"/>
      <x:c r="F1532" s="39"/>
      <x:c r="G1532" s="39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</x:row>
    <x:row r="1533">
      <x:c r="A1533" s="39"/>
      <x:c r="B1533" s="39"/>
      <x:c r="C1533" s="39"/>
      <x:c r="D1533" s="39"/>
      <x:c r="E1533" s="39"/>
      <x:c r="F1533" s="39"/>
      <x:c r="G1533" s="39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</x:row>
    <x:row r="1534">
      <x:c r="A1534" s="39"/>
      <x:c r="B1534" s="39"/>
      <x:c r="C1534" s="39"/>
      <x:c r="D1534" s="39"/>
      <x:c r="E1534" s="39"/>
      <x:c r="F1534" s="39"/>
      <x:c r="G1534" s="39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</x:row>
    <x:row r="1535">
      <x:c r="A1535" s="39"/>
      <x:c r="B1535" s="39"/>
      <x:c r="C1535" s="39"/>
      <x:c r="D1535" s="39"/>
      <x:c r="E1535" s="39"/>
      <x:c r="F1535" s="39"/>
      <x:c r="G1535" s="39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</x:row>
    <x:row r="1536">
      <x:c r="A1536" s="39"/>
      <x:c r="B1536" s="39"/>
      <x:c r="C1536" s="39"/>
      <x:c r="D1536" s="39"/>
      <x:c r="E1536" s="39"/>
      <x:c r="F1536" s="39"/>
      <x:c r="G1536" s="39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</x:row>
    <x:row r="1537">
      <x:c r="A1537" s="39"/>
      <x:c r="B1537" s="39"/>
      <x:c r="C1537" s="39"/>
      <x:c r="D1537" s="39"/>
      <x:c r="E1537" s="39"/>
      <x:c r="F1537" s="39"/>
      <x:c r="G1537" s="39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</x:row>
    <x:row r="1538">
      <x:c r="A1538" s="39"/>
      <x:c r="B1538" s="39"/>
      <x:c r="C1538" s="39"/>
      <x:c r="D1538" s="39"/>
      <x:c r="E1538" s="39"/>
      <x:c r="F1538" s="39"/>
      <x:c r="G1538" s="39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</x:row>
    <x:row r="1539">
      <x:c r="A1539" s="39"/>
      <x:c r="B1539" s="39"/>
      <x:c r="C1539" s="39"/>
      <x:c r="D1539" s="39"/>
      <x:c r="E1539" s="39"/>
      <x:c r="F1539" s="39"/>
      <x:c r="G1539" s="39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</x:row>
    <x:row r="1540">
      <x:c r="A1540" s="39"/>
      <x:c r="B1540" s="39"/>
      <x:c r="C1540" s="39"/>
      <x:c r="D1540" s="39"/>
      <x:c r="E1540" s="39"/>
      <x:c r="F1540" s="39"/>
      <x:c r="G1540" s="39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</x:row>
    <x:row r="1541">
      <x:c r="A1541" s="39"/>
      <x:c r="B1541" s="39"/>
      <x:c r="C1541" s="39"/>
      <x:c r="D1541" s="39"/>
      <x:c r="E1541" s="39"/>
      <x:c r="F1541" s="39"/>
      <x:c r="G1541" s="39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</x:row>
    <x:row r="1542">
      <x:c r="A1542" s="39"/>
      <x:c r="B1542" s="39"/>
      <x:c r="C1542" s="39"/>
      <x:c r="D1542" s="39"/>
      <x:c r="E1542" s="39"/>
      <x:c r="F1542" s="39"/>
      <x:c r="G1542" s="39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</x:row>
    <x:row r="1543">
      <x:c r="A1543" s="39"/>
      <x:c r="B1543" s="39"/>
      <x:c r="C1543" s="39"/>
      <x:c r="D1543" s="39"/>
      <x:c r="E1543" s="39"/>
      <x:c r="F1543" s="39"/>
      <x:c r="G1543" s="39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</x:row>
    <x:row r="1544">
      <x:c r="A1544" s="39"/>
      <x:c r="B1544" s="39"/>
      <x:c r="C1544" s="39"/>
      <x:c r="D1544" s="39"/>
      <x:c r="E1544" s="39"/>
      <x:c r="F1544" s="39"/>
      <x:c r="G1544" s="39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</x:row>
    <x:row r="1545">
      <x:c r="A1545" s="39"/>
      <x:c r="B1545" s="39"/>
      <x:c r="C1545" s="39"/>
      <x:c r="D1545" s="39"/>
      <x:c r="E1545" s="39"/>
      <x:c r="F1545" s="39"/>
      <x:c r="G1545" s="39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</x:row>
    <x:row r="1546">
      <x:c r="A1546" s="39"/>
      <x:c r="B1546" s="39"/>
      <x:c r="C1546" s="39"/>
      <x:c r="D1546" s="39"/>
      <x:c r="E1546" s="39"/>
      <x:c r="F1546" s="39"/>
      <x:c r="G1546" s="39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</x:row>
    <x:row r="1547">
      <x:c r="A1547" s="39"/>
      <x:c r="B1547" s="39"/>
      <x:c r="C1547" s="39"/>
      <x:c r="D1547" s="39"/>
      <x:c r="E1547" s="39"/>
      <x:c r="F1547" s="39"/>
      <x:c r="G1547" s="39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</x:row>
    <x:row r="1548">
      <x:c r="A1548" s="39"/>
      <x:c r="B1548" s="39"/>
      <x:c r="C1548" s="39"/>
      <x:c r="D1548" s="39"/>
      <x:c r="E1548" s="39"/>
      <x:c r="F1548" s="39"/>
      <x:c r="G1548" s="39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</x:row>
    <x:row r="1549">
      <x:c r="A1549" s="39"/>
      <x:c r="B1549" s="39"/>
      <x:c r="C1549" s="39"/>
      <x:c r="D1549" s="39"/>
      <x:c r="E1549" s="39"/>
      <x:c r="F1549" s="39"/>
      <x:c r="G1549" s="39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</x:row>
    <x:row r="1550">
      <x:c r="A1550" s="39"/>
      <x:c r="B1550" s="39"/>
      <x:c r="C1550" s="39"/>
      <x:c r="D1550" s="39"/>
      <x:c r="E1550" s="39"/>
      <x:c r="F1550" s="39"/>
      <x:c r="G1550" s="39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</x:row>
    <x:row r="1551">
      <x:c r="A1551" s="39"/>
      <x:c r="B1551" s="39"/>
      <x:c r="C1551" s="39"/>
      <x:c r="D1551" s="39"/>
      <x:c r="E1551" s="39"/>
      <x:c r="F1551" s="39"/>
      <x:c r="G1551" s="39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</x:row>
    <x:row r="1552">
      <x:c r="A1552" s="39"/>
      <x:c r="B1552" s="39"/>
      <x:c r="C1552" s="39"/>
      <x:c r="D1552" s="39"/>
      <x:c r="E1552" s="39"/>
      <x:c r="F1552" s="39"/>
      <x:c r="G1552" s="39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</x:row>
    <x:row r="1553">
      <x:c r="A1553" s="39"/>
      <x:c r="B1553" s="39"/>
      <x:c r="C1553" s="39"/>
      <x:c r="D1553" s="39"/>
      <x:c r="E1553" s="39"/>
      <x:c r="F1553" s="39"/>
      <x:c r="G1553" s="39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</x:row>
    <x:row r="1554">
      <x:c r="A1554" s="39"/>
      <x:c r="B1554" s="39"/>
      <x:c r="C1554" s="39"/>
      <x:c r="D1554" s="39"/>
      <x:c r="E1554" s="39"/>
      <x:c r="F1554" s="39"/>
      <x:c r="G1554" s="39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</x:row>
    <x:row r="1555">
      <x:c r="A1555" s="39"/>
      <x:c r="B1555" s="39"/>
      <x:c r="C1555" s="39"/>
      <x:c r="D1555" s="39"/>
      <x:c r="E1555" s="39"/>
      <x:c r="F1555" s="39"/>
      <x:c r="G1555" s="39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</x:row>
    <x:row r="1556">
      <x:c r="A1556" s="39"/>
      <x:c r="B1556" s="39"/>
      <x:c r="C1556" s="39"/>
      <x:c r="D1556" s="39"/>
      <x:c r="E1556" s="39"/>
      <x:c r="F1556" s="39"/>
      <x:c r="G1556" s="39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</x:row>
    <x:row r="1557">
      <x:c r="A1557" s="39"/>
      <x:c r="B1557" s="39"/>
      <x:c r="C1557" s="39"/>
      <x:c r="D1557" s="39"/>
      <x:c r="E1557" s="39"/>
      <x:c r="F1557" s="39"/>
      <x:c r="G1557" s="39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</x:row>
    <x:row r="1558">
      <x:c r="A1558" s="39"/>
      <x:c r="B1558" s="39"/>
      <x:c r="C1558" s="39"/>
      <x:c r="D1558" s="39"/>
      <x:c r="E1558" s="39"/>
      <x:c r="F1558" s="39"/>
      <x:c r="G1558" s="39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</x:row>
    <x:row r="1559">
      <x:c r="A1559" s="39"/>
      <x:c r="B1559" s="39"/>
      <x:c r="C1559" s="39"/>
      <x:c r="D1559" s="39"/>
      <x:c r="E1559" s="39"/>
      <x:c r="F1559" s="39"/>
      <x:c r="G1559" s="39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</x:row>
    <x:row r="1560">
      <x:c r="A1560" s="39"/>
      <x:c r="B1560" s="39"/>
      <x:c r="C1560" s="39"/>
      <x:c r="D1560" s="39"/>
      <x:c r="E1560" s="39"/>
      <x:c r="F1560" s="39"/>
      <x:c r="G1560" s="39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</x:row>
    <x:row r="1561">
      <x:c r="A1561" s="39"/>
      <x:c r="B1561" s="39"/>
      <x:c r="C1561" s="39"/>
      <x:c r="D1561" s="39"/>
      <x:c r="E1561" s="39"/>
      <x:c r="F1561" s="39"/>
      <x:c r="G1561" s="39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</x:row>
    <x:row r="1562">
      <x:c r="A1562" s="39"/>
      <x:c r="B1562" s="39"/>
      <x:c r="C1562" s="39"/>
      <x:c r="D1562" s="39"/>
      <x:c r="E1562" s="39"/>
      <x:c r="F1562" s="39"/>
      <x:c r="G1562" s="39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</x:row>
    <x:row r="1563">
      <x:c r="A1563" s="39"/>
      <x:c r="B1563" s="39"/>
      <x:c r="C1563" s="39"/>
      <x:c r="D1563" s="39"/>
      <x:c r="E1563" s="39"/>
      <x:c r="F1563" s="39"/>
      <x:c r="G1563" s="39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</x:row>
    <x:row r="1564">
      <x:c r="A1564" s="39"/>
      <x:c r="B1564" s="39"/>
      <x:c r="C1564" s="39"/>
      <x:c r="D1564" s="39"/>
      <x:c r="E1564" s="39"/>
      <x:c r="F1564" s="39"/>
      <x:c r="G1564" s="39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</x:row>
    <x:row r="1565">
      <x:c r="A1565" s="39"/>
      <x:c r="B1565" s="39"/>
      <x:c r="C1565" s="39"/>
      <x:c r="D1565" s="39"/>
      <x:c r="E1565" s="39"/>
      <x:c r="F1565" s="39"/>
      <x:c r="G1565" s="39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</x:row>
    <x:row r="1566">
      <x:c r="A1566" s="39"/>
      <x:c r="B1566" s="39"/>
      <x:c r="C1566" s="39"/>
      <x:c r="D1566" s="39"/>
      <x:c r="E1566" s="39"/>
      <x:c r="F1566" s="39"/>
      <x:c r="G1566" s="39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</x:row>
    <x:row r="1567">
      <x:c r="A1567" s="39"/>
      <x:c r="B1567" s="39"/>
      <x:c r="C1567" s="39"/>
      <x:c r="D1567" s="39"/>
      <x:c r="E1567" s="39"/>
      <x:c r="F1567" s="39"/>
      <x:c r="G1567" s="39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</x:row>
    <x:row r="1568">
      <x:c r="A1568" s="39"/>
      <x:c r="B1568" s="39"/>
      <x:c r="C1568" s="39"/>
      <x:c r="D1568" s="39"/>
      <x:c r="E1568" s="39"/>
      <x:c r="F1568" s="39"/>
      <x:c r="G1568" s="39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</x:row>
    <x:row r="1569">
      <x:c r="A1569" s="39"/>
      <x:c r="B1569" s="39"/>
      <x:c r="C1569" s="39"/>
      <x:c r="D1569" s="39"/>
      <x:c r="E1569" s="39"/>
      <x:c r="F1569" s="39"/>
      <x:c r="G1569" s="39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</x:row>
    <x:row r="1570">
      <x:c r="A1570" s="39"/>
      <x:c r="B1570" s="39"/>
      <x:c r="C1570" s="39"/>
      <x:c r="D1570" s="39"/>
      <x:c r="E1570" s="39"/>
      <x:c r="F1570" s="39"/>
      <x:c r="G1570" s="39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</x:row>
    <x:row r="1571">
      <x:c r="A1571" s="39"/>
      <x:c r="B1571" s="39"/>
      <x:c r="C1571" s="39"/>
      <x:c r="D1571" s="39"/>
      <x:c r="E1571" s="39"/>
      <x:c r="F1571" s="39"/>
      <x:c r="G1571" s="39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</x:row>
    <x:row r="1572">
      <x:c r="A1572" s="39"/>
      <x:c r="B1572" s="39"/>
      <x:c r="C1572" s="39"/>
      <x:c r="D1572" s="39"/>
      <x:c r="E1572" s="39"/>
      <x:c r="F1572" s="39"/>
      <x:c r="G1572" s="39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</x:row>
    <x:row r="1573">
      <x:c r="A1573" s="39"/>
      <x:c r="B1573" s="39"/>
      <x:c r="C1573" s="39"/>
      <x:c r="D1573" s="39"/>
      <x:c r="E1573" s="39"/>
      <x:c r="F1573" s="39"/>
      <x:c r="G1573" s="39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</x:row>
    <x:row r="1574">
      <x:c r="A1574" s="39"/>
      <x:c r="B1574" s="39"/>
      <x:c r="C1574" s="39"/>
      <x:c r="D1574" s="39"/>
      <x:c r="E1574" s="39"/>
      <x:c r="F1574" s="39"/>
      <x:c r="G1574" s="39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</x:row>
    <x:row r="1575">
      <x:c r="A1575" s="39"/>
      <x:c r="B1575" s="39"/>
      <x:c r="C1575" s="39"/>
      <x:c r="D1575" s="39"/>
      <x:c r="E1575" s="39"/>
      <x:c r="F1575" s="39"/>
      <x:c r="G1575" s="39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</x:row>
    <x:row r="1576">
      <x:c r="A1576" s="39"/>
      <x:c r="B1576" s="39"/>
      <x:c r="C1576" s="39"/>
      <x:c r="D1576" s="39"/>
      <x:c r="E1576" s="39"/>
      <x:c r="F1576" s="39"/>
      <x:c r="G1576" s="39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</x:row>
    <x:row r="1577">
      <x:c r="A1577" s="39"/>
      <x:c r="B1577" s="39"/>
      <x:c r="C1577" s="39"/>
      <x:c r="D1577" s="39"/>
      <x:c r="E1577" s="39"/>
      <x:c r="F1577" s="39"/>
      <x:c r="G1577" s="39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</x:row>
    <x:row r="1578">
      <x:c r="A1578" s="39"/>
      <x:c r="B1578" s="39"/>
      <x:c r="C1578" s="39"/>
      <x:c r="D1578" s="39"/>
      <x:c r="E1578" s="39"/>
      <x:c r="F1578" s="39"/>
      <x:c r="G1578" s="39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</x:row>
    <x:row r="1579">
      <x:c r="A1579" s="39"/>
      <x:c r="B1579" s="39"/>
      <x:c r="C1579" s="39"/>
      <x:c r="D1579" s="39"/>
      <x:c r="E1579" s="39"/>
      <x:c r="F1579" s="39"/>
      <x:c r="G1579" s="39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</x:row>
    <x:row r="1580">
      <x:c r="A1580" s="39"/>
      <x:c r="B1580" s="39"/>
      <x:c r="C1580" s="39"/>
      <x:c r="D1580" s="39"/>
      <x:c r="E1580" s="39"/>
      <x:c r="F1580" s="39"/>
      <x:c r="G1580" s="39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</x:row>
    <x:row r="1581">
      <x:c r="A1581" s="39"/>
      <x:c r="B1581" s="39"/>
      <x:c r="C1581" s="39"/>
      <x:c r="D1581" s="39"/>
      <x:c r="E1581" s="39"/>
      <x:c r="F1581" s="39"/>
      <x:c r="G1581" s="39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</x:row>
    <x:row r="1582">
      <x:c r="A1582" s="39"/>
      <x:c r="B1582" s="39"/>
      <x:c r="C1582" s="39"/>
      <x:c r="D1582" s="39"/>
      <x:c r="E1582" s="39"/>
      <x:c r="F1582" s="39"/>
      <x:c r="G1582" s="39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</x:row>
    <x:row r="1583">
      <x:c r="A1583" s="39"/>
      <x:c r="B1583" s="39"/>
      <x:c r="C1583" s="39"/>
      <x:c r="D1583" s="39"/>
      <x:c r="E1583" s="39"/>
      <x:c r="F1583" s="39"/>
      <x:c r="G1583" s="39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</x:row>
    <x:row r="1584">
      <x:c r="A1584" s="39"/>
      <x:c r="B1584" s="39"/>
      <x:c r="C1584" s="39"/>
      <x:c r="D1584" s="39"/>
      <x:c r="E1584" s="39"/>
      <x:c r="F1584" s="39"/>
      <x:c r="G1584" s="39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</x:row>
    <x:row r="1585">
      <x:c r="A1585" s="39"/>
      <x:c r="B1585" s="39"/>
      <x:c r="C1585" s="39"/>
      <x:c r="D1585" s="39"/>
      <x:c r="E1585" s="39"/>
      <x:c r="F1585" s="39"/>
      <x:c r="G1585" s="39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</x:row>
    <x:row r="1586">
      <x:c r="A1586" s="39"/>
      <x:c r="B1586" s="39"/>
      <x:c r="C1586" s="39"/>
      <x:c r="D1586" s="39"/>
      <x:c r="E1586" s="39"/>
      <x:c r="F1586" s="39"/>
      <x:c r="G1586" s="39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</x:row>
    <x:row r="1587">
      <x:c r="A1587" s="39"/>
      <x:c r="B1587" s="39"/>
      <x:c r="C1587" s="39"/>
      <x:c r="D1587" s="39"/>
      <x:c r="E1587" s="39"/>
      <x:c r="F1587" s="39"/>
      <x:c r="G1587" s="39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</x:row>
    <x:row r="1588">
      <x:c r="A1588" s="39"/>
      <x:c r="B1588" s="39"/>
      <x:c r="C1588" s="39"/>
      <x:c r="D1588" s="39"/>
      <x:c r="E1588" s="39"/>
      <x:c r="F1588" s="39"/>
      <x:c r="G1588" s="39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</x:row>
    <x:row r="1589">
      <x:c r="A1589" s="39"/>
      <x:c r="B1589" s="39"/>
      <x:c r="C1589" s="39"/>
      <x:c r="D1589" s="39"/>
      <x:c r="E1589" s="39"/>
      <x:c r="F1589" s="39"/>
      <x:c r="G1589" s="39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</x:row>
    <x:row r="1590">
      <x:c r="A1590" s="39"/>
      <x:c r="B1590" s="39"/>
      <x:c r="C1590" s="39"/>
      <x:c r="D1590" s="39"/>
      <x:c r="E1590" s="39"/>
      <x:c r="F1590" s="39"/>
      <x:c r="G1590" s="39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</x:row>
    <x:row r="1591">
      <x:c r="A1591" s="39"/>
      <x:c r="B1591" s="39"/>
      <x:c r="C1591" s="39"/>
      <x:c r="D1591" s="39"/>
      <x:c r="E1591" s="39"/>
      <x:c r="F1591" s="39"/>
      <x:c r="G1591" s="39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</x:row>
    <x:row r="1592">
      <x:c r="A1592" s="39"/>
      <x:c r="B1592" s="39"/>
      <x:c r="C1592" s="39"/>
      <x:c r="D1592" s="39"/>
      <x:c r="E1592" s="39"/>
      <x:c r="F1592" s="39"/>
      <x:c r="G1592" s="39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</x:row>
    <x:row r="1593">
      <x:c r="A1593" s="39"/>
      <x:c r="B1593" s="39"/>
      <x:c r="C1593" s="39"/>
      <x:c r="D1593" s="39"/>
      <x:c r="E1593" s="39"/>
      <x:c r="F1593" s="39"/>
      <x:c r="G1593" s="39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</x:row>
    <x:row r="1594">
      <x:c r="A1594" s="39"/>
      <x:c r="B1594" s="39"/>
      <x:c r="C1594" s="39"/>
      <x:c r="D1594" s="39"/>
      <x:c r="E1594" s="39"/>
      <x:c r="F1594" s="39"/>
      <x:c r="G1594" s="39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</x:row>
    <x:row r="1595">
      <x:c r="A1595" s="39"/>
      <x:c r="B1595" s="39"/>
      <x:c r="C1595" s="39"/>
      <x:c r="D1595" s="39"/>
      <x:c r="E1595" s="39"/>
      <x:c r="F1595" s="39"/>
      <x:c r="G1595" s="39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</x:row>
    <x:row r="1596">
      <x:c r="A1596" s="39"/>
      <x:c r="B1596" s="39"/>
      <x:c r="C1596" s="39"/>
      <x:c r="D1596" s="39"/>
      <x:c r="E1596" s="39"/>
      <x:c r="F1596" s="39"/>
      <x:c r="G1596" s="39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</x:row>
    <x:row r="1597">
      <x:c r="A1597" s="39"/>
      <x:c r="B1597" s="39"/>
      <x:c r="C1597" s="39"/>
      <x:c r="D1597" s="39"/>
      <x:c r="E1597" s="39"/>
      <x:c r="F1597" s="39"/>
      <x:c r="G1597" s="39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</x:row>
    <x:row r="1598">
      <x:c r="A1598" s="39"/>
      <x:c r="B1598" s="39"/>
      <x:c r="C1598" s="39"/>
      <x:c r="D1598" s="39"/>
      <x:c r="E1598" s="39"/>
      <x:c r="F1598" s="39"/>
      <x:c r="G1598" s="39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</x:row>
    <x:row r="1599">
      <x:c r="A1599" s="39"/>
      <x:c r="B1599" s="39"/>
      <x:c r="C1599" s="39"/>
      <x:c r="D1599" s="39"/>
      <x:c r="E1599" s="39"/>
      <x:c r="F1599" s="39"/>
      <x:c r="G1599" s="39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</x:row>
    <x:row r="1600">
      <x:c r="A1600" s="39"/>
      <x:c r="B1600" s="39"/>
      <x:c r="C1600" s="39"/>
      <x:c r="D1600" s="39"/>
      <x:c r="E1600" s="39"/>
      <x:c r="F1600" s="39"/>
      <x:c r="G1600" s="39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</x:row>
    <x:row r="1601">
      <x:c r="A1601" s="39"/>
      <x:c r="B1601" s="39"/>
      <x:c r="C1601" s="39"/>
      <x:c r="D1601" s="39"/>
      <x:c r="E1601" s="39"/>
      <x:c r="F1601" s="39"/>
      <x:c r="G1601" s="39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</x:row>
    <x:row r="1602">
      <x:c r="A1602" s="39"/>
      <x:c r="B1602" s="39"/>
      <x:c r="C1602" s="39"/>
      <x:c r="D1602" s="39"/>
      <x:c r="E1602" s="39"/>
      <x:c r="F1602" s="39"/>
      <x:c r="G1602" s="39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</x:row>
    <x:row r="1603">
      <x:c r="A1603" s="39"/>
      <x:c r="B1603" s="39"/>
      <x:c r="C1603" s="39"/>
      <x:c r="D1603" s="39"/>
      <x:c r="E1603" s="39"/>
      <x:c r="F1603" s="39"/>
      <x:c r="G1603" s="39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</x:row>
    <x:row r="1604">
      <x:c r="A1604" s="39"/>
      <x:c r="B1604" s="39"/>
      <x:c r="C1604" s="39"/>
      <x:c r="D1604" s="39"/>
      <x:c r="E1604" s="39"/>
      <x:c r="F1604" s="39"/>
      <x:c r="G1604" s="39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</x:row>
    <x:row r="1605">
      <x:c r="A1605" s="39"/>
      <x:c r="B1605" s="39"/>
      <x:c r="C1605" s="39"/>
      <x:c r="D1605" s="39"/>
      <x:c r="E1605" s="39"/>
      <x:c r="F1605" s="39"/>
      <x:c r="G1605" s="39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</x:row>
    <x:row r="1606">
      <x:c r="A1606" s="39"/>
      <x:c r="B1606" s="39"/>
      <x:c r="C1606" s="39"/>
      <x:c r="D1606" s="39"/>
      <x:c r="E1606" s="39"/>
      <x:c r="F1606" s="39"/>
      <x:c r="G1606" s="39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</x:row>
    <x:row r="1607">
      <x:c r="A1607" s="39"/>
      <x:c r="B1607" s="39"/>
      <x:c r="C1607" s="39"/>
      <x:c r="D1607" s="39"/>
      <x:c r="E1607" s="39"/>
      <x:c r="F1607" s="39"/>
      <x:c r="G1607" s="39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</x:row>
    <x:row r="1608">
      <x:c r="A1608" s="39"/>
      <x:c r="B1608" s="39"/>
      <x:c r="C1608" s="39"/>
      <x:c r="D1608" s="39"/>
      <x:c r="E1608" s="39"/>
      <x:c r="F1608" s="39"/>
      <x:c r="G1608" s="39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</x:row>
    <x:row r="1609">
      <x:c r="A1609" s="39"/>
      <x:c r="B1609" s="39"/>
      <x:c r="C1609" s="39"/>
      <x:c r="D1609" s="39"/>
      <x:c r="E1609" s="39"/>
      <x:c r="F1609" s="39"/>
      <x:c r="G1609" s="39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</x:row>
    <x:row r="1610">
      <x:c r="A1610" s="39"/>
      <x:c r="B1610" s="39"/>
      <x:c r="C1610" s="39"/>
      <x:c r="D1610" s="39"/>
      <x:c r="E1610" s="39"/>
      <x:c r="F1610" s="39"/>
      <x:c r="G1610" s="39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</x:row>
    <x:row r="1611">
      <x:c r="A1611" s="39"/>
      <x:c r="B1611" s="39"/>
      <x:c r="C1611" s="39"/>
      <x:c r="D1611" s="39"/>
      <x:c r="E1611" s="39"/>
      <x:c r="F1611" s="39"/>
      <x:c r="G1611" s="39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</x:row>
    <x:row r="1612">
      <x:c r="A1612" s="39"/>
      <x:c r="B1612" s="39"/>
      <x:c r="C1612" s="39"/>
      <x:c r="D1612" s="39"/>
      <x:c r="E1612" s="39"/>
      <x:c r="F1612" s="39"/>
      <x:c r="G1612" s="39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</x:row>
    <x:row r="1613">
      <x:c r="A1613" s="39"/>
      <x:c r="B1613" s="39"/>
      <x:c r="C1613" s="39"/>
      <x:c r="D1613" s="39"/>
      <x:c r="E1613" s="39"/>
      <x:c r="F1613" s="39"/>
      <x:c r="G1613" s="39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</x:row>
    <x:row r="1614">
      <x:c r="A1614" s="39"/>
      <x:c r="B1614" s="39"/>
      <x:c r="C1614" s="39"/>
      <x:c r="D1614" s="39"/>
      <x:c r="E1614" s="39"/>
      <x:c r="F1614" s="39"/>
      <x:c r="G1614" s="39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</x:row>
    <x:row r="1615">
      <x:c r="A1615" s="39"/>
      <x:c r="B1615" s="39"/>
      <x:c r="C1615" s="39"/>
      <x:c r="D1615" s="39"/>
      <x:c r="E1615" s="39"/>
      <x:c r="F1615" s="39"/>
      <x:c r="G1615" s="39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</x:row>
    <x:row r="1616">
      <x:c r="A1616" s="39"/>
      <x:c r="B1616" s="39"/>
      <x:c r="C1616" s="39"/>
      <x:c r="D1616" s="39"/>
      <x:c r="E1616" s="39"/>
      <x:c r="F1616" s="39"/>
      <x:c r="G1616" s="39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</x:row>
    <x:row r="1617">
      <x:c r="A1617" s="39"/>
      <x:c r="B1617" s="39"/>
      <x:c r="C1617" s="39"/>
      <x:c r="D1617" s="39"/>
      <x:c r="E1617" s="39"/>
      <x:c r="F1617" s="39"/>
      <x:c r="G1617" s="39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</x:row>
    <x:row r="1618">
      <x:c r="A1618" s="39"/>
      <x:c r="B1618" s="39"/>
      <x:c r="C1618" s="39"/>
      <x:c r="D1618" s="39"/>
      <x:c r="E1618" s="39"/>
      <x:c r="F1618" s="39"/>
      <x:c r="G1618" s="39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</x:row>
    <x:row r="1619">
      <x:c r="A1619" s="39"/>
      <x:c r="B1619" s="39"/>
      <x:c r="C1619" s="39"/>
      <x:c r="D1619" s="39"/>
      <x:c r="E1619" s="39"/>
      <x:c r="F1619" s="39"/>
      <x:c r="G1619" s="39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</x:row>
    <x:row r="1620">
      <x:c r="A1620" s="39"/>
      <x:c r="B1620" s="39"/>
      <x:c r="C1620" s="39"/>
      <x:c r="D1620" s="39"/>
      <x:c r="E1620" s="39"/>
      <x:c r="F1620" s="39"/>
      <x:c r="G1620" s="39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</x:row>
    <x:row r="1621">
      <x:c r="A1621" s="39"/>
      <x:c r="B1621" s="39"/>
      <x:c r="C1621" s="39"/>
      <x:c r="D1621" s="39"/>
      <x:c r="E1621" s="39"/>
      <x:c r="F1621" s="39"/>
      <x:c r="G1621" s="39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</x:row>
    <x:row r="1622">
      <x:c r="A1622" s="39"/>
      <x:c r="B1622" s="39"/>
      <x:c r="C1622" s="39"/>
      <x:c r="D1622" s="39"/>
      <x:c r="E1622" s="39"/>
      <x:c r="F1622" s="39"/>
      <x:c r="G1622" s="39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</x:row>
    <x:row r="1623">
      <x:c r="A1623" s="39"/>
      <x:c r="B1623" s="39"/>
      <x:c r="C1623" s="39"/>
      <x:c r="D1623" s="39"/>
      <x:c r="E1623" s="39"/>
      <x:c r="F1623" s="39"/>
      <x:c r="G1623" s="39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</x:row>
    <x:row r="1624">
      <x:c r="A1624" s="39"/>
      <x:c r="B1624" s="39"/>
      <x:c r="C1624" s="39"/>
      <x:c r="D1624" s="39"/>
      <x:c r="E1624" s="39"/>
      <x:c r="F1624" s="39"/>
      <x:c r="G1624" s="39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</x:row>
    <x:row r="1625">
      <x:c r="A1625" s="39"/>
      <x:c r="B1625" s="39"/>
      <x:c r="C1625" s="39"/>
      <x:c r="D1625" s="39"/>
      <x:c r="E1625" s="39"/>
      <x:c r="F1625" s="39"/>
      <x:c r="G1625" s="39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</x:row>
    <x:row r="1626">
      <x:c r="A1626" s="39"/>
      <x:c r="B1626" s="39"/>
      <x:c r="C1626" s="39"/>
      <x:c r="D1626" s="39"/>
      <x:c r="E1626" s="39"/>
      <x:c r="F1626" s="39"/>
      <x:c r="G1626" s="39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</x:row>
    <x:row r="1627">
      <x:c r="A1627" s="39"/>
      <x:c r="B1627" s="39"/>
      <x:c r="C1627" s="39"/>
      <x:c r="D1627" s="39"/>
      <x:c r="E1627" s="39"/>
      <x:c r="F1627" s="39"/>
      <x:c r="G1627" s="39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</x:row>
    <x:row r="1628">
      <x:c r="A1628" s="39"/>
      <x:c r="B1628" s="39"/>
      <x:c r="C1628" s="39"/>
      <x:c r="D1628" s="39"/>
      <x:c r="E1628" s="39"/>
      <x:c r="F1628" s="39"/>
      <x:c r="G1628" s="39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</x:row>
    <x:row r="1629">
      <x:c r="A1629" s="39"/>
      <x:c r="B1629" s="39"/>
      <x:c r="C1629" s="39"/>
      <x:c r="D1629" s="39"/>
      <x:c r="E1629" s="39"/>
      <x:c r="F1629" s="39"/>
      <x:c r="G1629" s="39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</x:row>
    <x:row r="1630">
      <x:c r="A1630" s="39"/>
      <x:c r="B1630" s="39"/>
      <x:c r="C1630" s="39"/>
      <x:c r="D1630" s="39"/>
      <x:c r="E1630" s="39"/>
      <x:c r="F1630" s="39"/>
      <x:c r="G1630" s="39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</x:row>
    <x:row r="1631">
      <x:c r="A1631" s="39"/>
      <x:c r="B1631" s="39"/>
      <x:c r="C1631" s="39"/>
      <x:c r="D1631" s="39"/>
      <x:c r="E1631" s="39"/>
      <x:c r="F1631" s="39"/>
      <x:c r="G1631" s="39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</x:row>
    <x:row r="1632">
      <x:c r="A1632" s="39"/>
      <x:c r="B1632" s="39"/>
      <x:c r="C1632" s="39"/>
      <x:c r="D1632" s="39"/>
      <x:c r="E1632" s="39"/>
      <x:c r="F1632" s="39"/>
      <x:c r="G1632" s="39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</x:row>
    <x:row r="1633">
      <x:c r="A1633" s="39"/>
      <x:c r="B1633" s="39"/>
      <x:c r="C1633" s="39"/>
      <x:c r="D1633" s="39"/>
      <x:c r="E1633" s="39"/>
      <x:c r="F1633" s="39"/>
      <x:c r="G1633" s="39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</x:row>
    <x:row r="1634">
      <x:c r="A1634" s="39"/>
      <x:c r="B1634" s="39"/>
      <x:c r="C1634" s="39"/>
      <x:c r="D1634" s="39"/>
      <x:c r="E1634" s="39"/>
      <x:c r="F1634" s="39"/>
      <x:c r="G1634" s="39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</x:row>
    <x:row r="1635">
      <x:c r="A1635" s="39"/>
      <x:c r="B1635" s="39"/>
      <x:c r="C1635" s="39"/>
      <x:c r="D1635" s="39"/>
      <x:c r="E1635" s="39"/>
      <x:c r="F1635" s="39"/>
      <x:c r="G1635" s="39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</x:row>
    <x:row r="1636">
      <x:c r="A1636" s="39"/>
      <x:c r="B1636" s="39"/>
      <x:c r="C1636" s="39"/>
      <x:c r="D1636" s="39"/>
      <x:c r="E1636" s="39"/>
      <x:c r="F1636" s="39"/>
      <x:c r="G1636" s="39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</x:row>
    <x:row r="1637">
      <x:c r="A1637" s="39"/>
      <x:c r="B1637" s="39"/>
      <x:c r="C1637" s="39"/>
      <x:c r="D1637" s="39"/>
      <x:c r="E1637" s="39"/>
      <x:c r="F1637" s="39"/>
      <x:c r="G1637" s="39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</x:row>
    <x:row r="1638">
      <x:c r="A1638" s="39"/>
      <x:c r="B1638" s="39"/>
      <x:c r="C1638" s="39"/>
      <x:c r="D1638" s="39"/>
      <x:c r="E1638" s="39"/>
      <x:c r="F1638" s="39"/>
      <x:c r="G1638" s="39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</x:row>
    <x:row r="1639">
      <x:c r="A1639" s="39"/>
      <x:c r="B1639" s="39"/>
      <x:c r="C1639" s="39"/>
      <x:c r="D1639" s="39"/>
      <x:c r="E1639" s="39"/>
      <x:c r="F1639" s="39"/>
      <x:c r="G1639" s="39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</x:row>
    <x:row r="1640">
      <x:c r="A1640" s="39"/>
      <x:c r="B1640" s="39"/>
      <x:c r="C1640" s="39"/>
      <x:c r="D1640" s="39"/>
      <x:c r="E1640" s="39"/>
      <x:c r="F1640" s="39"/>
      <x:c r="G1640" s="39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</x:row>
    <x:row r="1641">
      <x:c r="A1641" s="39"/>
      <x:c r="B1641" s="39"/>
      <x:c r="C1641" s="39"/>
      <x:c r="D1641" s="39"/>
      <x:c r="E1641" s="39"/>
      <x:c r="F1641" s="39"/>
      <x:c r="G1641" s="39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</x:row>
    <x:row r="1642">
      <x:c r="A1642" s="39"/>
      <x:c r="B1642" s="39"/>
      <x:c r="C1642" s="39"/>
      <x:c r="D1642" s="39"/>
      <x:c r="E1642" s="39"/>
      <x:c r="F1642" s="39"/>
      <x:c r="G1642" s="39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</x:row>
    <x:row r="1643">
      <x:c r="A1643" s="39"/>
      <x:c r="B1643" s="39"/>
      <x:c r="C1643" s="39"/>
      <x:c r="D1643" s="39"/>
      <x:c r="E1643" s="39"/>
      <x:c r="F1643" s="39"/>
      <x:c r="G1643" s="39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</x:row>
    <x:row r="1644">
      <x:c r="A1644" s="39"/>
      <x:c r="B1644" s="39"/>
      <x:c r="C1644" s="39"/>
      <x:c r="D1644" s="39"/>
      <x:c r="E1644" s="39"/>
      <x:c r="F1644" s="39"/>
      <x:c r="G1644" s="39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</x:row>
    <x:row r="1645">
      <x:c r="A1645" s="39"/>
      <x:c r="B1645" s="39"/>
      <x:c r="C1645" s="39"/>
      <x:c r="D1645" s="39"/>
      <x:c r="E1645" s="39"/>
      <x:c r="F1645" s="39"/>
      <x:c r="G1645" s="39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</x:row>
    <x:row r="1646">
      <x:c r="A1646" s="39"/>
      <x:c r="B1646" s="39"/>
      <x:c r="C1646" s="39"/>
      <x:c r="D1646" s="39"/>
      <x:c r="E1646" s="39"/>
      <x:c r="F1646" s="39"/>
      <x:c r="G1646" s="39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</x:row>
    <x:row r="1647">
      <x:c r="A1647" s="39"/>
      <x:c r="B1647" s="39"/>
      <x:c r="C1647" s="39"/>
      <x:c r="D1647" s="39"/>
      <x:c r="E1647" s="39"/>
      <x:c r="F1647" s="39"/>
      <x:c r="G1647" s="39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</x:row>
    <x:row r="1648">
      <x:c r="A1648" s="39"/>
      <x:c r="B1648" s="39"/>
      <x:c r="C1648" s="39"/>
      <x:c r="D1648" s="39"/>
      <x:c r="E1648" s="39"/>
      <x:c r="F1648" s="39"/>
      <x:c r="G1648" s="39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</x:row>
    <x:row r="1649">
      <x:c r="A1649" s="39"/>
      <x:c r="B1649" s="39"/>
      <x:c r="C1649" s="39"/>
      <x:c r="D1649" s="39"/>
      <x:c r="E1649" s="39"/>
      <x:c r="F1649" s="39"/>
      <x:c r="G1649" s="39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</x:row>
    <x:row r="1650">
      <x:c r="A1650" s="39"/>
      <x:c r="B1650" s="39"/>
      <x:c r="C1650" s="39"/>
      <x:c r="D1650" s="39"/>
      <x:c r="E1650" s="39"/>
      <x:c r="F1650" s="39"/>
      <x:c r="G1650" s="39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</x:row>
    <x:row r="1651">
      <x:c r="A1651" s="39"/>
      <x:c r="B1651" s="39"/>
      <x:c r="C1651" s="39"/>
      <x:c r="D1651" s="39"/>
      <x:c r="E1651" s="39"/>
      <x:c r="F1651" s="39"/>
      <x:c r="G1651" s="39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</x:row>
    <x:row r="1652">
      <x:c r="A1652" s="39"/>
      <x:c r="B1652" s="39"/>
      <x:c r="C1652" s="39"/>
      <x:c r="D1652" s="39"/>
      <x:c r="E1652" s="39"/>
      <x:c r="F1652" s="39"/>
      <x:c r="G1652" s="39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</x:row>
    <x:row r="1653">
      <x:c r="A1653" s="39"/>
      <x:c r="B1653" s="39"/>
      <x:c r="C1653" s="39"/>
      <x:c r="D1653" s="39"/>
      <x:c r="E1653" s="39"/>
      <x:c r="F1653" s="39"/>
      <x:c r="G1653" s="39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</x:row>
    <x:row r="1654">
      <x:c r="A1654" s="39"/>
      <x:c r="B1654" s="39"/>
      <x:c r="C1654" s="39"/>
      <x:c r="D1654" s="39"/>
      <x:c r="E1654" s="39"/>
      <x:c r="F1654" s="39"/>
      <x:c r="G1654" s="39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</x:row>
    <x:row r="1655">
      <x:c r="A1655" s="39"/>
      <x:c r="B1655" s="39"/>
      <x:c r="C1655" s="39"/>
      <x:c r="D1655" s="39"/>
      <x:c r="E1655" s="39"/>
      <x:c r="F1655" s="39"/>
      <x:c r="G1655" s="39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</x:row>
    <x:row r="1656">
      <x:c r="A1656" s="39"/>
      <x:c r="B1656" s="39"/>
      <x:c r="C1656" s="39"/>
      <x:c r="D1656" s="39"/>
      <x:c r="E1656" s="39"/>
      <x:c r="F1656" s="39"/>
      <x:c r="G1656" s="39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</x:row>
    <x:row r="1657">
      <x:c r="A1657" s="39"/>
      <x:c r="B1657" s="39"/>
      <x:c r="C1657" s="39"/>
      <x:c r="D1657" s="39"/>
      <x:c r="E1657" s="39"/>
      <x:c r="F1657" s="39"/>
      <x:c r="G1657" s="39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</x:row>
    <x:row r="1658">
      <x:c r="A1658" s="39"/>
      <x:c r="B1658" s="39"/>
      <x:c r="C1658" s="39"/>
      <x:c r="D1658" s="39"/>
      <x:c r="E1658" s="39"/>
      <x:c r="F1658" s="39"/>
      <x:c r="G1658" s="39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</x:row>
    <x:row r="1659">
      <x:c r="A1659" s="39"/>
      <x:c r="B1659" s="39"/>
      <x:c r="C1659" s="39"/>
      <x:c r="D1659" s="39"/>
      <x:c r="E1659" s="39"/>
      <x:c r="F1659" s="39"/>
      <x:c r="G1659" s="39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</x:row>
    <x:row r="1660">
      <x:c r="A1660" s="39"/>
      <x:c r="B1660" s="39"/>
      <x:c r="C1660" s="39"/>
      <x:c r="D1660" s="39"/>
      <x:c r="E1660" s="39"/>
      <x:c r="F1660" s="39"/>
      <x:c r="G1660" s="39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</x:row>
    <x:row r="1661">
      <x:c r="A1661" s="39"/>
      <x:c r="B1661" s="39"/>
      <x:c r="C1661" s="39"/>
      <x:c r="D1661" s="39"/>
      <x:c r="E1661" s="39"/>
      <x:c r="F1661" s="39"/>
      <x:c r="G1661" s="39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</x:row>
    <x:row r="1662">
      <x:c r="A1662" s="39"/>
      <x:c r="B1662" s="39"/>
      <x:c r="C1662" s="39"/>
      <x:c r="D1662" s="39"/>
      <x:c r="E1662" s="39"/>
      <x:c r="F1662" s="39"/>
      <x:c r="G1662" s="39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</x:row>
    <x:row r="1663">
      <x:c r="A1663" s="39"/>
      <x:c r="B1663" s="39"/>
      <x:c r="C1663" s="39"/>
      <x:c r="D1663" s="39"/>
      <x:c r="E1663" s="39"/>
      <x:c r="F1663" s="39"/>
      <x:c r="G1663" s="39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</x:row>
    <x:row r="1664">
      <x:c r="A1664" s="39"/>
      <x:c r="B1664" s="39"/>
      <x:c r="C1664" s="39"/>
      <x:c r="D1664" s="39"/>
      <x:c r="E1664" s="39"/>
      <x:c r="F1664" s="39"/>
      <x:c r="G1664" s="39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</x:row>
    <x:row r="1665">
      <x:c r="A1665" s="39"/>
      <x:c r="B1665" s="39"/>
      <x:c r="C1665" s="39"/>
      <x:c r="D1665" s="39"/>
      <x:c r="E1665" s="39"/>
      <x:c r="F1665" s="39"/>
      <x:c r="G1665" s="39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</x:row>
    <x:row r="1666">
      <x:c r="A1666" s="39"/>
      <x:c r="B1666" s="39"/>
      <x:c r="C1666" s="39"/>
      <x:c r="D1666" s="39"/>
      <x:c r="E1666" s="39"/>
      <x:c r="F1666" s="39"/>
      <x:c r="G1666" s="39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</x:row>
    <x:row r="1667">
      <x:c r="A1667" s="39"/>
      <x:c r="B1667" s="39"/>
      <x:c r="C1667" s="39"/>
      <x:c r="D1667" s="39"/>
      <x:c r="E1667" s="39"/>
      <x:c r="F1667" s="39"/>
      <x:c r="G1667" s="39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</x:row>
    <x:row r="1668">
      <x:c r="A1668" s="39"/>
      <x:c r="B1668" s="39"/>
      <x:c r="C1668" s="39"/>
      <x:c r="D1668" s="39"/>
      <x:c r="E1668" s="39"/>
      <x:c r="F1668" s="39"/>
      <x:c r="G1668" s="39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</x:row>
    <x:row r="1669">
      <x:c r="A1669" s="39"/>
      <x:c r="B1669" s="39"/>
      <x:c r="C1669" s="39"/>
      <x:c r="D1669" s="39"/>
      <x:c r="E1669" s="39"/>
      <x:c r="F1669" s="39"/>
      <x:c r="G1669" s="39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</x:row>
    <x:row r="1670">
      <x:c r="A1670" s="39"/>
      <x:c r="B1670" s="39"/>
      <x:c r="C1670" s="39"/>
      <x:c r="D1670" s="39"/>
      <x:c r="E1670" s="39"/>
      <x:c r="F1670" s="39"/>
      <x:c r="G1670" s="39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</x:row>
    <x:row r="1671">
      <x:c r="A1671" s="39"/>
      <x:c r="B1671" s="39"/>
      <x:c r="C1671" s="39"/>
      <x:c r="D1671" s="39"/>
      <x:c r="E1671" s="39"/>
      <x:c r="F1671" s="39"/>
      <x:c r="G1671" s="39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</x:row>
    <x:row r="1672">
      <x:c r="A1672" s="39"/>
      <x:c r="B1672" s="39"/>
      <x:c r="C1672" s="39"/>
      <x:c r="D1672" s="39"/>
      <x:c r="E1672" s="39"/>
      <x:c r="F1672" s="39"/>
      <x:c r="G1672" s="39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</x:row>
    <x:row r="1673">
      <x:c r="A1673" s="39"/>
      <x:c r="B1673" s="39"/>
      <x:c r="C1673" s="39"/>
      <x:c r="D1673" s="39"/>
      <x:c r="E1673" s="39"/>
      <x:c r="F1673" s="39"/>
      <x:c r="G1673" s="39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</x:row>
    <x:row r="1674">
      <x:c r="A1674" s="39"/>
      <x:c r="B1674" s="39"/>
      <x:c r="C1674" s="39"/>
      <x:c r="D1674" s="39"/>
      <x:c r="E1674" s="39"/>
      <x:c r="F1674" s="39"/>
      <x:c r="G1674" s="39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</x:row>
    <x:row r="1675">
      <x:c r="A1675" s="39"/>
      <x:c r="B1675" s="39"/>
      <x:c r="C1675" s="39"/>
      <x:c r="D1675" s="39"/>
      <x:c r="E1675" s="39"/>
      <x:c r="F1675" s="39"/>
      <x:c r="G1675" s="39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</x:row>
    <x:row r="1676">
      <x:c r="A1676" s="39"/>
      <x:c r="B1676" s="39"/>
      <x:c r="C1676" s="39"/>
      <x:c r="D1676" s="39"/>
      <x:c r="E1676" s="39"/>
      <x:c r="F1676" s="39"/>
      <x:c r="G1676" s="39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</x:row>
    <x:row r="1677">
      <x:c r="A1677" s="39"/>
      <x:c r="B1677" s="39"/>
      <x:c r="C1677" s="39"/>
      <x:c r="D1677" s="39"/>
      <x:c r="E1677" s="39"/>
      <x:c r="F1677" s="39"/>
      <x:c r="G1677" s="39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</x:row>
    <x:row r="1678">
      <x:c r="A1678" s="39"/>
      <x:c r="B1678" s="39"/>
      <x:c r="C1678" s="39"/>
      <x:c r="D1678" s="39"/>
      <x:c r="E1678" s="39"/>
      <x:c r="F1678" s="39"/>
      <x:c r="G1678" s="39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</x:row>
    <x:row r="1679">
      <x:c r="A1679" s="39"/>
      <x:c r="B1679" s="39"/>
      <x:c r="C1679" s="39"/>
      <x:c r="D1679" s="39"/>
      <x:c r="E1679" s="39"/>
      <x:c r="F1679" s="39"/>
      <x:c r="G1679" s="39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</x:row>
    <x:row r="1680">
      <x:c r="A1680" s="39"/>
      <x:c r="B1680" s="39"/>
      <x:c r="C1680" s="39"/>
      <x:c r="D1680" s="39"/>
      <x:c r="E1680" s="39"/>
      <x:c r="F1680" s="39"/>
      <x:c r="G1680" s="39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</x:row>
    <x:row r="1681">
      <x:c r="A1681" s="39"/>
      <x:c r="B1681" s="39"/>
      <x:c r="C1681" s="39"/>
      <x:c r="D1681" s="39"/>
      <x:c r="E1681" s="39"/>
      <x:c r="F1681" s="39"/>
      <x:c r="G1681" s="39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</x:row>
    <x:row r="1682">
      <x:c r="A1682" s="39"/>
      <x:c r="B1682" s="39"/>
      <x:c r="C1682" s="39"/>
      <x:c r="D1682" s="39"/>
      <x:c r="E1682" s="39"/>
      <x:c r="F1682" s="39"/>
      <x:c r="G1682" s="39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</x:row>
    <x:row r="1683">
      <x:c r="A1683" s="39"/>
      <x:c r="B1683" s="39"/>
      <x:c r="C1683" s="39"/>
      <x:c r="D1683" s="39"/>
      <x:c r="E1683" s="39"/>
      <x:c r="F1683" s="39"/>
      <x:c r="G1683" s="39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</x:row>
    <x:row r="1684">
      <x:c r="A1684" s="39"/>
      <x:c r="B1684" s="39"/>
      <x:c r="C1684" s="39"/>
      <x:c r="D1684" s="39"/>
      <x:c r="E1684" s="39"/>
      <x:c r="F1684" s="39"/>
      <x:c r="G1684" s="39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</x:row>
    <x:row r="1685">
      <x:c r="A1685" s="39"/>
      <x:c r="B1685" s="39"/>
      <x:c r="C1685" s="39"/>
      <x:c r="D1685" s="39"/>
      <x:c r="E1685" s="39"/>
      <x:c r="F1685" s="39"/>
      <x:c r="G1685" s="39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</x:row>
    <x:row r="1686">
      <x:c r="A1686" s="39"/>
      <x:c r="B1686" s="39"/>
      <x:c r="C1686" s="39"/>
      <x:c r="D1686" s="39"/>
      <x:c r="E1686" s="39"/>
      <x:c r="F1686" s="39"/>
      <x:c r="G1686" s="39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</x:row>
    <x:row r="1687">
      <x:c r="A1687" s="39"/>
      <x:c r="B1687" s="39"/>
      <x:c r="C1687" s="39"/>
      <x:c r="D1687" s="39"/>
      <x:c r="E1687" s="39"/>
      <x:c r="F1687" s="39"/>
      <x:c r="G1687" s="39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</x:row>
    <x:row r="1688">
      <x:c r="A1688" s="39"/>
      <x:c r="B1688" s="39"/>
      <x:c r="C1688" s="39"/>
      <x:c r="D1688" s="39"/>
      <x:c r="E1688" s="39"/>
      <x:c r="F1688" s="39"/>
      <x:c r="G1688" s="39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</x:row>
    <x:row r="1689">
      <x:c r="A1689" s="39"/>
      <x:c r="B1689" s="39"/>
      <x:c r="C1689" s="39"/>
      <x:c r="D1689" s="39"/>
      <x:c r="E1689" s="39"/>
      <x:c r="F1689" s="39"/>
      <x:c r="G1689" s="39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</x:row>
    <x:row r="1690">
      <x:c r="A1690" s="39"/>
      <x:c r="B1690" s="39"/>
      <x:c r="C1690" s="39"/>
      <x:c r="D1690" s="39"/>
      <x:c r="E1690" s="39"/>
      <x:c r="F1690" s="39"/>
      <x:c r="G1690" s="39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</x:row>
    <x:row r="1691">
      <x:c r="A1691" s="39"/>
      <x:c r="B1691" s="39"/>
      <x:c r="C1691" s="39"/>
      <x:c r="D1691" s="39"/>
      <x:c r="E1691" s="39"/>
      <x:c r="F1691" s="39"/>
      <x:c r="G1691" s="39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</x:row>
    <x:row r="1692">
      <x:c r="A1692" s="39"/>
      <x:c r="B1692" s="39"/>
      <x:c r="C1692" s="39"/>
      <x:c r="D1692" s="39"/>
      <x:c r="E1692" s="39"/>
      <x:c r="F1692" s="39"/>
      <x:c r="G1692" s="39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</x:row>
    <x:row r="1693">
      <x:c r="A1693" s="39"/>
      <x:c r="B1693" s="39"/>
      <x:c r="C1693" s="39"/>
      <x:c r="D1693" s="39"/>
      <x:c r="E1693" s="39"/>
      <x:c r="F1693" s="39"/>
      <x:c r="G1693" s="39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</x:row>
    <x:row r="1694">
      <x:c r="A1694" s="39"/>
      <x:c r="B1694" s="39"/>
      <x:c r="C1694" s="39"/>
      <x:c r="D1694" s="39"/>
      <x:c r="E1694" s="39"/>
      <x:c r="F1694" s="39"/>
      <x:c r="G1694" s="39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</x:row>
    <x:row r="1695">
      <x:c r="A1695" s="39"/>
      <x:c r="B1695" s="39"/>
      <x:c r="C1695" s="39"/>
      <x:c r="D1695" s="39"/>
      <x:c r="E1695" s="39"/>
      <x:c r="F1695" s="39"/>
      <x:c r="G1695" s="39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</x:row>
    <x:row r="1696">
      <x:c r="A1696" s="39"/>
      <x:c r="B1696" s="39"/>
      <x:c r="C1696" s="39"/>
      <x:c r="D1696" s="39"/>
      <x:c r="E1696" s="39"/>
      <x:c r="F1696" s="39"/>
      <x:c r="G1696" s="39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</x:row>
    <x:row r="1697">
      <x:c r="A1697" s="39"/>
      <x:c r="B1697" s="39"/>
      <x:c r="C1697" s="39"/>
      <x:c r="D1697" s="39"/>
      <x:c r="E1697" s="39"/>
      <x:c r="F1697" s="39"/>
      <x:c r="G1697" s="39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</x:row>
    <x:row r="1698">
      <x:c r="A1698" s="39"/>
      <x:c r="B1698" s="39"/>
      <x:c r="C1698" s="39"/>
      <x:c r="D1698" s="39"/>
      <x:c r="E1698" s="39"/>
      <x:c r="F1698" s="39"/>
      <x:c r="G1698" s="39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</x:row>
    <x:row r="1699">
      <x:c r="A1699" s="39"/>
      <x:c r="B1699" s="39"/>
      <x:c r="C1699" s="39"/>
      <x:c r="D1699" s="39"/>
      <x:c r="E1699" s="39"/>
      <x:c r="F1699" s="39"/>
      <x:c r="G1699" s="39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</x:row>
    <x:row r="1700">
      <x:c r="A1700" s="39"/>
      <x:c r="B1700" s="39"/>
      <x:c r="C1700" s="39"/>
      <x:c r="D1700" s="39"/>
      <x:c r="E1700" s="39"/>
      <x:c r="F1700" s="39"/>
      <x:c r="G1700" s="39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</x:row>
    <x:row r="1701">
      <x:c r="A1701" s="39"/>
      <x:c r="B1701" s="39"/>
      <x:c r="C1701" s="39"/>
      <x:c r="D1701" s="39"/>
      <x:c r="E1701" s="39"/>
      <x:c r="F1701" s="39"/>
      <x:c r="G1701" s="39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</x:row>
    <x:row r="1702">
      <x:c r="A1702" s="39"/>
      <x:c r="B1702" s="39"/>
      <x:c r="C1702" s="39"/>
      <x:c r="D1702" s="39"/>
      <x:c r="E1702" s="39"/>
      <x:c r="F1702" s="39"/>
      <x:c r="G1702" s="39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</x:row>
    <x:row r="1703">
      <x:c r="A1703" s="39"/>
      <x:c r="B1703" s="39"/>
      <x:c r="C1703" s="39"/>
      <x:c r="D1703" s="39"/>
      <x:c r="E1703" s="39"/>
      <x:c r="F1703" s="39"/>
      <x:c r="G1703" s="39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</x:row>
    <x:row r="1704">
      <x:c r="A1704" s="39"/>
      <x:c r="B1704" s="39"/>
      <x:c r="C1704" s="39"/>
      <x:c r="D1704" s="39"/>
      <x:c r="E1704" s="39"/>
      <x:c r="F1704" s="39"/>
      <x:c r="G1704" s="39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</x:row>
    <x:row r="1705">
      <x:c r="A1705" s="39"/>
      <x:c r="B1705" s="39"/>
      <x:c r="C1705" s="39"/>
      <x:c r="D1705" s="39"/>
      <x:c r="E1705" s="39"/>
      <x:c r="F1705" s="39"/>
      <x:c r="G1705" s="39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</x:row>
    <x:row r="1706">
      <x:c r="A1706" s="39"/>
      <x:c r="B1706" s="39"/>
      <x:c r="C1706" s="39"/>
      <x:c r="D1706" s="39"/>
      <x:c r="E1706" s="39"/>
      <x:c r="F1706" s="39"/>
      <x:c r="G1706" s="39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</x:row>
    <x:row r="1707">
      <x:c r="A1707" s="39"/>
      <x:c r="B1707" s="39"/>
      <x:c r="C1707" s="39"/>
      <x:c r="D1707" s="39"/>
      <x:c r="E1707" s="39"/>
      <x:c r="F1707" s="39"/>
      <x:c r="G1707" s="39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</x:row>
    <x:row r="1708">
      <x:c r="A1708" s="39"/>
      <x:c r="B1708" s="39"/>
      <x:c r="C1708" s="39"/>
      <x:c r="D1708" s="39"/>
      <x:c r="E1708" s="39"/>
      <x:c r="F1708" s="39"/>
      <x:c r="G1708" s="39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</x:row>
    <x:row r="1709">
      <x:c r="A1709" s="39"/>
      <x:c r="B1709" s="39"/>
      <x:c r="C1709" s="39"/>
      <x:c r="D1709" s="39"/>
      <x:c r="E1709" s="39"/>
      <x:c r="F1709" s="39"/>
      <x:c r="G1709" s="39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</x:row>
    <x:row r="1710">
      <x:c r="A1710" s="39"/>
      <x:c r="B1710" s="39"/>
      <x:c r="C1710" s="39"/>
      <x:c r="D1710" s="39"/>
      <x:c r="E1710" s="39"/>
      <x:c r="F1710" s="39"/>
      <x:c r="G1710" s="39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</x:row>
    <x:row r="1711">
      <x:c r="A1711" s="39"/>
      <x:c r="B1711" s="39"/>
      <x:c r="C1711" s="39"/>
      <x:c r="D1711" s="39"/>
      <x:c r="E1711" s="39"/>
      <x:c r="F1711" s="39"/>
      <x:c r="G1711" s="39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</x:row>
    <x:row r="1712">
      <x:c r="A1712" s="39"/>
      <x:c r="B1712" s="39"/>
      <x:c r="C1712" s="39"/>
      <x:c r="D1712" s="39"/>
      <x:c r="E1712" s="39"/>
      <x:c r="F1712" s="39"/>
      <x:c r="G1712" s="39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</x:row>
    <x:row r="1713">
      <x:c r="A1713" s="39"/>
      <x:c r="B1713" s="39"/>
      <x:c r="C1713" s="39"/>
      <x:c r="D1713" s="39"/>
      <x:c r="E1713" s="39"/>
      <x:c r="F1713" s="39"/>
      <x:c r="G1713" s="39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</x:row>
    <x:row r="1714">
      <x:c r="A1714" s="39"/>
      <x:c r="B1714" s="39"/>
      <x:c r="C1714" s="39"/>
      <x:c r="D1714" s="39"/>
      <x:c r="E1714" s="39"/>
      <x:c r="F1714" s="39"/>
      <x:c r="G1714" s="39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</x:row>
    <x:row r="1715">
      <x:c r="A1715" s="39"/>
      <x:c r="B1715" s="39"/>
      <x:c r="C1715" s="39"/>
      <x:c r="D1715" s="39"/>
      <x:c r="E1715" s="39"/>
      <x:c r="F1715" s="39"/>
      <x:c r="G1715" s="39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</x:row>
    <x:row r="1716">
      <x:c r="A1716" s="39"/>
      <x:c r="B1716" s="39"/>
      <x:c r="C1716" s="39"/>
      <x:c r="D1716" s="39"/>
      <x:c r="E1716" s="39"/>
      <x:c r="F1716" s="39"/>
      <x:c r="G1716" s="39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</x:row>
    <x:row r="1717">
      <x:c r="A1717" s="39"/>
      <x:c r="B1717" s="39"/>
      <x:c r="C1717" s="39"/>
      <x:c r="D1717" s="39"/>
      <x:c r="E1717" s="39"/>
      <x:c r="F1717" s="39"/>
      <x:c r="G1717" s="39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</x:row>
    <x:row r="1718">
      <x:c r="A1718" s="39"/>
      <x:c r="B1718" s="39"/>
      <x:c r="C1718" s="39"/>
      <x:c r="D1718" s="39"/>
      <x:c r="E1718" s="39"/>
      <x:c r="F1718" s="39"/>
      <x:c r="G1718" s="39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</x:row>
    <x:row r="1719">
      <x:c r="A1719" s="39"/>
      <x:c r="B1719" s="39"/>
      <x:c r="C1719" s="39"/>
      <x:c r="D1719" s="39"/>
      <x:c r="E1719" s="39"/>
      <x:c r="F1719" s="39"/>
      <x:c r="G1719" s="39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</x:row>
    <x:row r="1720">
      <x:c r="A1720" s="39"/>
      <x:c r="B1720" s="39"/>
      <x:c r="C1720" s="39"/>
      <x:c r="D1720" s="39"/>
      <x:c r="E1720" s="39"/>
      <x:c r="F1720" s="39"/>
      <x:c r="G1720" s="39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</x:row>
    <x:row r="1721">
      <x:c r="A1721" s="39"/>
      <x:c r="B1721" s="39"/>
      <x:c r="C1721" s="39"/>
      <x:c r="D1721" s="39"/>
      <x:c r="E1721" s="39"/>
      <x:c r="F1721" s="39"/>
      <x:c r="G1721" s="39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</x:row>
    <x:row r="1722">
      <x:c r="A1722" s="39"/>
      <x:c r="B1722" s="39"/>
      <x:c r="C1722" s="39"/>
      <x:c r="D1722" s="39"/>
      <x:c r="E1722" s="39"/>
      <x:c r="F1722" s="39"/>
      <x:c r="G1722" s="39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</x:row>
    <x:row r="1723">
      <x:c r="A1723" s="39"/>
      <x:c r="B1723" s="39"/>
      <x:c r="C1723" s="39"/>
      <x:c r="D1723" s="39"/>
      <x:c r="E1723" s="39"/>
      <x:c r="F1723" s="39"/>
      <x:c r="G1723" s="39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</x:row>
    <x:row r="1724">
      <x:c r="A1724" s="39"/>
      <x:c r="B1724" s="39"/>
      <x:c r="C1724" s="39"/>
      <x:c r="D1724" s="39"/>
      <x:c r="E1724" s="39"/>
      <x:c r="F1724" s="39"/>
      <x:c r="G1724" s="39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</x:row>
    <x:row r="1725">
      <x:c r="A1725" s="39"/>
      <x:c r="B1725" s="39"/>
      <x:c r="C1725" s="39"/>
      <x:c r="D1725" s="39"/>
      <x:c r="E1725" s="39"/>
      <x:c r="F1725" s="39"/>
      <x:c r="G1725" s="39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</x:row>
    <x:row r="1726">
      <x:c r="A1726" s="39"/>
      <x:c r="B1726" s="39"/>
      <x:c r="C1726" s="39"/>
      <x:c r="D1726" s="39"/>
      <x:c r="E1726" s="39"/>
      <x:c r="F1726" s="39"/>
      <x:c r="G1726" s="39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</x:row>
    <x:row r="1727">
      <x:c r="A1727" s="39"/>
      <x:c r="B1727" s="39"/>
      <x:c r="C1727" s="39"/>
      <x:c r="D1727" s="39"/>
      <x:c r="E1727" s="39"/>
      <x:c r="F1727" s="39"/>
      <x:c r="G1727" s="39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</x:row>
    <x:row r="1728">
      <x:c r="A1728" s="39"/>
      <x:c r="B1728" s="39"/>
      <x:c r="C1728" s="39"/>
      <x:c r="D1728" s="39"/>
      <x:c r="E1728" s="39"/>
      <x:c r="F1728" s="39"/>
      <x:c r="G1728" s="39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</x:row>
    <x:row r="1729">
      <x:c r="A1729" s="39"/>
      <x:c r="B1729" s="39"/>
      <x:c r="C1729" s="39"/>
      <x:c r="D1729" s="39"/>
      <x:c r="E1729" s="39"/>
      <x:c r="F1729" s="39"/>
      <x:c r="G1729" s="39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</x:row>
    <x:row r="1730">
      <x:c r="A1730" s="39"/>
      <x:c r="B1730" s="39"/>
      <x:c r="C1730" s="39"/>
      <x:c r="D1730" s="39"/>
      <x:c r="E1730" s="39"/>
      <x:c r="F1730" s="39"/>
      <x:c r="G1730" s="39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</x:row>
    <x:row r="1731">
      <x:c r="A1731" s="39"/>
      <x:c r="B1731" s="39"/>
      <x:c r="C1731" s="39"/>
      <x:c r="D1731" s="39"/>
      <x:c r="E1731" s="39"/>
      <x:c r="F1731" s="39"/>
      <x:c r="G1731" s="39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</x:row>
    <x:row r="1732">
      <x:c r="A1732" s="39"/>
      <x:c r="B1732" s="39"/>
      <x:c r="C1732" s="39"/>
      <x:c r="D1732" s="39"/>
      <x:c r="E1732" s="39"/>
      <x:c r="F1732" s="39"/>
      <x:c r="G1732" s="39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</x:row>
    <x:row r="1733">
      <x:c r="A1733" s="39"/>
      <x:c r="B1733" s="39"/>
      <x:c r="C1733" s="39"/>
      <x:c r="D1733" s="39"/>
      <x:c r="E1733" s="39"/>
      <x:c r="F1733" s="39"/>
      <x:c r="G1733" s="39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</x:row>
    <x:row r="1734">
      <x:c r="A1734" s="39"/>
      <x:c r="B1734" s="39"/>
      <x:c r="C1734" s="39"/>
      <x:c r="D1734" s="39"/>
      <x:c r="E1734" s="39"/>
      <x:c r="F1734" s="39"/>
      <x:c r="G1734" s="39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</x:row>
    <x:row r="1735">
      <x:c r="A1735" s="39"/>
      <x:c r="B1735" s="39"/>
      <x:c r="C1735" s="39"/>
      <x:c r="D1735" s="39"/>
      <x:c r="E1735" s="39"/>
      <x:c r="F1735" s="39"/>
      <x:c r="G1735" s="39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</x:row>
    <x:row r="1736">
      <x:c r="A1736" s="39"/>
      <x:c r="B1736" s="39"/>
      <x:c r="C1736" s="39"/>
      <x:c r="D1736" s="39"/>
      <x:c r="E1736" s="39"/>
      <x:c r="F1736" s="39"/>
      <x:c r="G1736" s="39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</x:row>
    <x:row r="1737">
      <x:c r="A1737" s="39"/>
      <x:c r="B1737" s="39"/>
      <x:c r="C1737" s="39"/>
      <x:c r="D1737" s="39"/>
      <x:c r="E1737" s="39"/>
      <x:c r="F1737" s="39"/>
      <x:c r="G1737" s="39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</x:row>
    <x:row r="1738">
      <x:c r="A1738" s="39"/>
      <x:c r="B1738" s="39"/>
      <x:c r="C1738" s="39"/>
      <x:c r="D1738" s="39"/>
      <x:c r="E1738" s="39"/>
      <x:c r="F1738" s="39"/>
      <x:c r="G1738" s="39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</x:row>
    <x:row r="1739">
      <x:c r="A1739" s="39"/>
      <x:c r="B1739" s="39"/>
      <x:c r="C1739" s="39"/>
      <x:c r="D1739" s="39"/>
      <x:c r="E1739" s="39"/>
      <x:c r="F1739" s="39"/>
      <x:c r="G1739" s="39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</x:row>
    <x:row r="1740">
      <x:c r="A1740" s="39"/>
      <x:c r="B1740" s="39"/>
      <x:c r="C1740" s="39"/>
      <x:c r="D1740" s="39"/>
      <x:c r="E1740" s="39"/>
      <x:c r="F1740" s="39"/>
      <x:c r="G1740" s="39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</x:row>
    <x:row r="1741">
      <x:c r="A1741" s="39"/>
      <x:c r="B1741" s="39"/>
      <x:c r="C1741" s="39"/>
      <x:c r="D1741" s="39"/>
      <x:c r="E1741" s="39"/>
      <x:c r="F1741" s="39"/>
      <x:c r="G1741" s="39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</x:row>
    <x:row r="1742">
      <x:c r="A1742" s="39"/>
      <x:c r="B1742" s="39"/>
      <x:c r="C1742" s="39"/>
      <x:c r="D1742" s="39"/>
      <x:c r="E1742" s="39"/>
      <x:c r="F1742" s="39"/>
      <x:c r="G1742" s="39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</x:row>
    <x:row r="1743">
      <x:c r="A1743" s="39"/>
      <x:c r="B1743" s="39"/>
      <x:c r="C1743" s="39"/>
      <x:c r="D1743" s="39"/>
      <x:c r="E1743" s="39"/>
      <x:c r="F1743" s="39"/>
      <x:c r="G1743" s="39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</x:row>
    <x:row r="1744">
      <x:c r="A1744" s="39"/>
      <x:c r="B1744" s="39"/>
      <x:c r="C1744" s="39"/>
      <x:c r="D1744" s="39"/>
      <x:c r="E1744" s="39"/>
      <x:c r="F1744" s="39"/>
      <x:c r="G1744" s="39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</x:row>
    <x:row r="1745">
      <x:c r="A1745" s="39"/>
      <x:c r="B1745" s="39"/>
      <x:c r="C1745" s="39"/>
      <x:c r="D1745" s="39"/>
      <x:c r="E1745" s="39"/>
      <x:c r="F1745" s="39"/>
      <x:c r="G1745" s="39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</x:row>
    <x:row r="1746">
      <x:c r="A1746" s="39"/>
      <x:c r="B1746" s="39"/>
      <x:c r="C1746" s="39"/>
      <x:c r="D1746" s="39"/>
      <x:c r="E1746" s="39"/>
      <x:c r="F1746" s="39"/>
      <x:c r="G1746" s="39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</x:row>
    <x:row r="1747">
      <x:c r="A1747" s="39"/>
      <x:c r="B1747" s="39"/>
      <x:c r="C1747" s="39"/>
      <x:c r="D1747" s="39"/>
      <x:c r="E1747" s="39"/>
      <x:c r="F1747" s="39"/>
      <x:c r="G1747" s="39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</x:row>
    <x:row r="1748">
      <x:c r="A1748" s="39"/>
      <x:c r="B1748" s="39"/>
      <x:c r="C1748" s="39"/>
      <x:c r="D1748" s="39"/>
      <x:c r="E1748" s="39"/>
      <x:c r="F1748" s="39"/>
      <x:c r="G1748" s="39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</x:row>
    <x:row r="1749">
      <x:c r="A1749" s="39"/>
      <x:c r="B1749" s="39"/>
      <x:c r="C1749" s="39"/>
      <x:c r="D1749" s="39"/>
      <x:c r="E1749" s="39"/>
      <x:c r="F1749" s="39"/>
      <x:c r="G1749" s="39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</x:row>
    <x:row r="1750">
      <x:c r="A1750" s="39"/>
      <x:c r="B1750" s="39"/>
      <x:c r="C1750" s="39"/>
      <x:c r="D1750" s="39"/>
      <x:c r="E1750" s="39"/>
      <x:c r="F1750" s="39"/>
      <x:c r="G1750" s="39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</x:row>
    <x:row r="1751">
      <x:c r="A1751" s="39"/>
      <x:c r="B1751" s="39"/>
      <x:c r="C1751" s="39"/>
      <x:c r="D1751" s="39"/>
      <x:c r="E1751" s="39"/>
      <x:c r="F1751" s="39"/>
      <x:c r="G1751" s="39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</x:row>
    <x:row r="1752">
      <x:c r="A1752" s="39"/>
      <x:c r="B1752" s="39"/>
      <x:c r="C1752" s="39"/>
      <x:c r="D1752" s="39"/>
      <x:c r="E1752" s="39"/>
      <x:c r="F1752" s="39"/>
      <x:c r="G1752" s="39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</x:row>
    <x:row r="1753">
      <x:c r="A1753" s="39"/>
      <x:c r="B1753" s="39"/>
      <x:c r="C1753" s="39"/>
      <x:c r="D1753" s="39"/>
      <x:c r="E1753" s="39"/>
      <x:c r="F1753" s="39"/>
      <x:c r="G1753" s="39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</x:row>
    <x:row r="1754">
      <x:c r="A1754" s="39"/>
      <x:c r="B1754" s="39"/>
      <x:c r="C1754" s="39"/>
      <x:c r="D1754" s="39"/>
      <x:c r="E1754" s="39"/>
      <x:c r="F1754" s="39"/>
      <x:c r="G1754" s="39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</x:row>
    <x:row r="1755">
      <x:c r="A1755" s="39"/>
      <x:c r="B1755" s="39"/>
      <x:c r="C1755" s="39"/>
      <x:c r="D1755" s="39"/>
      <x:c r="E1755" s="39"/>
      <x:c r="F1755" s="39"/>
      <x:c r="G1755" s="39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</x:row>
    <x:row r="1756">
      <x:c r="A1756" s="39"/>
      <x:c r="B1756" s="39"/>
      <x:c r="C1756" s="39"/>
      <x:c r="D1756" s="39"/>
      <x:c r="E1756" s="39"/>
      <x:c r="F1756" s="39"/>
      <x:c r="G1756" s="39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</x:row>
    <x:row r="1757">
      <x:c r="A1757" s="39"/>
      <x:c r="B1757" s="39"/>
      <x:c r="C1757" s="39"/>
      <x:c r="D1757" s="39"/>
      <x:c r="E1757" s="39"/>
      <x:c r="F1757" s="39"/>
      <x:c r="G1757" s="39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</x:row>
    <x:row r="1758">
      <x:c r="A1758" s="39"/>
      <x:c r="B1758" s="39"/>
      <x:c r="C1758" s="39"/>
      <x:c r="D1758" s="39"/>
      <x:c r="E1758" s="39"/>
      <x:c r="F1758" s="39"/>
      <x:c r="G1758" s="39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</x:row>
    <x:row r="1759">
      <x:c r="A1759" s="39"/>
      <x:c r="B1759" s="39"/>
      <x:c r="C1759" s="39"/>
      <x:c r="D1759" s="39"/>
      <x:c r="E1759" s="39"/>
      <x:c r="F1759" s="39"/>
      <x:c r="G1759" s="39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</x:row>
    <x:row r="1760">
      <x:c r="A1760" s="39"/>
      <x:c r="B1760" s="39"/>
      <x:c r="C1760" s="39"/>
      <x:c r="D1760" s="39"/>
      <x:c r="E1760" s="39"/>
      <x:c r="F1760" s="39"/>
      <x:c r="G1760" s="39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</x:row>
    <x:row r="1761">
      <x:c r="A1761" s="39"/>
      <x:c r="B1761" s="39"/>
      <x:c r="C1761" s="39"/>
      <x:c r="D1761" s="39"/>
      <x:c r="E1761" s="39"/>
      <x:c r="F1761" s="39"/>
      <x:c r="G1761" s="39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</x:row>
    <x:row r="1762">
      <x:c r="A1762" s="39"/>
      <x:c r="B1762" s="39"/>
      <x:c r="C1762" s="39"/>
      <x:c r="D1762" s="39"/>
      <x:c r="E1762" s="39"/>
      <x:c r="F1762" s="39"/>
      <x:c r="G1762" s="39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</x:row>
    <x:row r="1763">
      <x:c r="A1763" s="39"/>
      <x:c r="B1763" s="39"/>
      <x:c r="C1763" s="39"/>
      <x:c r="D1763" s="39"/>
      <x:c r="E1763" s="39"/>
      <x:c r="F1763" s="39"/>
      <x:c r="G1763" s="39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</x:row>
    <x:row r="1764">
      <x:c r="A1764" s="39"/>
      <x:c r="B1764" s="39"/>
      <x:c r="C1764" s="39"/>
      <x:c r="D1764" s="39"/>
      <x:c r="E1764" s="39"/>
      <x:c r="F1764" s="39"/>
      <x:c r="G1764" s="39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</x:row>
    <x:row r="1765">
      <x:c r="A1765" s="39"/>
      <x:c r="B1765" s="39"/>
      <x:c r="C1765" s="39"/>
      <x:c r="D1765" s="39"/>
      <x:c r="E1765" s="39"/>
      <x:c r="F1765" s="39"/>
      <x:c r="G1765" s="39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</x:row>
    <x:row r="1766">
      <x:c r="A1766" s="39"/>
      <x:c r="B1766" s="39"/>
      <x:c r="C1766" s="39"/>
      <x:c r="D1766" s="39"/>
      <x:c r="E1766" s="39"/>
      <x:c r="F1766" s="39"/>
      <x:c r="G1766" s="39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</x:row>
    <x:row r="1767">
      <x:c r="A1767" s="39"/>
      <x:c r="B1767" s="39"/>
      <x:c r="C1767" s="39"/>
      <x:c r="D1767" s="39"/>
      <x:c r="E1767" s="39"/>
      <x:c r="F1767" s="39"/>
      <x:c r="G1767" s="39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</x:row>
    <x:row r="1768">
      <x:c r="A1768" s="39"/>
      <x:c r="B1768" s="39"/>
      <x:c r="C1768" s="39"/>
      <x:c r="D1768" s="39"/>
      <x:c r="E1768" s="39"/>
      <x:c r="F1768" s="39"/>
      <x:c r="G1768" s="39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</x:row>
    <x:row r="1769">
      <x:c r="A1769" s="39"/>
      <x:c r="B1769" s="39"/>
      <x:c r="C1769" s="39"/>
      <x:c r="D1769" s="39"/>
      <x:c r="E1769" s="39"/>
      <x:c r="F1769" s="39"/>
      <x:c r="G1769" s="39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</x:row>
    <x:row r="1770">
      <x:c r="A1770" s="39"/>
      <x:c r="B1770" s="39"/>
      <x:c r="C1770" s="39"/>
      <x:c r="D1770" s="39"/>
      <x:c r="E1770" s="39"/>
      <x:c r="F1770" s="39"/>
      <x:c r="G1770" s="39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</x:row>
    <x:row r="1771">
      <x:c r="A1771" s="39"/>
      <x:c r="B1771" s="39"/>
      <x:c r="C1771" s="39"/>
      <x:c r="D1771" s="39"/>
      <x:c r="E1771" s="39"/>
      <x:c r="F1771" s="39"/>
      <x:c r="G1771" s="39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</x:row>
    <x:row r="1772">
      <x:c r="A1772" s="39"/>
      <x:c r="B1772" s="39"/>
      <x:c r="C1772" s="39"/>
      <x:c r="D1772" s="39"/>
      <x:c r="E1772" s="39"/>
      <x:c r="F1772" s="39"/>
      <x:c r="G1772" s="39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</x:row>
    <x:row r="1773">
      <x:c r="A1773" s="39"/>
      <x:c r="B1773" s="39"/>
      <x:c r="C1773" s="39"/>
      <x:c r="D1773" s="39"/>
      <x:c r="E1773" s="39"/>
      <x:c r="F1773" s="39"/>
      <x:c r="G1773" s="39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</x:row>
    <x:row r="1774">
      <x:c r="A1774" s="39"/>
      <x:c r="B1774" s="39"/>
      <x:c r="C1774" s="39"/>
      <x:c r="D1774" s="39"/>
      <x:c r="E1774" s="39"/>
      <x:c r="F1774" s="39"/>
      <x:c r="G1774" s="39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</x:row>
    <x:row r="1775">
      <x:c r="A1775" s="39"/>
      <x:c r="B1775" s="39"/>
      <x:c r="C1775" s="39"/>
      <x:c r="D1775" s="39"/>
      <x:c r="E1775" s="39"/>
      <x:c r="F1775" s="39"/>
      <x:c r="G1775" s="39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</x:row>
    <x:row r="1776">
      <x:c r="A1776" s="39"/>
      <x:c r="B1776" s="39"/>
      <x:c r="C1776" s="39"/>
      <x:c r="D1776" s="39"/>
      <x:c r="E1776" s="39"/>
      <x:c r="F1776" s="39"/>
      <x:c r="G1776" s="39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</x:row>
    <x:row r="1777">
      <x:c r="A1777" s="39"/>
      <x:c r="B1777" s="39"/>
      <x:c r="C1777" s="39"/>
      <x:c r="D1777" s="39"/>
      <x:c r="E1777" s="39"/>
      <x:c r="F1777" s="39"/>
      <x:c r="G1777" s="39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</x:row>
    <x:row r="1778">
      <x:c r="A1778" s="39"/>
      <x:c r="B1778" s="39"/>
      <x:c r="C1778" s="39"/>
      <x:c r="D1778" s="39"/>
      <x:c r="E1778" s="39"/>
      <x:c r="F1778" s="39"/>
      <x:c r="G1778" s="39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</x:row>
    <x:row r="1779">
      <x:c r="A1779" s="39"/>
      <x:c r="B1779" s="39"/>
      <x:c r="C1779" s="39"/>
      <x:c r="D1779" s="39"/>
      <x:c r="E1779" s="39"/>
      <x:c r="F1779" s="39"/>
      <x:c r="G1779" s="39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</x:row>
    <x:row r="1780">
      <x:c r="A1780" s="39"/>
      <x:c r="B1780" s="39"/>
      <x:c r="C1780" s="39"/>
      <x:c r="D1780" s="39"/>
      <x:c r="E1780" s="39"/>
      <x:c r="F1780" s="39"/>
      <x:c r="G1780" s="39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</x:row>
    <x:row r="1781">
      <x:c r="A1781" s="39"/>
      <x:c r="B1781" s="39"/>
      <x:c r="C1781" s="39"/>
      <x:c r="D1781" s="39"/>
      <x:c r="E1781" s="39"/>
      <x:c r="F1781" s="39"/>
      <x:c r="G1781" s="39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</x:row>
    <x:row r="1782">
      <x:c r="A1782" s="39"/>
      <x:c r="B1782" s="39"/>
      <x:c r="C1782" s="39"/>
      <x:c r="D1782" s="39"/>
      <x:c r="E1782" s="39"/>
      <x:c r="F1782" s="39"/>
      <x:c r="G1782" s="39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</x:row>
    <x:row r="1783">
      <x:c r="A1783" s="39"/>
      <x:c r="B1783" s="39"/>
      <x:c r="C1783" s="39"/>
      <x:c r="D1783" s="39"/>
      <x:c r="E1783" s="39"/>
      <x:c r="F1783" s="39"/>
      <x:c r="G1783" s="39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</x:row>
    <x:row r="1784">
      <x:c r="A1784" s="39"/>
      <x:c r="B1784" s="39"/>
      <x:c r="C1784" s="39"/>
      <x:c r="D1784" s="39"/>
      <x:c r="E1784" s="39"/>
      <x:c r="F1784" s="39"/>
      <x:c r="G1784" s="39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</x:row>
    <x:row r="1785">
      <x:c r="A1785" s="39"/>
      <x:c r="B1785" s="39"/>
      <x:c r="C1785" s="39"/>
      <x:c r="D1785" s="39"/>
      <x:c r="E1785" s="39"/>
      <x:c r="F1785" s="39"/>
      <x:c r="G1785" s="39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</x:row>
    <x:row r="1786">
      <x:c r="A1786" s="39"/>
      <x:c r="B1786" s="39"/>
      <x:c r="C1786" s="39"/>
      <x:c r="D1786" s="39"/>
      <x:c r="E1786" s="39"/>
      <x:c r="F1786" s="39"/>
      <x:c r="G1786" s="39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</x:row>
    <x:row r="1787">
      <x:c r="A1787" s="39"/>
      <x:c r="B1787" s="39"/>
      <x:c r="C1787" s="39"/>
      <x:c r="D1787" s="39"/>
      <x:c r="E1787" s="39"/>
      <x:c r="F1787" s="39"/>
      <x:c r="G1787" s="39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</x:row>
    <x:row r="1788">
      <x:c r="A1788" s="39"/>
      <x:c r="B1788" s="39"/>
      <x:c r="C1788" s="39"/>
      <x:c r="D1788" s="39"/>
      <x:c r="E1788" s="39"/>
      <x:c r="F1788" s="39"/>
      <x:c r="G1788" s="39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</x:row>
    <x:row r="1789">
      <x:c r="A1789" s="39"/>
      <x:c r="B1789" s="39"/>
      <x:c r="C1789" s="39"/>
      <x:c r="D1789" s="39"/>
      <x:c r="E1789" s="39"/>
      <x:c r="F1789" s="39"/>
      <x:c r="G1789" s="39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</x:row>
    <x:row r="1790">
      <x:c r="A1790" s="39"/>
      <x:c r="B1790" s="39"/>
      <x:c r="C1790" s="39"/>
      <x:c r="D1790" s="39"/>
      <x:c r="E1790" s="39"/>
      <x:c r="F1790" s="39"/>
      <x:c r="G1790" s="39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</x:row>
    <x:row r="1791">
      <x:c r="A1791" s="39"/>
      <x:c r="B1791" s="39"/>
      <x:c r="C1791" s="39"/>
      <x:c r="D1791" s="39"/>
      <x:c r="E1791" s="39"/>
      <x:c r="F1791" s="39"/>
      <x:c r="G1791" s="39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</x:row>
    <x:row r="1792">
      <x:c r="A1792" s="39"/>
      <x:c r="B1792" s="39"/>
      <x:c r="C1792" s="39"/>
      <x:c r="D1792" s="39"/>
      <x:c r="E1792" s="39"/>
      <x:c r="F1792" s="39"/>
      <x:c r="G1792" s="39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</x:row>
    <x:row r="1793">
      <x:c r="A1793" s="39"/>
      <x:c r="B1793" s="39"/>
      <x:c r="C1793" s="39"/>
      <x:c r="D1793" s="39"/>
      <x:c r="E1793" s="39"/>
      <x:c r="F1793" s="39"/>
      <x:c r="G1793" s="39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</x:row>
    <x:row r="1794">
      <x:c r="A1794" s="39"/>
      <x:c r="B1794" s="39"/>
      <x:c r="C1794" s="39"/>
      <x:c r="D1794" s="39"/>
      <x:c r="E1794" s="39"/>
      <x:c r="F1794" s="39"/>
      <x:c r="G1794" s="39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</x:row>
    <x:row r="1795">
      <x:c r="A1795" s="39"/>
      <x:c r="B1795" s="39"/>
      <x:c r="C1795" s="39"/>
      <x:c r="D1795" s="39"/>
      <x:c r="E1795" s="39"/>
      <x:c r="F1795" s="39"/>
      <x:c r="G1795" s="39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</x:row>
    <x:row r="1796">
      <x:c r="A1796" s="39"/>
      <x:c r="B1796" s="39"/>
      <x:c r="C1796" s="39"/>
      <x:c r="D1796" s="39"/>
      <x:c r="E1796" s="39"/>
      <x:c r="F1796" s="39"/>
      <x:c r="G1796" s="39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</x:row>
    <x:row r="1797">
      <x:c r="A1797" s="39"/>
      <x:c r="B1797" s="39"/>
      <x:c r="C1797" s="39"/>
      <x:c r="D1797" s="39"/>
      <x:c r="E1797" s="39"/>
      <x:c r="F1797" s="39"/>
      <x:c r="G1797" s="39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</x:row>
    <x:row r="1798">
      <x:c r="A1798" s="39"/>
      <x:c r="B1798" s="39"/>
      <x:c r="C1798" s="39"/>
      <x:c r="D1798" s="39"/>
      <x:c r="E1798" s="39"/>
      <x:c r="F1798" s="39"/>
      <x:c r="G1798" s="39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</x:row>
    <x:row r="1799">
      <x:c r="A1799" s="39"/>
      <x:c r="B1799" s="39"/>
      <x:c r="C1799" s="39"/>
      <x:c r="D1799" s="39"/>
      <x:c r="E1799" s="39"/>
      <x:c r="F1799" s="39"/>
      <x:c r="G1799" s="39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</x:row>
    <x:row r="1800">
      <x:c r="A1800" s="39"/>
      <x:c r="B1800" s="39"/>
      <x:c r="C1800" s="39"/>
      <x:c r="D1800" s="39"/>
      <x:c r="E1800" s="39"/>
      <x:c r="F1800" s="39"/>
      <x:c r="G1800" s="39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</x:row>
    <x:row r="1801">
      <x:c r="A1801" s="39"/>
      <x:c r="B1801" s="39"/>
      <x:c r="C1801" s="39"/>
      <x:c r="D1801" s="39"/>
      <x:c r="E1801" s="39"/>
      <x:c r="F1801" s="39"/>
      <x:c r="G1801" s="39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</x:row>
    <x:row r="1802">
      <x:c r="A1802" s="39"/>
      <x:c r="B1802" s="39"/>
      <x:c r="C1802" s="39"/>
      <x:c r="D1802" s="39"/>
      <x:c r="E1802" s="39"/>
      <x:c r="F1802" s="39"/>
      <x:c r="G1802" s="39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</x:row>
    <x:row r="1803">
      <x:c r="A1803" s="39"/>
      <x:c r="B1803" s="39"/>
      <x:c r="C1803" s="39"/>
      <x:c r="D1803" s="39"/>
      <x:c r="E1803" s="39"/>
      <x:c r="F1803" s="39"/>
      <x:c r="G1803" s="39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</x:row>
    <x:row r="1804">
      <x:c r="A1804" s="39"/>
      <x:c r="B1804" s="39"/>
      <x:c r="C1804" s="39"/>
      <x:c r="D1804" s="39"/>
      <x:c r="E1804" s="39"/>
      <x:c r="F1804" s="39"/>
      <x:c r="G1804" s="39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</x:row>
    <x:row r="1805">
      <x:c r="A1805" s="39"/>
      <x:c r="B1805" s="39"/>
      <x:c r="C1805" s="39"/>
      <x:c r="D1805" s="39"/>
      <x:c r="E1805" s="39"/>
      <x:c r="F1805" s="39"/>
      <x:c r="G1805" s="39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</x:row>
    <x:row r="1806">
      <x:c r="A1806" s="39"/>
      <x:c r="B1806" s="39"/>
      <x:c r="C1806" s="39"/>
      <x:c r="D1806" s="39"/>
      <x:c r="E1806" s="39"/>
      <x:c r="F1806" s="39"/>
      <x:c r="G1806" s="39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</x:row>
    <x:row r="1807">
      <x:c r="A1807" s="39"/>
      <x:c r="B1807" s="39"/>
      <x:c r="C1807" s="39"/>
      <x:c r="D1807" s="39"/>
      <x:c r="E1807" s="39"/>
      <x:c r="F1807" s="39"/>
      <x:c r="G1807" s="39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</x:row>
    <x:row r="1808">
      <x:c r="A1808" s="39"/>
      <x:c r="B1808" s="39"/>
      <x:c r="C1808" s="39"/>
      <x:c r="D1808" s="39"/>
      <x:c r="E1808" s="39"/>
      <x:c r="F1808" s="39"/>
      <x:c r="G1808" s="39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</x:row>
    <x:row r="1809">
      <x:c r="A1809" s="39"/>
      <x:c r="B1809" s="39"/>
      <x:c r="C1809" s="39"/>
      <x:c r="D1809" s="39"/>
      <x:c r="E1809" s="39"/>
      <x:c r="F1809" s="39"/>
      <x:c r="G1809" s="39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</x:row>
    <x:row r="1810">
      <x:c r="A1810" s="39"/>
      <x:c r="B1810" s="39"/>
      <x:c r="C1810" s="39"/>
      <x:c r="D1810" s="39"/>
      <x:c r="E1810" s="39"/>
      <x:c r="F1810" s="39"/>
      <x:c r="G1810" s="39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</x:row>
    <x:row r="1811">
      <x:c r="A1811" s="39"/>
      <x:c r="B1811" s="39"/>
      <x:c r="C1811" s="39"/>
      <x:c r="D1811" s="39"/>
      <x:c r="E1811" s="39"/>
      <x:c r="F1811" s="39"/>
      <x:c r="G1811" s="39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</x:row>
    <x:row r="1812">
      <x:c r="A1812" s="39"/>
      <x:c r="B1812" s="39"/>
      <x:c r="C1812" s="39"/>
      <x:c r="D1812" s="39"/>
      <x:c r="E1812" s="39"/>
      <x:c r="F1812" s="39"/>
      <x:c r="G1812" s="39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</x:row>
    <x:row r="1813">
      <x:c r="A1813" s="39"/>
      <x:c r="B1813" s="39"/>
      <x:c r="C1813" s="39"/>
      <x:c r="D1813" s="39"/>
      <x:c r="E1813" s="39"/>
      <x:c r="F1813" s="39"/>
      <x:c r="G1813" s="39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</x:row>
    <x:row r="1814">
      <x:c r="A1814" s="39"/>
      <x:c r="B1814" s="39"/>
      <x:c r="C1814" s="39"/>
      <x:c r="D1814" s="39"/>
      <x:c r="E1814" s="39"/>
      <x:c r="F1814" s="39"/>
      <x:c r="G1814" s="39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</x:row>
    <x:row r="1815">
      <x:c r="A1815" s="39"/>
      <x:c r="B1815" s="39"/>
      <x:c r="C1815" s="39"/>
      <x:c r="D1815" s="39"/>
      <x:c r="E1815" s="39"/>
      <x:c r="F1815" s="39"/>
      <x:c r="G1815" s="39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</x:row>
    <x:row r="1816">
      <x:c r="A1816" s="39"/>
      <x:c r="B1816" s="39"/>
      <x:c r="C1816" s="39"/>
      <x:c r="D1816" s="39"/>
      <x:c r="E1816" s="39"/>
      <x:c r="F1816" s="39"/>
      <x:c r="G1816" s="39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</x:row>
    <x:row r="1817">
      <x:c r="A1817" s="39"/>
      <x:c r="B1817" s="39"/>
      <x:c r="C1817" s="39"/>
      <x:c r="D1817" s="39"/>
      <x:c r="E1817" s="39"/>
      <x:c r="F1817" s="39"/>
      <x:c r="G1817" s="39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</x:row>
    <x:row r="1818">
      <x:c r="A1818" s="39"/>
      <x:c r="B1818" s="39"/>
      <x:c r="C1818" s="39"/>
      <x:c r="D1818" s="39"/>
      <x:c r="E1818" s="39"/>
      <x:c r="F1818" s="39"/>
      <x:c r="G1818" s="39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</x:row>
    <x:row r="1819">
      <x:c r="A1819" s="39"/>
      <x:c r="B1819" s="39"/>
      <x:c r="C1819" s="39"/>
      <x:c r="D1819" s="39"/>
      <x:c r="E1819" s="39"/>
      <x:c r="F1819" s="39"/>
      <x:c r="G1819" s="39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</x:row>
    <x:row r="1820">
      <x:c r="A1820" s="39"/>
      <x:c r="B1820" s="39"/>
      <x:c r="C1820" s="39"/>
      <x:c r="D1820" s="39"/>
      <x:c r="E1820" s="39"/>
      <x:c r="F1820" s="39"/>
      <x:c r="G1820" s="39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</x:row>
    <x:row r="1821">
      <x:c r="A1821" s="39"/>
      <x:c r="B1821" s="39"/>
      <x:c r="C1821" s="39"/>
      <x:c r="D1821" s="39"/>
      <x:c r="E1821" s="39"/>
      <x:c r="F1821" s="39"/>
      <x:c r="G1821" s="39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</x:row>
    <x:row r="1822">
      <x:c r="A1822" s="39"/>
      <x:c r="B1822" s="39"/>
      <x:c r="C1822" s="39"/>
      <x:c r="D1822" s="39"/>
      <x:c r="E1822" s="39"/>
      <x:c r="F1822" s="39"/>
      <x:c r="G1822" s="39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</x:row>
    <x:row r="1823">
      <x:c r="A1823" s="39"/>
      <x:c r="B1823" s="39"/>
      <x:c r="C1823" s="39"/>
      <x:c r="D1823" s="39"/>
      <x:c r="E1823" s="39"/>
      <x:c r="F1823" s="39"/>
      <x:c r="G1823" s="39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</x:row>
    <x:row r="1824">
      <x:c r="A1824" s="39"/>
      <x:c r="B1824" s="39"/>
      <x:c r="C1824" s="39"/>
      <x:c r="D1824" s="39"/>
      <x:c r="E1824" s="39"/>
      <x:c r="F1824" s="39"/>
      <x:c r="G1824" s="39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</x:row>
    <x:row r="1825">
      <x:c r="A1825" s="39"/>
      <x:c r="B1825" s="39"/>
      <x:c r="C1825" s="39"/>
      <x:c r="D1825" s="39"/>
      <x:c r="E1825" s="39"/>
      <x:c r="F1825" s="39"/>
      <x:c r="G1825" s="39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</x:row>
    <x:row r="1826">
      <x:c r="A1826" s="39"/>
      <x:c r="B1826" s="39"/>
      <x:c r="C1826" s="39"/>
      <x:c r="D1826" s="39"/>
      <x:c r="E1826" s="39"/>
      <x:c r="F1826" s="39"/>
      <x:c r="G1826" s="39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</x:row>
    <x:row r="1827">
      <x:c r="A1827" s="39"/>
      <x:c r="B1827" s="39"/>
      <x:c r="C1827" s="39"/>
      <x:c r="D1827" s="39"/>
      <x:c r="E1827" s="39"/>
      <x:c r="F1827" s="39"/>
      <x:c r="G1827" s="39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</x:row>
    <x:row r="1828">
      <x:c r="A1828" s="39"/>
      <x:c r="B1828" s="39"/>
      <x:c r="C1828" s="39"/>
      <x:c r="D1828" s="39"/>
      <x:c r="E1828" s="39"/>
      <x:c r="F1828" s="39"/>
      <x:c r="G1828" s="39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</x:row>
    <x:row r="1829">
      <x:c r="A1829" s="39"/>
      <x:c r="B1829" s="39"/>
      <x:c r="C1829" s="39"/>
      <x:c r="D1829" s="39"/>
      <x:c r="E1829" s="39"/>
      <x:c r="F1829" s="39"/>
      <x:c r="G1829" s="39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</x:row>
    <x:row r="1830">
      <x:c r="A1830" s="39"/>
      <x:c r="B1830" s="39"/>
      <x:c r="C1830" s="39"/>
      <x:c r="D1830" s="39"/>
      <x:c r="E1830" s="39"/>
      <x:c r="F1830" s="39"/>
      <x:c r="G1830" s="39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</x:row>
    <x:row r="1831">
      <x:c r="A1831" s="39"/>
      <x:c r="B1831" s="39"/>
      <x:c r="C1831" s="39"/>
      <x:c r="D1831" s="39"/>
      <x:c r="E1831" s="39"/>
      <x:c r="F1831" s="39"/>
      <x:c r="G1831" s="39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</x:row>
    <x:row r="1832">
      <x:c r="A1832" s="39"/>
      <x:c r="B1832" s="39"/>
      <x:c r="C1832" s="39"/>
      <x:c r="D1832" s="39"/>
      <x:c r="E1832" s="39"/>
      <x:c r="F1832" s="39"/>
      <x:c r="G1832" s="39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</x:row>
    <x:row r="1833">
      <x:c r="A1833" s="39"/>
      <x:c r="B1833" s="39"/>
      <x:c r="C1833" s="39"/>
      <x:c r="D1833" s="39"/>
      <x:c r="E1833" s="39"/>
      <x:c r="F1833" s="39"/>
      <x:c r="G1833" s="39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</x:row>
    <x:row r="1834">
      <x:c r="A1834" s="39"/>
      <x:c r="B1834" s="39"/>
      <x:c r="C1834" s="39"/>
      <x:c r="D1834" s="39"/>
      <x:c r="E1834" s="39"/>
      <x:c r="F1834" s="39"/>
      <x:c r="G1834" s="39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</x:row>
    <x:row r="1835">
      <x:c r="A1835" s="39"/>
      <x:c r="B1835" s="39"/>
      <x:c r="C1835" s="39"/>
      <x:c r="D1835" s="39"/>
      <x:c r="E1835" s="39"/>
      <x:c r="F1835" s="39"/>
      <x:c r="G1835" s="39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</x:row>
    <x:row r="1836">
      <x:c r="A1836" s="39"/>
      <x:c r="B1836" s="39"/>
      <x:c r="C1836" s="39"/>
      <x:c r="D1836" s="39"/>
      <x:c r="E1836" s="39"/>
      <x:c r="F1836" s="39"/>
      <x:c r="G1836" s="39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</x:row>
    <x:row r="1837">
      <x:c r="A1837" s="39"/>
      <x:c r="B1837" s="39"/>
      <x:c r="C1837" s="39"/>
      <x:c r="D1837" s="39"/>
      <x:c r="E1837" s="39"/>
      <x:c r="F1837" s="39"/>
      <x:c r="G1837" s="39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</x:row>
    <x:row r="1838">
      <x:c r="A1838" s="39"/>
      <x:c r="B1838" s="39"/>
      <x:c r="C1838" s="39"/>
      <x:c r="D1838" s="39"/>
      <x:c r="E1838" s="39"/>
      <x:c r="F1838" s="39"/>
      <x:c r="G1838" s="39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</x:row>
    <x:row r="1839">
      <x:c r="A1839" s="39"/>
      <x:c r="B1839" s="39"/>
      <x:c r="C1839" s="39"/>
      <x:c r="D1839" s="39"/>
      <x:c r="E1839" s="39"/>
      <x:c r="F1839" s="39"/>
      <x:c r="G1839" s="39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</x:row>
    <x:row r="1840">
      <x:c r="A1840" s="39"/>
      <x:c r="B1840" s="39"/>
      <x:c r="C1840" s="39"/>
      <x:c r="D1840" s="39"/>
      <x:c r="E1840" s="39"/>
      <x:c r="F1840" s="39"/>
      <x:c r="G1840" s="39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</x:row>
    <x:row r="1841">
      <x:c r="A1841" s="39"/>
      <x:c r="B1841" s="39"/>
      <x:c r="C1841" s="39"/>
      <x:c r="D1841" s="39"/>
      <x:c r="E1841" s="39"/>
      <x:c r="F1841" s="39"/>
      <x:c r="G1841" s="39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</x:row>
    <x:row r="1842">
      <x:c r="A1842" s="39"/>
      <x:c r="B1842" s="39"/>
      <x:c r="C1842" s="39"/>
      <x:c r="D1842" s="39"/>
      <x:c r="E1842" s="39"/>
      <x:c r="F1842" s="39"/>
      <x:c r="G1842" s="39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</x:row>
    <x:row r="1843">
      <x:c r="A1843" s="39"/>
      <x:c r="B1843" s="39"/>
      <x:c r="C1843" s="39"/>
      <x:c r="D1843" s="39"/>
      <x:c r="E1843" s="39"/>
      <x:c r="F1843" s="39"/>
      <x:c r="G1843" s="39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</x:row>
    <x:row r="1844">
      <x:c r="A1844" s="39"/>
      <x:c r="B1844" s="39"/>
      <x:c r="C1844" s="39"/>
      <x:c r="D1844" s="39"/>
      <x:c r="E1844" s="39"/>
      <x:c r="F1844" s="39"/>
      <x:c r="G1844" s="39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</x:row>
    <x:row r="1845">
      <x:c r="A1845" s="39"/>
      <x:c r="B1845" s="39"/>
      <x:c r="C1845" s="39"/>
      <x:c r="D1845" s="39"/>
      <x:c r="E1845" s="39"/>
      <x:c r="F1845" s="39"/>
      <x:c r="G1845" s="39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</x:row>
    <x:row r="1846">
      <x:c r="A1846" s="39"/>
      <x:c r="B1846" s="39"/>
      <x:c r="C1846" s="39"/>
      <x:c r="D1846" s="39"/>
      <x:c r="E1846" s="39"/>
      <x:c r="F1846" s="39"/>
      <x:c r="G1846" s="39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</x:row>
    <x:row r="1847">
      <x:c r="A1847" s="39"/>
      <x:c r="B1847" s="39"/>
      <x:c r="C1847" s="39"/>
      <x:c r="D1847" s="39"/>
      <x:c r="E1847" s="39"/>
      <x:c r="F1847" s="39"/>
      <x:c r="G1847" s="39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</x:row>
    <x:row r="1848">
      <x:c r="A1848" s="39"/>
      <x:c r="B1848" s="39"/>
      <x:c r="C1848" s="39"/>
      <x:c r="D1848" s="39"/>
      <x:c r="E1848" s="39"/>
      <x:c r="F1848" s="39"/>
      <x:c r="G1848" s="39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</x:row>
    <x:row r="1849">
      <x:c r="A1849" s="39"/>
      <x:c r="B1849" s="39"/>
      <x:c r="C1849" s="39"/>
      <x:c r="D1849" s="39"/>
      <x:c r="E1849" s="39"/>
      <x:c r="F1849" s="39"/>
      <x:c r="G1849" s="39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</x:row>
    <x:row r="1850">
      <x:c r="A1850" s="39"/>
      <x:c r="B1850" s="39"/>
      <x:c r="C1850" s="39"/>
      <x:c r="D1850" s="39"/>
      <x:c r="E1850" s="39"/>
      <x:c r="F1850" s="39"/>
      <x:c r="G1850" s="39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</x:row>
    <x:row r="1851">
      <x:c r="A1851" s="39"/>
      <x:c r="B1851" s="39"/>
      <x:c r="C1851" s="39"/>
      <x:c r="D1851" s="39"/>
      <x:c r="E1851" s="39"/>
      <x:c r="F1851" s="39"/>
      <x:c r="G1851" s="39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</x:row>
    <x:row r="1852">
      <x:c r="A1852" s="39"/>
      <x:c r="B1852" s="39"/>
      <x:c r="C1852" s="39"/>
      <x:c r="D1852" s="39"/>
      <x:c r="E1852" s="39"/>
      <x:c r="F1852" s="39"/>
      <x:c r="G1852" s="39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</x:row>
    <x:row r="1853">
      <x:c r="A1853" s="39"/>
      <x:c r="B1853" s="39"/>
      <x:c r="C1853" s="39"/>
      <x:c r="D1853" s="39"/>
      <x:c r="E1853" s="39"/>
      <x:c r="F1853" s="39"/>
      <x:c r="G1853" s="39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</x:row>
    <x:row r="1854">
      <x:c r="A1854" s="39"/>
      <x:c r="B1854" s="39"/>
      <x:c r="C1854" s="39"/>
      <x:c r="D1854" s="39"/>
      <x:c r="E1854" s="39"/>
      <x:c r="F1854" s="39"/>
      <x:c r="G1854" s="39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</x:row>
    <x:row r="1855">
      <x:c r="A1855" s="39"/>
      <x:c r="B1855" s="39"/>
      <x:c r="C1855" s="39"/>
      <x:c r="D1855" s="39"/>
      <x:c r="E1855" s="39"/>
      <x:c r="F1855" s="39"/>
      <x:c r="G1855" s="39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</x:row>
    <x:row r="1856">
      <x:c r="A1856" s="39"/>
      <x:c r="B1856" s="39"/>
      <x:c r="C1856" s="39"/>
      <x:c r="D1856" s="39"/>
      <x:c r="E1856" s="39"/>
      <x:c r="F1856" s="39"/>
      <x:c r="G1856" s="39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</x:row>
    <x:row r="1857">
      <x:c r="A1857" s="39"/>
      <x:c r="B1857" s="39"/>
      <x:c r="C1857" s="39"/>
      <x:c r="D1857" s="39"/>
      <x:c r="E1857" s="39"/>
      <x:c r="F1857" s="39"/>
      <x:c r="G1857" s="39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</x:row>
    <x:row r="1858">
      <x:c r="A1858" s="39"/>
      <x:c r="B1858" s="39"/>
      <x:c r="C1858" s="39"/>
      <x:c r="D1858" s="39"/>
      <x:c r="E1858" s="39"/>
      <x:c r="F1858" s="39"/>
      <x:c r="G1858" s="39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</x:row>
    <x:row r="1859">
      <x:c r="A1859" s="39"/>
      <x:c r="B1859" s="39"/>
      <x:c r="C1859" s="39"/>
      <x:c r="D1859" s="39"/>
      <x:c r="E1859" s="39"/>
      <x:c r="F1859" s="39"/>
      <x:c r="G1859" s="39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</x:row>
    <x:row r="1860">
      <x:c r="A1860" s="39"/>
      <x:c r="B1860" s="39"/>
      <x:c r="C1860" s="39"/>
      <x:c r="D1860" s="39"/>
      <x:c r="E1860" s="39"/>
      <x:c r="F1860" s="39"/>
      <x:c r="G1860" s="39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</x:row>
    <x:row r="1861">
      <x:c r="A1861" s="39"/>
      <x:c r="B1861" s="39"/>
      <x:c r="C1861" s="39"/>
      <x:c r="D1861" s="39"/>
      <x:c r="E1861" s="39"/>
      <x:c r="F1861" s="39"/>
      <x:c r="G1861" s="39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</x:row>
    <x:row r="1862">
      <x:c r="A1862" s="39"/>
      <x:c r="B1862" s="39"/>
      <x:c r="C1862" s="39"/>
      <x:c r="D1862" s="39"/>
      <x:c r="E1862" s="39"/>
      <x:c r="F1862" s="39"/>
      <x:c r="G1862" s="39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</x:row>
    <x:row r="1863">
      <x:c r="A1863" s="39"/>
      <x:c r="B1863" s="39"/>
      <x:c r="C1863" s="39"/>
      <x:c r="D1863" s="39"/>
      <x:c r="E1863" s="39"/>
      <x:c r="F1863" s="39"/>
      <x:c r="G1863" s="39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</x:row>
    <x:row r="1864">
      <x:c r="A1864" s="39"/>
      <x:c r="B1864" s="39"/>
      <x:c r="C1864" s="39"/>
      <x:c r="D1864" s="39"/>
      <x:c r="E1864" s="39"/>
      <x:c r="F1864" s="39"/>
      <x:c r="G1864" s="39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</x:row>
    <x:row r="1865">
      <x:c r="A1865" s="39"/>
      <x:c r="B1865" s="39"/>
      <x:c r="C1865" s="39"/>
      <x:c r="D1865" s="39"/>
      <x:c r="E1865" s="39"/>
      <x:c r="F1865" s="39"/>
      <x:c r="G1865" s="39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</x:row>
    <x:row r="1866">
      <x:c r="A1866" s="39"/>
      <x:c r="B1866" s="39"/>
      <x:c r="C1866" s="39"/>
      <x:c r="D1866" s="39"/>
      <x:c r="E1866" s="39"/>
      <x:c r="F1866" s="39"/>
      <x:c r="G1866" s="39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</x:row>
    <x:row r="1867">
      <x:c r="A1867" s="39"/>
      <x:c r="B1867" s="39"/>
      <x:c r="C1867" s="39"/>
      <x:c r="D1867" s="39"/>
      <x:c r="E1867" s="39"/>
      <x:c r="F1867" s="39"/>
      <x:c r="G1867" s="39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</x:row>
    <x:row r="1868">
      <x:c r="A1868" s="39"/>
      <x:c r="B1868" s="39"/>
      <x:c r="C1868" s="39"/>
      <x:c r="D1868" s="39"/>
      <x:c r="E1868" s="39"/>
      <x:c r="F1868" s="39"/>
      <x:c r="G1868" s="39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</x:row>
    <x:row r="1869">
      <x:c r="A1869" s="39"/>
      <x:c r="B1869" s="39"/>
      <x:c r="C1869" s="39"/>
      <x:c r="D1869" s="39"/>
      <x:c r="E1869" s="39"/>
      <x:c r="F1869" s="39"/>
      <x:c r="G1869" s="39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</x:row>
    <x:row r="1870">
      <x:c r="A1870" s="39"/>
      <x:c r="B1870" s="39"/>
      <x:c r="C1870" s="39"/>
      <x:c r="D1870" s="39"/>
      <x:c r="E1870" s="39"/>
      <x:c r="F1870" s="39"/>
      <x:c r="G1870" s="39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</x:row>
    <x:row r="1871">
      <x:c r="A1871" s="39"/>
      <x:c r="B1871" s="39"/>
      <x:c r="C1871" s="39"/>
      <x:c r="D1871" s="39"/>
      <x:c r="E1871" s="39"/>
      <x:c r="F1871" s="39"/>
      <x:c r="G1871" s="39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</x:row>
    <x:row r="1872">
      <x:c r="A1872" s="39"/>
      <x:c r="B1872" s="39"/>
      <x:c r="C1872" s="39"/>
      <x:c r="D1872" s="39"/>
      <x:c r="E1872" s="39"/>
      <x:c r="F1872" s="39"/>
      <x:c r="G1872" s="39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</x:row>
    <x:row r="1873">
      <x:c r="A1873" s="39"/>
      <x:c r="B1873" s="39"/>
      <x:c r="C1873" s="39"/>
      <x:c r="D1873" s="39"/>
      <x:c r="E1873" s="39"/>
      <x:c r="F1873" s="39"/>
      <x:c r="G1873" s="39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</x:row>
    <x:row r="1874">
      <x:c r="A1874" s="39"/>
      <x:c r="B1874" s="39"/>
      <x:c r="C1874" s="39"/>
      <x:c r="D1874" s="39"/>
      <x:c r="E1874" s="39"/>
      <x:c r="F1874" s="39"/>
      <x:c r="G1874" s="39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</x:row>
    <x:row r="1875">
      <x:c r="A1875" s="39"/>
      <x:c r="B1875" s="39"/>
      <x:c r="C1875" s="39"/>
      <x:c r="D1875" s="39"/>
      <x:c r="E1875" s="39"/>
      <x:c r="F1875" s="39"/>
      <x:c r="G1875" s="39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</x:row>
    <x:row r="1876">
      <x:c r="A1876" s="39"/>
      <x:c r="B1876" s="39"/>
      <x:c r="C1876" s="39"/>
      <x:c r="D1876" s="39"/>
      <x:c r="E1876" s="39"/>
      <x:c r="F1876" s="39"/>
      <x:c r="G1876" s="39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</x:row>
    <x:row r="1877">
      <x:c r="A1877" s="39"/>
      <x:c r="B1877" s="39"/>
      <x:c r="C1877" s="39"/>
      <x:c r="D1877" s="39"/>
      <x:c r="E1877" s="39"/>
      <x:c r="F1877" s="39"/>
      <x:c r="G1877" s="39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</x:row>
    <x:row r="1878">
      <x:c r="A1878" s="39"/>
      <x:c r="B1878" s="39"/>
      <x:c r="C1878" s="39"/>
      <x:c r="D1878" s="39"/>
      <x:c r="E1878" s="39"/>
      <x:c r="F1878" s="39"/>
      <x:c r="G1878" s="39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</x:row>
    <x:row r="1879">
      <x:c r="A1879" s="39"/>
      <x:c r="B1879" s="39"/>
      <x:c r="C1879" s="39"/>
      <x:c r="D1879" s="39"/>
      <x:c r="E1879" s="39"/>
      <x:c r="F1879" s="39"/>
      <x:c r="G1879" s="39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</x:row>
    <x:row r="1880">
      <x:c r="A1880" s="39"/>
      <x:c r="B1880" s="39"/>
      <x:c r="C1880" s="39"/>
      <x:c r="D1880" s="39"/>
      <x:c r="E1880" s="39"/>
      <x:c r="F1880" s="39"/>
      <x:c r="G1880" s="39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</x:row>
    <x:row r="1881">
      <x:c r="A1881" s="39"/>
      <x:c r="B1881" s="39"/>
      <x:c r="C1881" s="39"/>
      <x:c r="D1881" s="39"/>
      <x:c r="E1881" s="39"/>
      <x:c r="F1881" s="39"/>
      <x:c r="G1881" s="39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</x:row>
    <x:row r="1882">
      <x:c r="A1882" s="39"/>
      <x:c r="B1882" s="39"/>
      <x:c r="C1882" s="39"/>
      <x:c r="D1882" s="39"/>
      <x:c r="E1882" s="39"/>
      <x:c r="F1882" s="39"/>
      <x:c r="G1882" s="39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</x:row>
    <x:row r="1883">
      <x:c r="A1883" s="39"/>
      <x:c r="B1883" s="39"/>
      <x:c r="C1883" s="39"/>
      <x:c r="D1883" s="39"/>
      <x:c r="E1883" s="39"/>
      <x:c r="F1883" s="39"/>
      <x:c r="G1883" s="39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</x:row>
    <x:row r="1884">
      <x:c r="A1884" s="39"/>
      <x:c r="B1884" s="39"/>
      <x:c r="C1884" s="39"/>
      <x:c r="D1884" s="39"/>
      <x:c r="E1884" s="39"/>
      <x:c r="F1884" s="39"/>
      <x:c r="G1884" s="39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</x:row>
    <x:row r="1885">
      <x:c r="A1885" s="39"/>
      <x:c r="B1885" s="39"/>
      <x:c r="C1885" s="39"/>
      <x:c r="D1885" s="39"/>
      <x:c r="E1885" s="39"/>
      <x:c r="F1885" s="39"/>
      <x:c r="G1885" s="39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</x:row>
    <x:row r="1886">
      <x:c r="A1886" s="39"/>
      <x:c r="B1886" s="39"/>
      <x:c r="C1886" s="39"/>
      <x:c r="D1886" s="39"/>
      <x:c r="E1886" s="39"/>
      <x:c r="F1886" s="39"/>
      <x:c r="G1886" s="39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</x:row>
    <x:row r="1887">
      <x:c r="A1887" s="39"/>
      <x:c r="B1887" s="39"/>
      <x:c r="C1887" s="39"/>
      <x:c r="D1887" s="39"/>
      <x:c r="E1887" s="39"/>
      <x:c r="F1887" s="39"/>
      <x:c r="G1887" s="39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</x:row>
    <x:row r="1888">
      <x:c r="A1888" s="39"/>
      <x:c r="B1888" s="39"/>
      <x:c r="C1888" s="39"/>
      <x:c r="D1888" s="39"/>
      <x:c r="E1888" s="39"/>
      <x:c r="F1888" s="39"/>
      <x:c r="G1888" s="39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</x:row>
    <x:row r="1889">
      <x:c r="A1889" s="39"/>
      <x:c r="B1889" s="39"/>
      <x:c r="C1889" s="39"/>
      <x:c r="D1889" s="39"/>
      <x:c r="E1889" s="39"/>
      <x:c r="F1889" s="39"/>
      <x:c r="G1889" s="39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</x:row>
    <x:row r="1890">
      <x:c r="A1890" s="39"/>
      <x:c r="B1890" s="39"/>
      <x:c r="C1890" s="39"/>
      <x:c r="D1890" s="39"/>
      <x:c r="E1890" s="39"/>
      <x:c r="F1890" s="39"/>
      <x:c r="G1890" s="39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</x:row>
    <x:row r="1891">
      <x:c r="A1891" s="39"/>
      <x:c r="B1891" s="39"/>
      <x:c r="C1891" s="39"/>
      <x:c r="D1891" s="39"/>
      <x:c r="E1891" s="39"/>
      <x:c r="F1891" s="39"/>
      <x:c r="G1891" s="39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</x:row>
    <x:row r="1892">
      <x:c r="A1892" s="39"/>
      <x:c r="B1892" s="39"/>
      <x:c r="C1892" s="39"/>
      <x:c r="D1892" s="39"/>
      <x:c r="E1892" s="39"/>
      <x:c r="F1892" s="39"/>
      <x:c r="G1892" s="39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</x:row>
    <x:row r="1893">
      <x:c r="A1893" s="39"/>
      <x:c r="B1893" s="39"/>
      <x:c r="C1893" s="39"/>
      <x:c r="D1893" s="39"/>
      <x:c r="E1893" s="39"/>
      <x:c r="F1893" s="39"/>
      <x:c r="G1893" s="39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</x:row>
    <x:row r="1894">
      <x:c r="A1894" s="39"/>
      <x:c r="B1894" s="39"/>
      <x:c r="C1894" s="39"/>
      <x:c r="D1894" s="39"/>
      <x:c r="E1894" s="39"/>
      <x:c r="F1894" s="39"/>
      <x:c r="G1894" s="39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</x:row>
    <x:row r="1895">
      <x:c r="A1895" s="39"/>
      <x:c r="B1895" s="39"/>
      <x:c r="C1895" s="39"/>
      <x:c r="D1895" s="39"/>
      <x:c r="E1895" s="39"/>
      <x:c r="F1895" s="39"/>
      <x:c r="G1895" s="39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</x:row>
    <x:row r="1896">
      <x:c r="A1896" s="39"/>
      <x:c r="B1896" s="39"/>
      <x:c r="C1896" s="39"/>
      <x:c r="D1896" s="39"/>
      <x:c r="E1896" s="39"/>
      <x:c r="F1896" s="39"/>
      <x:c r="G1896" s="39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</x:row>
    <x:row r="1897">
      <x:c r="A1897" s="39"/>
      <x:c r="B1897" s="39"/>
      <x:c r="C1897" s="39"/>
      <x:c r="D1897" s="39"/>
      <x:c r="E1897" s="39"/>
      <x:c r="F1897" s="39"/>
      <x:c r="G1897" s="39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</x:row>
    <x:row r="1898">
      <x:c r="A1898" s="39"/>
      <x:c r="B1898" s="39"/>
      <x:c r="C1898" s="39"/>
      <x:c r="D1898" s="39"/>
      <x:c r="E1898" s="39"/>
      <x:c r="F1898" s="39"/>
      <x:c r="G1898" s="39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</x:row>
    <x:row r="1899">
      <x:c r="A1899" s="39"/>
      <x:c r="B1899" s="39"/>
      <x:c r="C1899" s="39"/>
      <x:c r="D1899" s="39"/>
      <x:c r="E1899" s="39"/>
      <x:c r="F1899" s="39"/>
      <x:c r="G1899" s="39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</x:row>
    <x:row r="1900">
      <x:c r="A1900" s="39"/>
      <x:c r="B1900" s="39"/>
      <x:c r="C1900" s="39"/>
      <x:c r="D1900" s="39"/>
      <x:c r="E1900" s="39"/>
      <x:c r="F1900" s="39"/>
      <x:c r="G1900" s="39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</x:row>
    <x:row r="1901">
      <x:c r="A1901" s="39"/>
      <x:c r="B1901" s="39"/>
      <x:c r="C1901" s="39"/>
      <x:c r="D1901" s="39"/>
      <x:c r="E1901" s="39"/>
      <x:c r="F1901" s="39"/>
      <x:c r="G1901" s="39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</x:row>
    <x:row r="1902">
      <x:c r="A1902" s="39"/>
      <x:c r="B1902" s="39"/>
      <x:c r="C1902" s="39"/>
      <x:c r="D1902" s="39"/>
      <x:c r="E1902" s="39"/>
      <x:c r="F1902" s="39"/>
      <x:c r="G1902" s="39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</x:row>
    <x:row r="1903">
      <x:c r="A1903" s="39"/>
      <x:c r="B1903" s="39"/>
      <x:c r="C1903" s="39"/>
      <x:c r="D1903" s="39"/>
      <x:c r="E1903" s="39"/>
      <x:c r="F1903" s="39"/>
      <x:c r="G1903" s="39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</x:row>
    <x:row r="1904">
      <x:c r="A1904" s="39"/>
      <x:c r="B1904" s="39"/>
      <x:c r="C1904" s="39"/>
      <x:c r="D1904" s="39"/>
      <x:c r="E1904" s="39"/>
      <x:c r="F1904" s="39"/>
      <x:c r="G1904" s="39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</x:row>
    <x:row r="1905">
      <x:c r="A1905" s="39"/>
      <x:c r="B1905" s="39"/>
      <x:c r="C1905" s="39"/>
      <x:c r="D1905" s="39"/>
      <x:c r="E1905" s="39"/>
      <x:c r="F1905" s="39"/>
      <x:c r="G1905" s="39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</x:row>
    <x:row r="1906">
      <x:c r="A1906" s="39"/>
      <x:c r="B1906" s="39"/>
      <x:c r="C1906" s="39"/>
      <x:c r="D1906" s="39"/>
      <x:c r="E1906" s="39"/>
      <x:c r="F1906" s="39"/>
      <x:c r="G1906" s="39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</x:row>
    <x:row r="1907">
      <x:c r="A1907" s="39"/>
      <x:c r="B1907" s="39"/>
      <x:c r="C1907" s="39"/>
      <x:c r="D1907" s="39"/>
      <x:c r="E1907" s="39"/>
      <x:c r="F1907" s="39"/>
      <x:c r="G1907" s="39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</x:row>
    <x:row r="1908">
      <x:c r="A1908" s="39"/>
      <x:c r="B1908" s="39"/>
      <x:c r="C1908" s="39"/>
      <x:c r="D1908" s="39"/>
      <x:c r="E1908" s="39"/>
      <x:c r="F1908" s="39"/>
      <x:c r="G1908" s="39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</x:row>
    <x:row r="1909">
      <x:c r="A1909" s="39"/>
      <x:c r="B1909" s="39"/>
      <x:c r="C1909" s="39"/>
      <x:c r="D1909" s="39"/>
      <x:c r="E1909" s="39"/>
      <x:c r="F1909" s="39"/>
      <x:c r="G1909" s="39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</x:row>
    <x:row r="1910">
      <x:c r="A1910" s="39"/>
      <x:c r="B1910" s="39"/>
      <x:c r="C1910" s="39"/>
      <x:c r="D1910" s="39"/>
      <x:c r="E1910" s="39"/>
      <x:c r="F1910" s="39"/>
      <x:c r="G1910" s="39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</x:row>
    <x:row r="1911">
      <x:c r="A1911" s="39"/>
      <x:c r="B1911" s="39"/>
      <x:c r="C1911" s="39"/>
      <x:c r="D1911" s="39"/>
      <x:c r="E1911" s="39"/>
      <x:c r="F1911" s="39"/>
      <x:c r="G1911" s="39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</x:row>
    <x:row r="1912">
      <x:c r="A1912" s="39"/>
      <x:c r="B1912" s="39"/>
      <x:c r="C1912" s="39"/>
      <x:c r="D1912" s="39"/>
      <x:c r="E1912" s="39"/>
      <x:c r="F1912" s="39"/>
      <x:c r="G1912" s="39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</x:row>
    <x:row r="1913">
      <x:c r="A1913" s="39"/>
      <x:c r="B1913" s="39"/>
      <x:c r="C1913" s="39"/>
      <x:c r="D1913" s="39"/>
      <x:c r="E1913" s="39"/>
      <x:c r="F1913" s="39"/>
      <x:c r="G1913" s="39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</x:row>
    <x:row r="1914">
      <x:c r="A1914" s="39"/>
      <x:c r="B1914" s="39"/>
      <x:c r="C1914" s="39"/>
      <x:c r="D1914" s="39"/>
      <x:c r="E1914" s="39"/>
      <x:c r="F1914" s="39"/>
      <x:c r="G1914" s="39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</x:row>
    <x:row r="1915">
      <x:c r="A1915" s="39"/>
      <x:c r="B1915" s="39"/>
      <x:c r="C1915" s="39"/>
      <x:c r="D1915" s="39"/>
      <x:c r="E1915" s="39"/>
      <x:c r="F1915" s="39"/>
      <x:c r="G1915" s="39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</x:row>
    <x:row r="1916">
      <x:c r="A1916" s="39"/>
      <x:c r="B1916" s="39"/>
      <x:c r="C1916" s="39"/>
      <x:c r="D1916" s="39"/>
      <x:c r="E1916" s="39"/>
      <x:c r="F1916" s="39"/>
      <x:c r="G1916" s="39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</x:row>
    <x:row r="1917">
      <x:c r="A1917" s="39"/>
      <x:c r="B1917" s="39"/>
      <x:c r="C1917" s="39"/>
      <x:c r="D1917" s="39"/>
      <x:c r="E1917" s="39"/>
      <x:c r="F1917" s="39"/>
      <x:c r="G1917" s="39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</x:row>
    <x:row r="1918">
      <x:c r="A1918" s="39"/>
      <x:c r="B1918" s="39"/>
      <x:c r="C1918" s="39"/>
      <x:c r="D1918" s="39"/>
      <x:c r="E1918" s="39"/>
      <x:c r="F1918" s="39"/>
      <x:c r="G1918" s="39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</x:row>
    <x:row r="1919">
      <x:c r="A1919" s="39"/>
      <x:c r="B1919" s="39"/>
      <x:c r="C1919" s="39"/>
      <x:c r="D1919" s="39"/>
      <x:c r="E1919" s="39"/>
      <x:c r="F1919" s="39"/>
      <x:c r="G1919" s="39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</x:row>
    <x:row r="1920">
      <x:c r="A1920" s="39"/>
      <x:c r="B1920" s="39"/>
      <x:c r="C1920" s="39"/>
      <x:c r="D1920" s="39"/>
      <x:c r="E1920" s="39"/>
      <x:c r="F1920" s="39"/>
      <x:c r="G1920" s="39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</x:row>
    <x:row r="1921">
      <x:c r="A1921" s="39"/>
      <x:c r="B1921" s="39"/>
      <x:c r="C1921" s="39"/>
      <x:c r="D1921" s="39"/>
      <x:c r="E1921" s="39"/>
      <x:c r="F1921" s="39"/>
      <x:c r="G1921" s="39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</x:row>
    <x:row r="1922">
      <x:c r="A1922" s="39"/>
      <x:c r="B1922" s="39"/>
      <x:c r="C1922" s="39"/>
      <x:c r="D1922" s="39"/>
      <x:c r="E1922" s="39"/>
      <x:c r="F1922" s="39"/>
      <x:c r="G1922" s="39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</x:row>
    <x:row r="1923">
      <x:c r="A1923" s="39"/>
      <x:c r="B1923" s="39"/>
      <x:c r="C1923" s="39"/>
      <x:c r="D1923" s="39"/>
      <x:c r="E1923" s="39"/>
      <x:c r="F1923" s="39"/>
      <x:c r="G1923" s="39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</x:row>
    <x:row r="1924">
      <x:c r="A1924" s="39"/>
      <x:c r="B1924" s="39"/>
      <x:c r="C1924" s="39"/>
      <x:c r="D1924" s="39"/>
      <x:c r="E1924" s="39"/>
      <x:c r="F1924" s="39"/>
      <x:c r="G1924" s="39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</x:row>
    <x:row r="1925">
      <x:c r="A1925" s="39"/>
      <x:c r="B1925" s="39"/>
      <x:c r="C1925" s="39"/>
      <x:c r="D1925" s="39"/>
      <x:c r="E1925" s="39"/>
      <x:c r="F1925" s="39"/>
      <x:c r="G1925" s="39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</x:row>
    <x:row r="1926">
      <x:c r="A1926" s="39"/>
      <x:c r="B1926" s="39"/>
      <x:c r="C1926" s="39"/>
      <x:c r="D1926" s="39"/>
      <x:c r="E1926" s="39"/>
      <x:c r="F1926" s="39"/>
      <x:c r="G1926" s="39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</x:row>
    <x:row r="1927">
      <x:c r="A1927" s="39"/>
      <x:c r="B1927" s="39"/>
      <x:c r="C1927" s="39"/>
      <x:c r="D1927" s="39"/>
      <x:c r="E1927" s="39"/>
      <x:c r="F1927" s="39"/>
      <x:c r="G1927" s="39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</x:row>
    <x:row r="1928">
      <x:c r="A1928" s="39"/>
      <x:c r="B1928" s="39"/>
      <x:c r="C1928" s="39"/>
      <x:c r="D1928" s="39"/>
      <x:c r="E1928" s="39"/>
      <x:c r="F1928" s="39"/>
      <x:c r="G1928" s="39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</x:row>
    <x:row r="1929">
      <x:c r="A1929" s="39"/>
      <x:c r="B1929" s="39"/>
      <x:c r="C1929" s="39"/>
      <x:c r="D1929" s="39"/>
      <x:c r="E1929" s="39"/>
      <x:c r="F1929" s="39"/>
      <x:c r="G1929" s="39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</x:row>
    <x:row r="1930">
      <x:c r="A1930" s="39"/>
      <x:c r="B1930" s="39"/>
      <x:c r="C1930" s="39"/>
      <x:c r="D1930" s="39"/>
      <x:c r="E1930" s="39"/>
      <x:c r="F1930" s="39"/>
      <x:c r="G1930" s="39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</x:row>
    <x:row r="1931">
      <x:c r="A1931" s="39"/>
      <x:c r="B1931" s="39"/>
      <x:c r="C1931" s="39"/>
      <x:c r="D1931" s="39"/>
      <x:c r="E1931" s="39"/>
      <x:c r="F1931" s="39"/>
      <x:c r="G1931" s="39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</x:row>
    <x:row r="1932">
      <x:c r="A1932" s="39"/>
      <x:c r="B1932" s="39"/>
      <x:c r="C1932" s="39"/>
      <x:c r="D1932" s="39"/>
      <x:c r="E1932" s="39"/>
      <x:c r="F1932" s="39"/>
      <x:c r="G1932" s="39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</x:row>
    <x:row r="1933">
      <x:c r="A1933" s="39"/>
      <x:c r="B1933" s="39"/>
      <x:c r="C1933" s="39"/>
      <x:c r="D1933" s="39"/>
      <x:c r="E1933" s="39"/>
      <x:c r="F1933" s="39"/>
      <x:c r="G1933" s="39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</x:row>
    <x:row r="1934">
      <x:c r="A1934" s="39"/>
      <x:c r="B1934" s="39"/>
      <x:c r="C1934" s="39"/>
      <x:c r="D1934" s="39"/>
      <x:c r="E1934" s="39"/>
      <x:c r="F1934" s="39"/>
      <x:c r="G1934" s="39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</x:row>
    <x:row r="1935">
      <x:c r="A1935" s="39"/>
      <x:c r="B1935" s="39"/>
      <x:c r="C1935" s="39"/>
      <x:c r="D1935" s="39"/>
      <x:c r="E1935" s="39"/>
      <x:c r="F1935" s="39"/>
      <x:c r="G1935" s="39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</x:row>
    <x:row r="1936">
      <x:c r="A1936" s="39"/>
      <x:c r="B1936" s="39"/>
      <x:c r="C1936" s="39"/>
      <x:c r="D1936" s="39"/>
      <x:c r="E1936" s="39"/>
      <x:c r="F1936" s="39"/>
      <x:c r="G1936" s="39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</x:row>
    <x:row r="1937">
      <x:c r="A1937" s="39"/>
      <x:c r="B1937" s="39"/>
      <x:c r="C1937" s="39"/>
      <x:c r="D1937" s="39"/>
      <x:c r="E1937" s="39"/>
      <x:c r="F1937" s="39"/>
      <x:c r="G1937" s="39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</x:row>
    <x:row r="1938">
      <x:c r="A1938" s="39"/>
      <x:c r="B1938" s="39"/>
      <x:c r="C1938" s="39"/>
      <x:c r="D1938" s="39"/>
      <x:c r="E1938" s="39"/>
      <x:c r="F1938" s="39"/>
      <x:c r="G1938" s="39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</x:row>
    <x:row r="1939">
      <x:c r="A1939" s="39"/>
      <x:c r="B1939" s="39"/>
      <x:c r="C1939" s="39"/>
      <x:c r="D1939" s="39"/>
      <x:c r="E1939" s="39"/>
      <x:c r="F1939" s="39"/>
      <x:c r="G1939" s="39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</x:row>
    <x:row r="1940">
      <x:c r="A1940" s="39"/>
      <x:c r="B1940" s="39"/>
      <x:c r="C1940" s="39"/>
      <x:c r="D1940" s="39"/>
      <x:c r="E1940" s="39"/>
      <x:c r="F1940" s="39"/>
      <x:c r="G1940" s="39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</x:row>
    <x:row r="1941">
      <x:c r="A1941" s="39"/>
      <x:c r="B1941" s="39"/>
      <x:c r="C1941" s="39"/>
      <x:c r="D1941" s="39"/>
      <x:c r="E1941" s="39"/>
      <x:c r="F1941" s="39"/>
      <x:c r="G1941" s="39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</x:row>
    <x:row r="1942">
      <x:c r="A1942" s="39"/>
      <x:c r="B1942" s="39"/>
      <x:c r="C1942" s="39"/>
      <x:c r="D1942" s="39"/>
      <x:c r="E1942" s="39"/>
      <x:c r="F1942" s="39"/>
      <x:c r="G1942" s="39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</x:row>
    <x:row r="1943">
      <x:c r="A1943" s="39"/>
      <x:c r="B1943" s="39"/>
      <x:c r="C1943" s="39"/>
      <x:c r="D1943" s="39"/>
      <x:c r="E1943" s="39"/>
      <x:c r="F1943" s="39"/>
      <x:c r="G1943" s="39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</x:row>
    <x:row r="1944">
      <x:c r="A1944" s="39"/>
      <x:c r="B1944" s="39"/>
      <x:c r="C1944" s="39"/>
      <x:c r="D1944" s="39"/>
      <x:c r="E1944" s="39"/>
      <x:c r="F1944" s="39"/>
      <x:c r="G1944" s="39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</x:row>
    <x:row r="1945">
      <x:c r="A1945" s="39"/>
      <x:c r="B1945" s="39"/>
      <x:c r="C1945" s="39"/>
      <x:c r="D1945" s="39"/>
      <x:c r="E1945" s="39"/>
      <x:c r="F1945" s="39"/>
      <x:c r="G1945" s="39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</x:row>
    <x:row r="1946">
      <x:c r="A1946" s="39"/>
      <x:c r="B1946" s="39"/>
      <x:c r="C1946" s="39"/>
      <x:c r="D1946" s="39"/>
      <x:c r="E1946" s="39"/>
      <x:c r="F1946" s="39"/>
      <x:c r="G1946" s="39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</x:row>
    <x:row r="1947">
      <x:c r="A1947" s="39"/>
      <x:c r="B1947" s="39"/>
      <x:c r="C1947" s="39"/>
      <x:c r="D1947" s="39"/>
      <x:c r="E1947" s="39"/>
      <x:c r="F1947" s="39"/>
      <x:c r="G1947" s="39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</x:row>
    <x:row r="1948">
      <x:c r="A1948" s="39"/>
      <x:c r="B1948" s="39"/>
      <x:c r="C1948" s="39"/>
      <x:c r="D1948" s="39"/>
      <x:c r="E1948" s="39"/>
      <x:c r="F1948" s="39"/>
      <x:c r="G1948" s="39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</x:row>
    <x:row r="1949">
      <x:c r="A1949" s="39"/>
      <x:c r="B1949" s="39"/>
      <x:c r="C1949" s="39"/>
      <x:c r="D1949" s="39"/>
      <x:c r="E1949" s="39"/>
      <x:c r="F1949" s="39"/>
      <x:c r="G1949" s="39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</x:row>
    <x:row r="1950">
      <x:c r="A1950" s="39"/>
      <x:c r="B1950" s="39"/>
      <x:c r="C1950" s="39"/>
      <x:c r="D1950" s="39"/>
      <x:c r="E1950" s="39"/>
      <x:c r="F1950" s="39"/>
      <x:c r="G1950" s="39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</x:row>
    <x:row r="1951">
      <x:c r="A1951" s="39"/>
      <x:c r="B1951" s="39"/>
      <x:c r="C1951" s="39"/>
      <x:c r="D1951" s="39"/>
      <x:c r="E1951" s="39"/>
      <x:c r="F1951" s="39"/>
      <x:c r="G1951" s="39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</x:row>
    <x:row r="1952">
      <x:c r="A1952" s="39"/>
      <x:c r="B1952" s="39"/>
      <x:c r="C1952" s="39"/>
      <x:c r="D1952" s="39"/>
      <x:c r="E1952" s="39"/>
      <x:c r="F1952" s="39"/>
      <x:c r="G1952" s="39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</x:row>
    <x:row r="1953">
      <x:c r="A1953" s="39"/>
      <x:c r="B1953" s="39"/>
      <x:c r="C1953" s="39"/>
      <x:c r="D1953" s="39"/>
      <x:c r="E1953" s="39"/>
      <x:c r="F1953" s="39"/>
      <x:c r="G1953" s="39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</x:row>
    <x:row r="1954">
      <x:c r="A1954" s="39"/>
      <x:c r="B1954" s="39"/>
      <x:c r="C1954" s="39"/>
      <x:c r="D1954" s="39"/>
      <x:c r="E1954" s="39"/>
      <x:c r="F1954" s="39"/>
      <x:c r="G1954" s="39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</x:row>
    <x:row r="1955">
      <x:c r="A1955" s="39"/>
      <x:c r="B1955" s="39"/>
      <x:c r="C1955" s="39"/>
      <x:c r="D1955" s="39"/>
      <x:c r="E1955" s="39"/>
      <x:c r="F1955" s="39"/>
      <x:c r="G1955" s="39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</x:row>
    <x:row r="1956">
      <x:c r="A1956" s="39"/>
      <x:c r="B1956" s="39"/>
      <x:c r="C1956" s="39"/>
      <x:c r="D1956" s="39"/>
      <x:c r="E1956" s="39"/>
      <x:c r="F1956" s="39"/>
      <x:c r="G1956" s="39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</x:row>
    <x:row r="1957">
      <x:c r="A1957" s="39"/>
      <x:c r="B1957" s="39"/>
      <x:c r="C1957" s="39"/>
      <x:c r="D1957" s="39"/>
      <x:c r="E1957" s="39"/>
      <x:c r="F1957" s="39"/>
      <x:c r="G1957" s="39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</x:row>
    <x:row r="1958">
      <x:c r="A1958" s="39"/>
      <x:c r="B1958" s="39"/>
      <x:c r="C1958" s="39"/>
      <x:c r="D1958" s="39"/>
      <x:c r="E1958" s="39"/>
      <x:c r="F1958" s="39"/>
      <x:c r="G1958" s="39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</x:row>
    <x:row r="1959">
      <x:c r="A1959" s="39"/>
      <x:c r="B1959" s="39"/>
      <x:c r="C1959" s="39"/>
      <x:c r="D1959" s="39"/>
      <x:c r="E1959" s="39"/>
      <x:c r="F1959" s="39"/>
      <x:c r="G1959" s="39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</x:row>
    <x:row r="1960">
      <x:c r="A1960" s="39"/>
      <x:c r="B1960" s="39"/>
      <x:c r="C1960" s="39"/>
      <x:c r="D1960" s="39"/>
      <x:c r="E1960" s="39"/>
      <x:c r="F1960" s="39"/>
      <x:c r="G1960" s="39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</x:row>
    <x:row r="1961">
      <x:c r="A1961" s="39"/>
      <x:c r="B1961" s="39"/>
      <x:c r="C1961" s="39"/>
      <x:c r="D1961" s="39"/>
      <x:c r="E1961" s="39"/>
      <x:c r="F1961" s="39"/>
      <x:c r="G1961" s="39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</x:row>
    <x:row r="1962">
      <x:c r="A1962" s="39"/>
      <x:c r="B1962" s="39"/>
      <x:c r="C1962" s="39"/>
      <x:c r="D1962" s="39"/>
      <x:c r="E1962" s="39"/>
      <x:c r="F1962" s="39"/>
      <x:c r="G1962" s="39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</x:row>
    <x:row r="1963">
      <x:c r="A1963" s="39"/>
      <x:c r="B1963" s="39"/>
      <x:c r="C1963" s="39"/>
      <x:c r="D1963" s="39"/>
      <x:c r="E1963" s="39"/>
      <x:c r="F1963" s="39"/>
      <x:c r="G1963" s="39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</x:row>
    <x:row r="1964">
      <x:c r="A1964" s="39"/>
      <x:c r="B1964" s="39"/>
      <x:c r="C1964" s="39"/>
      <x:c r="D1964" s="39"/>
      <x:c r="E1964" s="39"/>
      <x:c r="F1964" s="39"/>
      <x:c r="G1964" s="39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</x:row>
    <x:row r="1965">
      <x:c r="A1965" s="39"/>
      <x:c r="B1965" s="39"/>
      <x:c r="C1965" s="39"/>
      <x:c r="D1965" s="39"/>
      <x:c r="E1965" s="39"/>
      <x:c r="F1965" s="39"/>
      <x:c r="G1965" s="39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</x:row>
    <x:row r="1966">
      <x:c r="A1966" s="39"/>
      <x:c r="B1966" s="39"/>
      <x:c r="C1966" s="39"/>
      <x:c r="D1966" s="39"/>
      <x:c r="E1966" s="39"/>
      <x:c r="F1966" s="39"/>
      <x:c r="G1966" s="39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</x:row>
    <x:row r="1967">
      <x:c r="A1967" s="39"/>
      <x:c r="B1967" s="39"/>
      <x:c r="C1967" s="39"/>
      <x:c r="D1967" s="39"/>
      <x:c r="E1967" s="39"/>
      <x:c r="F1967" s="39"/>
      <x:c r="G1967" s="39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</x:row>
    <x:row r="1968">
      <x:c r="A1968" s="39"/>
      <x:c r="B1968" s="39"/>
      <x:c r="C1968" s="39"/>
      <x:c r="D1968" s="39"/>
      <x:c r="E1968" s="39"/>
      <x:c r="F1968" s="39"/>
      <x:c r="G1968" s="39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</x:row>
    <x:row r="1969">
      <x:c r="A1969" s="39"/>
      <x:c r="B1969" s="39"/>
      <x:c r="C1969" s="39"/>
      <x:c r="D1969" s="39"/>
      <x:c r="E1969" s="39"/>
      <x:c r="F1969" s="39"/>
      <x:c r="G1969" s="39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</x:row>
    <x:row r="1970">
      <x:c r="A1970" s="39"/>
      <x:c r="B1970" s="39"/>
      <x:c r="C1970" s="39"/>
      <x:c r="D1970" s="39"/>
      <x:c r="E1970" s="39"/>
      <x:c r="F1970" s="39"/>
      <x:c r="G1970" s="39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</x:row>
    <x:row r="1971">
      <x:c r="A1971" s="39"/>
      <x:c r="B1971" s="39"/>
      <x:c r="C1971" s="39"/>
      <x:c r="D1971" s="39"/>
      <x:c r="E1971" s="39"/>
      <x:c r="F1971" s="39"/>
      <x:c r="G1971" s="39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</x:row>
    <x:row r="1972">
      <x:c r="A1972" s="39"/>
      <x:c r="B1972" s="39"/>
      <x:c r="C1972" s="39"/>
      <x:c r="D1972" s="39"/>
      <x:c r="E1972" s="39"/>
      <x:c r="F1972" s="39"/>
      <x:c r="G1972" s="39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</x:row>
    <x:row r="1973">
      <x:c r="A1973" s="39"/>
      <x:c r="B1973" s="39"/>
      <x:c r="C1973" s="39"/>
      <x:c r="D1973" s="39"/>
      <x:c r="E1973" s="39"/>
      <x:c r="F1973" s="39"/>
      <x:c r="G1973" s="39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</x:row>
    <x:row r="1974">
      <x:c r="A1974" s="39"/>
      <x:c r="B1974" s="39"/>
      <x:c r="C1974" s="39"/>
      <x:c r="D1974" s="39"/>
      <x:c r="E1974" s="39"/>
      <x:c r="F1974" s="39"/>
      <x:c r="G1974" s="39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</x:row>
    <x:row r="1975">
      <x:c r="A1975" s="39"/>
      <x:c r="B1975" s="39"/>
      <x:c r="C1975" s="39"/>
      <x:c r="D1975" s="39"/>
      <x:c r="E1975" s="39"/>
      <x:c r="F1975" s="39"/>
      <x:c r="G1975" s="39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</x:row>
    <x:row r="1976">
      <x:c r="A1976" s="39"/>
      <x:c r="B1976" s="39"/>
      <x:c r="C1976" s="39"/>
      <x:c r="D1976" s="39"/>
      <x:c r="E1976" s="39"/>
      <x:c r="F1976" s="39"/>
      <x:c r="G1976" s="39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</x:row>
    <x:row r="1977">
      <x:c r="A1977" s="39"/>
      <x:c r="B1977" s="39"/>
      <x:c r="C1977" s="39"/>
      <x:c r="D1977" s="39"/>
      <x:c r="E1977" s="39"/>
      <x:c r="F1977" s="39"/>
      <x:c r="G1977" s="39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</x:row>
    <x:row r="1978">
      <x:c r="A1978" s="39"/>
      <x:c r="B1978" s="39"/>
      <x:c r="C1978" s="39"/>
      <x:c r="D1978" s="39"/>
      <x:c r="E1978" s="39"/>
      <x:c r="F1978" s="39"/>
      <x:c r="G1978" s="39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</x:row>
    <x:row r="1979">
      <x:c r="A1979" s="39"/>
      <x:c r="B1979" s="39"/>
      <x:c r="C1979" s="39"/>
      <x:c r="D1979" s="39"/>
      <x:c r="E1979" s="39"/>
      <x:c r="F1979" s="39"/>
      <x:c r="G1979" s="39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</x:row>
    <x:row r="1980">
      <x:c r="A1980" s="39"/>
      <x:c r="B1980" s="39"/>
      <x:c r="C1980" s="39"/>
      <x:c r="D1980" s="39"/>
      <x:c r="E1980" s="39"/>
      <x:c r="F1980" s="39"/>
      <x:c r="G1980" s="39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</x:row>
    <x:row r="1981">
      <x:c r="A1981" s="39"/>
      <x:c r="B1981" s="39"/>
      <x:c r="C1981" s="39"/>
      <x:c r="D1981" s="39"/>
      <x:c r="E1981" s="39"/>
      <x:c r="F1981" s="39"/>
      <x:c r="G1981" s="39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</x:row>
    <x:row r="1982">
      <x:c r="A1982" s="39"/>
      <x:c r="B1982" s="39"/>
      <x:c r="C1982" s="39"/>
      <x:c r="D1982" s="39"/>
      <x:c r="E1982" s="39"/>
      <x:c r="F1982" s="39"/>
      <x:c r="G1982" s="39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</x:row>
    <x:row r="1983">
      <x:c r="A1983" s="39"/>
      <x:c r="B1983" s="39"/>
      <x:c r="C1983" s="39"/>
      <x:c r="D1983" s="39"/>
      <x:c r="E1983" s="39"/>
      <x:c r="F1983" s="39"/>
      <x:c r="G1983" s="39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</x:row>
    <x:row r="1984">
      <x:c r="A1984" s="39"/>
      <x:c r="B1984" s="39"/>
      <x:c r="C1984" s="39"/>
      <x:c r="D1984" s="39"/>
      <x:c r="E1984" s="39"/>
      <x:c r="F1984" s="39"/>
      <x:c r="G1984" s="39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</x:row>
    <x:row r="1985">
      <x:c r="A1985" s="39"/>
      <x:c r="B1985" s="39"/>
      <x:c r="C1985" s="39"/>
      <x:c r="D1985" s="39"/>
      <x:c r="E1985" s="39"/>
      <x:c r="F1985" s="39"/>
      <x:c r="G1985" s="39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</x:row>
    <x:row r="1986">
      <x:c r="A1986" s="39"/>
      <x:c r="B1986" s="39"/>
      <x:c r="C1986" s="39"/>
      <x:c r="D1986" s="39"/>
      <x:c r="E1986" s="39"/>
      <x:c r="F1986" s="39"/>
      <x:c r="G1986" s="39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</x:row>
    <x:row r="1987">
      <x:c r="A1987" s="39"/>
      <x:c r="B1987" s="39"/>
      <x:c r="C1987" s="39"/>
      <x:c r="D1987" s="39"/>
      <x:c r="E1987" s="39"/>
      <x:c r="F1987" s="39"/>
      <x:c r="G1987" s="39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</x:row>
    <x:row r="1988">
      <x:c r="A1988" s="39"/>
      <x:c r="B1988" s="39"/>
      <x:c r="C1988" s="39"/>
      <x:c r="D1988" s="39"/>
      <x:c r="E1988" s="39"/>
      <x:c r="F1988" s="39"/>
      <x:c r="G1988" s="39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</x:row>
    <x:row r="1989">
      <x:c r="A1989" s="39"/>
      <x:c r="B1989" s="39"/>
      <x:c r="C1989" s="39"/>
      <x:c r="D1989" s="39"/>
      <x:c r="E1989" s="39"/>
      <x:c r="F1989" s="39"/>
      <x:c r="G1989" s="39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</x:row>
    <x:row r="1990">
      <x:c r="A1990" s="39"/>
      <x:c r="B1990" s="39"/>
      <x:c r="C1990" s="39"/>
      <x:c r="D1990" s="39"/>
      <x:c r="E1990" s="39"/>
      <x:c r="F1990" s="39"/>
      <x:c r="G1990" s="39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</x:row>
    <x:row r="1991">
      <x:c r="A1991" s="39"/>
      <x:c r="B1991" s="39"/>
      <x:c r="C1991" s="39"/>
      <x:c r="D1991" s="39"/>
      <x:c r="E1991" s="39"/>
      <x:c r="F1991" s="39"/>
      <x:c r="G1991" s="39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</x:row>
    <x:row r="1992">
      <x:c r="A1992" s="39"/>
      <x:c r="B1992" s="39"/>
      <x:c r="C1992" s="39"/>
      <x:c r="D1992" s="39"/>
      <x:c r="E1992" s="39"/>
      <x:c r="F1992" s="39"/>
      <x:c r="G1992" s="39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</x:row>
    <x:row r="1993">
      <x:c r="A1993" s="39"/>
      <x:c r="B1993" s="39"/>
      <x:c r="C1993" s="39"/>
      <x:c r="D1993" s="39"/>
      <x:c r="E1993" s="39"/>
      <x:c r="F1993" s="39"/>
      <x:c r="G1993" s="39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</x:row>
    <x:row r="1994">
      <x:c r="A1994" s="39"/>
      <x:c r="B1994" s="39"/>
      <x:c r="C1994" s="39"/>
      <x:c r="D1994" s="39"/>
      <x:c r="E1994" s="39"/>
      <x:c r="F1994" s="39"/>
      <x:c r="G1994" s="39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</x:row>
    <x:row r="1995">
      <x:c r="A1995" s="39"/>
      <x:c r="B1995" s="39"/>
      <x:c r="C1995" s="39"/>
      <x:c r="D1995" s="39"/>
      <x:c r="E1995" s="39"/>
      <x:c r="F1995" s="39"/>
      <x:c r="G1995" s="39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</x:row>
    <x:row r="1996">
      <x:c r="A1996" s="39"/>
      <x:c r="B1996" s="39"/>
      <x:c r="C1996" s="39"/>
      <x:c r="D1996" s="39"/>
      <x:c r="E1996" s="39"/>
      <x:c r="F1996" s="39"/>
      <x:c r="G1996" s="39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</x:row>
    <x:row r="1997">
      <x:c r="A1997" s="39"/>
      <x:c r="B1997" s="39"/>
      <x:c r="C1997" s="39"/>
      <x:c r="D1997" s="39"/>
      <x:c r="E1997" s="39"/>
      <x:c r="F1997" s="39"/>
      <x:c r="G1997" s="39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</x:row>
    <x:row r="1998">
      <x:c r="A1998" s="39"/>
      <x:c r="B1998" s="39"/>
      <x:c r="C1998" s="39"/>
      <x:c r="D1998" s="39"/>
      <x:c r="E1998" s="39"/>
      <x:c r="F1998" s="39"/>
      <x:c r="G1998" s="39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</x:row>
    <x:row r="1999">
      <x:c r="A1999" s="39"/>
      <x:c r="B1999" s="39"/>
      <x:c r="C1999" s="39"/>
      <x:c r="D1999" s="39"/>
      <x:c r="E1999" s="39"/>
      <x:c r="F1999" s="39"/>
      <x:c r="G1999" s="39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</x:row>
    <x:row r="2000">
      <x:c r="A2000" s="39"/>
      <x:c r="B2000" s="39"/>
      <x:c r="C2000" s="39"/>
      <x:c r="D2000" s="39"/>
      <x:c r="E2000" s="39"/>
      <x:c r="F2000" s="39"/>
      <x:c r="G2000" s="39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</x:row>
  </x:sheetData>
  <x:pageMargins left="0.7" right="0.7" top="0.75" bottom="0.75" header="0.3" footer="0.3"/>
  <x:tableParts count="1">
    <x:tablePart xmlns:r="http://schemas.openxmlformats.org/officeDocument/2006/relationships" r:id="Rbea7a1df76d444ed"/>
  </x:tableParts>
</x:worksheet>
</file>