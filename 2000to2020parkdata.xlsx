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00 CentroGeo" sheetId="1" state="visible" r:id="rId3"/>
    <sheet name="2008 PAOT" sheetId="2" state="visible" r:id="rId4"/>
    <sheet name="2017 SEDEMA" sheetId="3" state="visible" r:id="rId5"/>
    <sheet name="Comparison (m² por hab)" sheetId="4" state="visible" r:id="rId6"/>
    <sheet name="Citywide historic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<sst xmlns="http://schemas.openxmlformats.org/spreadsheetml/2006/main" count="201" uniqueCount="135">
  <si>
    <t xml:space="preserve">Inventario General de Áreas Verdes del Distrito Federal — 2000 (CentroGeo)</t>
  </si>
  <si>
    <t xml:space="preserve">Fuente: CentroGeo (2002), Inventario General de Áreas Verdes del DF · Imágenes IKONOS 2000, unidad mínima 160 m² · Transcrito de Núñez (2021), Cuadro 1, Econ. Soc. Territ. 21(67) · Incluye áreas verdes públicas y privadas en suelo urbano · Milpa Alta no incluida (suelo de conservación).</t>
  </si>
  <si>
    <t xml:space="preserve">Delegación</t>
  </si>
  <si>
    <t xml:space="preserve">Área urbana (km²)</t>
  </si>
  <si>
    <t xml:space="preserve">Total áreas verdes (km²)</t>
  </si>
  <si>
    <t xml:space="preserve">Áreas verdes / sup. delegación (%)</t>
  </si>
  <si>
    <t xml:space="preserve">Zonas arboladas (% de AV)</t>
  </si>
  <si>
    <t xml:space="preserve">Pastos y arbustos (% de AV)</t>
  </si>
  <si>
    <t xml:space="preserve">AV por habitante (m²)</t>
  </si>
  <si>
    <t xml:space="preserve">Zonas arboladas por habitante (m²)</t>
  </si>
  <si>
    <t xml:space="preserve">Población 2000 (% del DF)</t>
  </si>
  <si>
    <t xml:space="preserve">Álvaro Obregón</t>
  </si>
  <si>
    <t xml:space="preserve">Azcapotzalco</t>
  </si>
  <si>
    <t xml:space="preserve">Benito Juárez</t>
  </si>
  <si>
    <t xml:space="preserve">Coyoacán</t>
  </si>
  <si>
    <t xml:space="preserve">Cuajimalpa de Morelos</t>
  </si>
  <si>
    <t xml:space="preserve">Cuauhtémoc</t>
  </si>
  <si>
    <t xml:space="preserve">Gustavo A. Madero</t>
  </si>
  <si>
    <t xml:space="preserve">Iztacalco</t>
  </si>
  <si>
    <t xml:space="preserve">Iztapalapa</t>
  </si>
  <si>
    <t xml:space="preserve">La Magdalena Contreras</t>
  </si>
  <si>
    <t xml:space="preserve">Miguel Hidalgo</t>
  </si>
  <si>
    <t xml:space="preserve">Tláhuac</t>
  </si>
  <si>
    <t xml:space="preserve">Tlalpan</t>
  </si>
  <si>
    <t xml:space="preserve">Venustiano Carranza</t>
  </si>
  <si>
    <t xml:space="preserve">Xochimilco</t>
  </si>
  <si>
    <t xml:space="preserve">TOTAL Distrito Federal (urbano, sin Milpa Alta)</t>
  </si>
  <si>
    <t xml:space="preserve">—</t>
  </si>
  <si>
    <t xml:space="preserve">Reportado para el DF (CentroGeo 2002):</t>
  </si>
  <si>
    <t xml:space="preserve">632.66 km²</t>
  </si>
  <si>
    <t xml:space="preserve">128.28 km²</t>
  </si>
  <si>
    <t xml:space="preserve">20.4%</t>
  </si>
  <si>
    <t xml:space="preserve">55.9%</t>
  </si>
  <si>
    <t xml:space="preserve">44.1%</t>
  </si>
  <si>
    <t xml:space="preserve">15.1 m²/hab</t>
  </si>
  <si>
    <t xml:space="preserve">8.4 m²/hab</t>
  </si>
  <si>
    <t xml:space="preserve">100%</t>
  </si>
  <si>
    <t xml:space="preserve">Caveats:</t>
  </si>
  <si>
    <t xml:space="preserve">• Methodology: classification of 1 m IKONOS imagery (2000) into two categories — árboles, pastos/arbustos. Unidad mínima 160 m².</t>
  </si>
  <si>
    <t xml:space="preserve">• Universe: all green ≥160 m² in suelo urbano — INCLUDING private gardens, vacant lots, and informal green. Not comparable strictly with 2017 SEDEMA, which only counts formally-managed green.</t>
  </si>
  <si>
    <t xml:space="preserve">• Suelo de conservación excluded EXCEPT for the small SC fractions of Gustavo A. Madero (El Tepeyac) and Iztapalapa (Cerro de la Estrella), per the original table footnote.</t>
  </si>
  <si>
    <t xml:space="preserve">• Milpa Alta is entirely suelo de conservación and not included in this inventory.</t>
  </si>
  <si>
    <t xml:space="preserve">• Population column is share of DF total population (2000 census), as published; absolute population values were not in the source table.</t>
  </si>
  <si>
    <t xml:space="preserve">Presente y futuro de las áreas verdes — 2008 (PAOT)</t>
  </si>
  <si>
    <t xml:space="preserve">Fuente: PAOT (2010), Presente y futuro de las áreas verdes y del arbolado de la CDMX · Mosaico QuickBird 2007-2008, unidad mínima 50 m² · Transcrito de Núñez (2021), Cuadro 2 · Incluye AV en suelo urbano, áreas deportivas y vasos reguladores · Milpa Alta = 0 (suelo de conservación).</t>
  </si>
  <si>
    <t xml:space="preserve">Superficie urbana (km²)</t>
  </si>
  <si>
    <t xml:space="preserve">Población 2005</t>
  </si>
  <si>
    <t xml:space="preserve">Total AV (m²)</t>
  </si>
  <si>
    <t xml:space="preserve">Arbolado (m²)</t>
  </si>
  <si>
    <t xml:space="preserve">Pastos / arbustos + áreas deportivas (m²)</t>
  </si>
  <si>
    <t xml:space="preserve">Arbolado por habitante (m²)</t>
  </si>
  <si>
    <t xml:space="preserve">Milpa Alta</t>
  </si>
  <si>
    <t xml:space="preserve">TOTAL Distrito Federal (urbano)</t>
  </si>
  <si>
    <t xml:space="preserve">• Methodology: classification of QuickBird imagery (2007-2008, 0.60 m resolution) into arbolado / pastos+arbustos / áreas deportivas / vaso regulador. Unidad mínima 50 m².</t>
  </si>
  <si>
    <t xml:space="preserve">• Universe: all green ≥50 m² in suelo urbano — public + private + informal. Includes sports fields and water-regulation basins as 'green'.</t>
  </si>
  <si>
    <t xml:space="preserve">• Population year is 2005 (INEGI Conteo de Población y Vivienda), as published in the original table.</t>
  </si>
  <si>
    <t xml:space="preserve">• Reported citywide: 609.03 km² urban area · 112.9 M m² total green · 78.1 M m² arbolado · 34.8 M m² pastos/arbustos+deportivas · 14.41 m²/hab AV · 10.0 m²/hab arbolado.</t>
  </si>
  <si>
    <t xml:space="preserve">• Methodological note: 2008 unidad mínima is smaller (50 vs 160 m²), which inflates per-alcaldía totals relative to 2000. Not strictly comparable.</t>
  </si>
  <si>
    <t xml:space="preserve">Inventario de Áreas Verdes Urbanas — 2017 (SEDEMA / IG-UNAM)</t>
  </si>
  <si>
    <t xml:space="preserve">Fuente: SEDEMA (2020), Actualización del Inventario de Áreas Verdes Urbanas de la CDMX · SIG + imágenes satelitales de alta resolución · Transcrito de Núñez (2021), Cuadro 3 · SOLO áreas verdes con categoría de manejo formal (excluye verde privado e informal).</t>
  </si>
  <si>
    <t xml:space="preserve">Alcaldía</t>
  </si>
  <si>
    <t xml:space="preserve">Habitantes (2015)</t>
  </si>
  <si>
    <t xml:space="preserve">Superficie áreas verdes (m²)</t>
  </si>
  <si>
    <t xml:space="preserve">Superficie áreas verdes (ha)</t>
  </si>
  <si>
    <t xml:space="preserve">Superficie por habitante (m²/hab)</t>
  </si>
  <si>
    <t xml:space="preserve">TOTAL Ciudad de México</t>
  </si>
  <si>
    <t xml:space="preserve">• Methodology: GIS + high-resolution satellite, classified into 11 management categories (parks, ANP, equipamiento urbano con vegetación, plazas y jardines, camellones, etc.).</t>
  </si>
  <si>
    <t xml:space="preserve">• Universe: ONLY green areas under formal SEDEMA / alcaldía management. Does NOT include private gardens, vacant lots, informal urban green, or most suelo de conservación.</t>
  </si>
  <si>
    <t xml:space="preserve">• This is why the citywide 2017 m²/hab (7.5) is dramatically lower than 2000 (15.1) and 2008 (14.4): the universe shrank, not the green itself.</t>
  </si>
  <si>
    <t xml:space="preserve">• Population year is 2015 (INEGI Encuesta Intercensal), as published.</t>
  </si>
  <si>
    <t xml:space="preserve">Áreas verdes por habitante — los tres inventarios lado a lado</t>
  </si>
  <si>
    <t xml:space="preserve">Valores tomados directamente de cada inventario. NO son estrictamente comparables: (i) cambia la metodología de detección (IKONOS 1m → QuickBird 0.6m → SIG+satélite); (ii) cambia la unidad mínima (160 m² → 50 m² → variable); (iii) el universo de 2017 EXCLUYE verde privado e informal mientras 2000 y 2008 lo INCLUYEN. Útil como indicador de orden de magnitud, no como serie de tiempo.</t>
  </si>
  <si>
    <t xml:space="preserve">2000 (CentroGeo)</t>
  </si>
  <si>
    <t xml:space="preserve">2008 (PAOT)</t>
  </si>
  <si>
    <t xml:space="preserve">2017 (SEDEMA)</t>
  </si>
  <si>
    <t xml:space="preserve">n/a (excluida)</t>
  </si>
  <si>
    <t xml:space="preserve">CDMX (reportado para toda la ciudad)</t>
  </si>
  <si>
    <t xml:space="preserve">Reading the numbers:</t>
  </si>
  <si>
    <t xml:space="preserve">• 2000 → 2008: most alcaldías hold steady or rise (methodology change: 50 m² minimum picks up more small patches than 160 m²).</t>
  </si>
  <si>
    <t xml:space="preserve">• 2008 → 2017: most fall sharply. This is almost entirely a definitional shift — the 2017 inventory only counts formally managed green. Private gardens, vacant-lot vegetation, and informal urban green stop being counted.</t>
  </si>
  <si>
    <t xml:space="preserve">• Stable across all three: Azcapotzalco (~10), Tláhuac (~8), Venustiano Carranza (~13). These three are the closest thing to a credible cross-time signal.</t>
  </si>
  <si>
    <t xml:space="preserve">• Persistent floor: Benito Juárez, Cuauhtémoc — dense central alcaldías with very little green in any inventory.</t>
  </si>
  <si>
    <t xml:space="preserve">• Persistent ceiling: Miguel Hidalgo (Chapultepec inflates the per-capita number), Tlalpan, Coyoacán, Cuajimalpa — alcaldías with large bosques or topography.</t>
  </si>
  <si>
    <t xml:space="preserve">Áreas verdes en la CDMX — agregados a nivel ciudad (no por alcaldía)</t>
  </si>
  <si>
    <t xml:space="preserve">Para los años pre-2000 NO existen inventarios por alcaldía. Estas son las únicas cifras agregadas que se pueden documentar con fuente.</t>
  </si>
  <si>
    <t xml:space="preserve">Año</t>
  </si>
  <si>
    <t xml:space="preserve">Indicador</t>
  </si>
  <si>
    <t xml:space="preserve">Valor</t>
  </si>
  <si>
    <t xml:space="preserve">Fuente</t>
  </si>
  <si>
    <t xml:space="preserve">ca. 1900</t>
  </si>
  <si>
    <t xml:space="preserve">Áreas verdes como % de la superficie de la capital</t>
  </si>
  <si>
    <t xml:space="preserve">~ 2%</t>
  </si>
  <si>
    <t xml:space="preserve">Martínez González (2008), cit. en Núñez (2021)</t>
  </si>
  <si>
    <t xml:space="preserve">1920s</t>
  </si>
  <si>
    <t xml:space="preserve">Áreas verdes como % de la superficie de la capital (post-Quevedo)</t>
  </si>
  <si>
    <t xml:space="preserve">~ 16%</t>
  </si>
  <si>
    <t xml:space="preserve">1964</t>
  </si>
  <si>
    <t xml:space="preserve">Ampliación del Bosque de Chapultepec e inauguración del Bosque de Aragón</t>
  </si>
  <si>
    <t xml:space="preserve">evento</t>
  </si>
  <si>
    <t xml:space="preserve">Núñez (2021), sección 1</t>
  </si>
  <si>
    <t xml:space="preserve">años 1970s</t>
  </si>
  <si>
    <t xml:space="preserve">Integración del Bosque de Tlalpan; creación de las 16 delegaciones</t>
  </si>
  <si>
    <t xml:space="preserve">Benítez et al. (1987), cit. en Núñez (2021)</t>
  </si>
  <si>
    <t xml:space="preserve">1985</t>
  </si>
  <si>
    <t xml:space="preserve">Áreas verdes por habitante (parques, jardines, camellones, glorietas del DF)</t>
  </si>
  <si>
    <t xml:space="preserve">2.3 m²/hab</t>
  </si>
  <si>
    <t xml:space="preserve">Guevara Sada &amp; Moreno Casasola (1986), Atlas de la Ciudad de México</t>
  </si>
  <si>
    <t xml:space="preserve">2000</t>
  </si>
  <si>
    <t xml:space="preserve">Áreas verdes por habitante (DF, suelo urbano, ≥160 m²)</t>
  </si>
  <si>
    <t xml:space="preserve">CentroGeo (2002)</t>
  </si>
  <si>
    <t xml:space="preserve">Áreas verdes como % del suelo urbano</t>
  </si>
  <si>
    <t xml:space="preserve">2008</t>
  </si>
  <si>
    <t xml:space="preserve">Áreas verdes por habitante (DF, suelo urbano, ≥50 m²)</t>
  </si>
  <si>
    <t xml:space="preserve">14.41 m²/hab</t>
  </si>
  <si>
    <t xml:space="preserve">PAOT (2010)</t>
  </si>
  <si>
    <t xml:space="preserve">18.5%</t>
  </si>
  <si>
    <t xml:space="preserve">2010</t>
  </si>
  <si>
    <t xml:space="preserve">Inventario alterno SEDEMA+IG-UNAM (incluye barrancas, escuelas, panteones)</t>
  </si>
  <si>
    <t xml:space="preserve">~ 17 m²/hab</t>
  </si>
  <si>
    <t xml:space="preserve">PAOT (2018), reportado en nota al pie de Núñez (2021)</t>
  </si>
  <si>
    <t xml:space="preserve">2017</t>
  </si>
  <si>
    <t xml:space="preserve">Áreas verdes por habitante (SOLO con categoría de manejo formal)</t>
  </si>
  <si>
    <t xml:space="preserve">7.54 m²/hab</t>
  </si>
  <si>
    <t xml:space="preserve">SEDEMA (2020)</t>
  </si>
  <si>
    <t xml:space="preserve">Estándar</t>
  </si>
  <si>
    <t xml:space="preserve">Mínimo recomendado por la OMS / ONU-Habitat para espacio verde público por habitante</t>
  </si>
  <si>
    <t xml:space="preserve">9 m²/hab</t>
  </si>
  <si>
    <t xml:space="preserve">ONU-Habitat (2015)</t>
  </si>
  <si>
    <t xml:space="preserve">Why no per-alcaldía data before 2000:</t>
  </si>
  <si>
    <t xml:space="preserve">• The 16-delegación administrative structure was only fixed in the 1970s. Before that, much of what is today Coyoacán, Tlalpan, Xochimilco, Iztapalapa, etc., was independent municipios or rural land surrounding a much smaller urban core.</t>
  </si>
  <si>
    <t xml:space="preserve">• No systematic geospatial inventory of urban green existed before the 2002 CentroGeo project. The 1985 Atlas figure is a single citywide estimate; the 1900 and 1920s percentages are historical estimates from secondary sources.</t>
  </si>
  <si>
    <t xml:space="preserve">• High-resolution satellite imagery (the basis of all three formal inventories) did not exist before the late 1990s. Aerial photography exists from earlier decades but has never been systematically processed into a green-space inventory.</t>
  </si>
  <si>
    <t xml:space="preserve">Bottom line:</t>
  </si>
  <si>
    <t xml:space="preserve">• If your regression year is 2017, use the 2017 sheet — it is the only inventory aligned with INEGI 2015 demographic data and with current alcaldía boundaries.</t>
  </si>
  <si>
    <t xml:space="preserve">• If your project shows historical change, the honest claim is: 'three city-scale inventories exist (2000, 2008, 2017) and they show roughly stable formal green plus a one-time methodological reclassification in 2017.'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</si>
</sst>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"/>
    <numFmt numFmtId="167" formatCode="#,##0"/>
    <numFmt numFmtId="168" formatCode="0.00"/>
    <numFmt numFmtId="169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A3F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A221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5A3D"/>
        <bgColor rgb="FF4A3F30"/>
      </patternFill>
    </fill>
    <fill>
      <patternFill patternType="solid">
        <fgColor rgb="FF4A3F30"/>
        <bgColor rgb="FF2D5A3D"/>
      </patternFill>
    </fill>
    <fill>
      <patternFill patternType="solid">
        <fgColor rgb="FFE6DCC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DCC4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2D5A3D"/>
      <rgbColor rgb="FF339966"/>
      <rgbColor rgb="FF003300"/>
      <rgbColor rgb="FF2A2218"/>
      <rgbColor rgb="FF993300"/>
      <rgbColor rgb="FF993366"/>
      <rgbColor rgb="FF333399"/>
      <rgbColor rgb="FF4A3F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61.12</v>
      </c>
      <c r="C5" s="5" t="n">
        <v>24.59</v>
      </c>
      <c r="D5" s="6" t="n">
        <v>40.2</v>
      </c>
      <c r="E5" s="6" t="n">
        <v>64.5</v>
      </c>
      <c r="F5" s="6" t="n">
        <v>35.5</v>
      </c>
      <c r="G5" s="6" t="n">
        <v>35.8</v>
      </c>
      <c r="H5" s="6" t="n">
        <v>23.1</v>
      </c>
      <c r="I5" s="6" t="n">
        <v>8.1</v>
      </c>
    </row>
    <row r="6" customFormat="false" ht="15" hidden="false" customHeight="false" outlineLevel="0" collapsed="false">
      <c r="A6" s="4" t="s">
        <v>12</v>
      </c>
      <c r="B6" s="5" t="n">
        <v>33.51</v>
      </c>
      <c r="C6" s="5" t="n">
        <v>4.28</v>
      </c>
      <c r="D6" s="6" t="n">
        <v>12.8</v>
      </c>
      <c r="E6" s="6" t="n">
        <v>54.7</v>
      </c>
      <c r="F6" s="6" t="n">
        <v>45.3</v>
      </c>
      <c r="G6" s="6" t="n">
        <v>9.7</v>
      </c>
      <c r="H6" s="6" t="n">
        <v>5.3</v>
      </c>
      <c r="I6" s="6" t="n">
        <v>5.2</v>
      </c>
    </row>
    <row r="7" customFormat="false" ht="15" hidden="false" customHeight="false" outlineLevel="0" collapsed="false">
      <c r="A7" s="4" t="s">
        <v>13</v>
      </c>
      <c r="B7" s="5" t="n">
        <v>26.51</v>
      </c>
      <c r="C7" s="5" t="n">
        <v>1.19</v>
      </c>
      <c r="D7" s="6" t="n">
        <v>4.5</v>
      </c>
      <c r="E7" s="6" t="n">
        <v>99</v>
      </c>
      <c r="F7" s="6" t="n">
        <v>1</v>
      </c>
      <c r="G7" s="6" t="n">
        <v>3.3</v>
      </c>
      <c r="H7" s="6" t="n">
        <v>3.3</v>
      </c>
      <c r="I7" s="6" t="n">
        <v>4.2</v>
      </c>
    </row>
    <row r="8" customFormat="false" ht="15" hidden="false" customHeight="false" outlineLevel="0" collapsed="false">
      <c r="A8" s="4" t="s">
        <v>14</v>
      </c>
      <c r="B8" s="5" t="n">
        <v>54.01</v>
      </c>
      <c r="C8" s="5" t="n">
        <v>20.13</v>
      </c>
      <c r="D8" s="6" t="n">
        <v>37.3</v>
      </c>
      <c r="E8" s="6" t="n">
        <v>76.7</v>
      </c>
      <c r="F8" s="6" t="n">
        <v>23.3</v>
      </c>
      <c r="G8" s="6" t="n">
        <v>31.4</v>
      </c>
      <c r="H8" s="6" t="n">
        <v>24.1</v>
      </c>
      <c r="I8" s="6" t="n">
        <v>7.5</v>
      </c>
    </row>
    <row r="9" customFormat="false" ht="15" hidden="false" customHeight="false" outlineLevel="0" collapsed="false">
      <c r="A9" s="4" t="s">
        <v>15</v>
      </c>
      <c r="B9" s="5" t="n">
        <v>15.08</v>
      </c>
      <c r="C9" s="5" t="n">
        <v>5.55</v>
      </c>
      <c r="D9" s="6" t="n">
        <v>36.8</v>
      </c>
      <c r="E9" s="6" t="n">
        <v>46.4</v>
      </c>
      <c r="F9" s="6" t="n">
        <v>53.6</v>
      </c>
      <c r="G9" s="6" t="n">
        <v>36.7</v>
      </c>
      <c r="H9" s="6" t="n">
        <v>17</v>
      </c>
      <c r="I9" s="6" t="n">
        <v>1.8</v>
      </c>
    </row>
    <row r="10" customFormat="false" ht="15" hidden="false" customHeight="false" outlineLevel="0" collapsed="false">
      <c r="A10" s="4" t="s">
        <v>16</v>
      </c>
      <c r="B10" s="5" t="n">
        <v>32.67</v>
      </c>
      <c r="C10" s="5" t="n">
        <v>1.81</v>
      </c>
      <c r="D10" s="6" t="n">
        <v>5.5</v>
      </c>
      <c r="E10" s="6" t="n">
        <v>74</v>
      </c>
      <c r="F10" s="6" t="n">
        <v>26</v>
      </c>
      <c r="G10" s="6" t="n">
        <v>3.5</v>
      </c>
      <c r="H10" s="6" t="n">
        <v>2.6</v>
      </c>
      <c r="I10" s="6" t="n">
        <v>6.1</v>
      </c>
    </row>
    <row r="11" customFormat="false" ht="15" hidden="false" customHeight="false" outlineLevel="0" collapsed="false">
      <c r="A11" s="4" t="s">
        <v>17</v>
      </c>
      <c r="B11" s="5" t="n">
        <v>87.29</v>
      </c>
      <c r="C11" s="5" t="n">
        <v>14.26</v>
      </c>
      <c r="D11" s="6" t="n">
        <v>16.3</v>
      </c>
      <c r="E11" s="6" t="n">
        <v>47.3</v>
      </c>
      <c r="F11" s="6" t="n">
        <v>52.7</v>
      </c>
      <c r="G11" s="6" t="n">
        <v>11.5</v>
      </c>
      <c r="H11" s="6" t="n">
        <v>5.4</v>
      </c>
      <c r="I11" s="6" t="n">
        <v>14.5</v>
      </c>
    </row>
    <row r="12" customFormat="false" ht="15" hidden="false" customHeight="false" outlineLevel="0" collapsed="false">
      <c r="A12" s="4" t="s">
        <v>18</v>
      </c>
      <c r="B12" s="5" t="n">
        <v>23.12</v>
      </c>
      <c r="C12" s="5" t="n">
        <v>2.25</v>
      </c>
      <c r="D12" s="6" t="n">
        <v>9.7</v>
      </c>
      <c r="E12" s="6" t="n">
        <v>54.7</v>
      </c>
      <c r="F12" s="6" t="n">
        <v>45.3</v>
      </c>
      <c r="G12" s="6" t="n">
        <v>5.5</v>
      </c>
      <c r="H12" s="6" t="n">
        <v>3</v>
      </c>
      <c r="I12" s="6" t="n">
        <v>4.8</v>
      </c>
    </row>
    <row r="13" customFormat="false" ht="15" hidden="false" customHeight="false" outlineLevel="0" collapsed="false">
      <c r="A13" s="4" t="s">
        <v>19</v>
      </c>
      <c r="B13" s="5" t="n">
        <v>113.37</v>
      </c>
      <c r="C13" s="5" t="n">
        <v>18.32</v>
      </c>
      <c r="D13" s="6" t="n">
        <v>16.2</v>
      </c>
      <c r="E13" s="6" t="n">
        <v>27.1</v>
      </c>
      <c r="F13" s="6" t="n">
        <v>72.9</v>
      </c>
      <c r="G13" s="6" t="n">
        <v>10.3</v>
      </c>
      <c r="H13" s="6" t="n">
        <v>2.8</v>
      </c>
      <c r="I13" s="6" t="n">
        <v>20.8</v>
      </c>
    </row>
    <row r="14" customFormat="false" ht="15" hidden="false" customHeight="false" outlineLevel="0" collapsed="false">
      <c r="A14" s="4" t="s">
        <v>20</v>
      </c>
      <c r="B14" s="5" t="n">
        <v>14.08</v>
      </c>
      <c r="C14" s="5" t="n">
        <v>1.82</v>
      </c>
      <c r="D14" s="6" t="n">
        <v>12.9</v>
      </c>
      <c r="E14" s="6" t="n">
        <v>69.2</v>
      </c>
      <c r="F14" s="6" t="n">
        <v>30.8</v>
      </c>
      <c r="G14" s="6" t="n">
        <v>8.3</v>
      </c>
      <c r="H14" s="6" t="n">
        <v>5.7</v>
      </c>
      <c r="I14" s="6" t="n">
        <v>2.6</v>
      </c>
    </row>
    <row r="15" customFormat="false" ht="15" hidden="false" customHeight="false" outlineLevel="0" collapsed="false">
      <c r="A15" s="4" t="s">
        <v>21</v>
      </c>
      <c r="B15" s="5" t="n">
        <v>47.69</v>
      </c>
      <c r="C15" s="5" t="n">
        <v>8.89</v>
      </c>
      <c r="D15" s="6" t="n">
        <v>18.6</v>
      </c>
      <c r="E15" s="6" t="n">
        <v>57.3</v>
      </c>
      <c r="F15" s="6" t="n">
        <v>42.7</v>
      </c>
      <c r="G15" s="6" t="n">
        <v>25.2</v>
      </c>
      <c r="H15" s="6" t="n">
        <v>14.4</v>
      </c>
      <c r="I15" s="6" t="n">
        <v>4.1</v>
      </c>
    </row>
    <row r="16" customFormat="false" ht="15" hidden="false" customHeight="false" outlineLevel="0" collapsed="false">
      <c r="A16" s="4" t="s">
        <v>22</v>
      </c>
      <c r="B16" s="5" t="n">
        <v>19.17</v>
      </c>
      <c r="C16" s="5" t="n">
        <v>2.27</v>
      </c>
      <c r="D16" s="6" t="n">
        <v>11.8</v>
      </c>
      <c r="E16" s="6" t="n">
        <v>4.4</v>
      </c>
      <c r="F16" s="6" t="n">
        <v>95.6</v>
      </c>
      <c r="G16" s="6" t="n">
        <v>7.5</v>
      </c>
      <c r="H16" s="6" t="n">
        <v>0.3</v>
      </c>
      <c r="I16" s="6" t="n">
        <v>3.6</v>
      </c>
    </row>
    <row r="17" customFormat="false" ht="15" hidden="false" customHeight="false" outlineLevel="0" collapsed="false">
      <c r="A17" s="4" t="s">
        <v>23</v>
      </c>
      <c r="B17" s="5" t="n">
        <v>48.29</v>
      </c>
      <c r="C17" s="5" t="n">
        <v>11.8</v>
      </c>
      <c r="D17" s="6" t="n">
        <v>24.4</v>
      </c>
      <c r="E17" s="6" t="n">
        <v>88.9</v>
      </c>
      <c r="F17" s="6" t="n">
        <v>11.1</v>
      </c>
      <c r="G17" s="6" t="n">
        <v>20.3</v>
      </c>
      <c r="H17" s="6" t="n">
        <v>18</v>
      </c>
      <c r="I17" s="6" t="n">
        <v>6.8</v>
      </c>
    </row>
    <row r="18" customFormat="false" ht="15" hidden="false" customHeight="false" outlineLevel="0" collapsed="false">
      <c r="A18" s="4" t="s">
        <v>24</v>
      </c>
      <c r="B18" s="5" t="n">
        <v>33.87</v>
      </c>
      <c r="C18" s="5" t="n">
        <v>5.23</v>
      </c>
      <c r="D18" s="6" t="n">
        <v>15.4</v>
      </c>
      <c r="E18" s="6" t="n">
        <v>23.5</v>
      </c>
      <c r="F18" s="6" t="n">
        <v>76.5</v>
      </c>
      <c r="G18" s="6" t="n">
        <v>11.3</v>
      </c>
      <c r="H18" s="6" t="n">
        <v>2.7</v>
      </c>
      <c r="I18" s="6" t="n">
        <v>5.4</v>
      </c>
    </row>
    <row r="19" customFormat="false" ht="15" hidden="false" customHeight="false" outlineLevel="0" collapsed="false">
      <c r="A19" s="4" t="s">
        <v>25</v>
      </c>
      <c r="B19" s="5" t="n">
        <v>22.9</v>
      </c>
      <c r="C19" s="5" t="n">
        <v>5.89</v>
      </c>
      <c r="D19" s="6" t="n">
        <v>25.7</v>
      </c>
      <c r="E19" s="6" t="n">
        <v>60.8</v>
      </c>
      <c r="F19" s="6" t="n">
        <v>39.2</v>
      </c>
      <c r="G19" s="6" t="n">
        <v>15.9</v>
      </c>
      <c r="H19" s="6" t="n">
        <v>9.7</v>
      </c>
      <c r="I19" s="6" t="n">
        <v>4.3</v>
      </c>
    </row>
    <row r="20" customFormat="false" ht="15" hidden="false" customHeight="false" outlineLevel="0" collapsed="false">
      <c r="A20" s="7" t="s">
        <v>26</v>
      </c>
      <c r="B20" s="8" t="n">
        <f aca="false">SUM(B5:B19)</f>
        <v>632.68</v>
      </c>
      <c r="C20" s="8" t="n">
        <f aca="false">SUM(C5:C19)</f>
        <v>128.28</v>
      </c>
      <c r="D20" s="9" t="s">
        <v>27</v>
      </c>
      <c r="E20" s="9" t="s">
        <v>27</v>
      </c>
      <c r="F20" s="9" t="s">
        <v>27</v>
      </c>
      <c r="G20" s="9" t="s">
        <v>27</v>
      </c>
      <c r="H20" s="9" t="s">
        <v>27</v>
      </c>
      <c r="I20" s="9" t="s">
        <v>27</v>
      </c>
    </row>
    <row r="22" customFormat="false" ht="15" hidden="false" customHeight="false" outlineLevel="0" collapsed="false">
      <c r="A22" s="10" t="s">
        <v>28</v>
      </c>
      <c r="B22" s="11" t="s">
        <v>29</v>
      </c>
      <c r="C22" s="11" t="s">
        <v>30</v>
      </c>
      <c r="D22" s="11" t="s">
        <v>31</v>
      </c>
      <c r="E22" s="11" t="s">
        <v>32</v>
      </c>
      <c r="F22" s="11" t="s">
        <v>33</v>
      </c>
      <c r="G22" s="11" t="s">
        <v>34</v>
      </c>
      <c r="H22" s="11" t="s">
        <v>35</v>
      </c>
      <c r="I22" s="11" t="s">
        <v>36</v>
      </c>
    </row>
    <row r="24" customFormat="false" ht="15" hidden="false" customHeight="true" outlineLevel="0" collapsed="false">
      <c r="A24" s="12" t="s">
        <v>37</v>
      </c>
      <c r="B24" s="12"/>
      <c r="C24" s="12"/>
      <c r="D24" s="12"/>
      <c r="E24" s="12"/>
      <c r="F24" s="12"/>
      <c r="G24" s="12"/>
      <c r="H24" s="12"/>
      <c r="I24" s="12"/>
    </row>
    <row r="25" customFormat="false" ht="27.75" hidden="false" customHeight="true" outlineLevel="0" collapsed="false">
      <c r="A25" s="13" t="s">
        <v>38</v>
      </c>
      <c r="B25" s="13"/>
      <c r="C25" s="13"/>
      <c r="D25" s="13"/>
      <c r="E25" s="13"/>
      <c r="F25" s="13"/>
      <c r="G25" s="13"/>
      <c r="H25" s="13"/>
      <c r="I25" s="13"/>
    </row>
    <row r="26" customFormat="false" ht="27.75" hidden="false" customHeight="true" outlineLevel="0" collapsed="false">
      <c r="A26" s="13" t="s">
        <v>39</v>
      </c>
      <c r="B26" s="13"/>
      <c r="C26" s="13"/>
      <c r="D26" s="13"/>
      <c r="E26" s="13"/>
      <c r="F26" s="13"/>
      <c r="G26" s="13"/>
      <c r="H26" s="13"/>
      <c r="I26" s="13"/>
    </row>
    <row r="27" customFormat="false" ht="27.75" hidden="false" customHeight="true" outlineLevel="0" collapsed="false">
      <c r="A27" s="13" t="s">
        <v>40</v>
      </c>
      <c r="B27" s="13"/>
      <c r="C27" s="13"/>
      <c r="D27" s="13"/>
      <c r="E27" s="13"/>
      <c r="F27" s="13"/>
      <c r="G27" s="13"/>
      <c r="H27" s="13"/>
      <c r="I27" s="13"/>
    </row>
    <row r="28" customFormat="false" ht="27.75" hidden="false" customHeight="true" outlineLevel="0" collapsed="false">
      <c r="A28" s="13" t="s">
        <v>41</v>
      </c>
      <c r="B28" s="13"/>
      <c r="C28" s="13"/>
      <c r="D28" s="13"/>
      <c r="E28" s="13"/>
      <c r="F28" s="13"/>
      <c r="G28" s="13"/>
      <c r="H28" s="13"/>
      <c r="I28" s="13"/>
    </row>
    <row r="29" customFormat="false" ht="27.75" hidden="false" customHeight="true" outlineLevel="0" collapsed="false">
      <c r="A29" s="13" t="s">
        <v>42</v>
      </c>
      <c r="B29" s="13"/>
      <c r="C29" s="13"/>
      <c r="D29" s="13"/>
      <c r="E29" s="13"/>
      <c r="F29" s="13"/>
      <c r="G29" s="13"/>
      <c r="H29" s="13"/>
      <c r="I29" s="13"/>
    </row>
  </sheetData>
  <mergeCells count="8">
    <mergeCell ref="A1:I1"/>
    <mergeCell ref="A2:I2"/>
    <mergeCell ref="A24:I24"/>
    <mergeCell ref="A25:I25"/>
    <mergeCell ref="A26:I26"/>
    <mergeCell ref="A27:I27"/>
    <mergeCell ref="A28:I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4" customFormat="false" ht="42" hidden="false" customHeight="true" outlineLevel="0" collapsed="false">
      <c r="A4" s="3" t="s">
        <v>2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8</v>
      </c>
      <c r="H4" s="3" t="s">
        <v>50</v>
      </c>
    </row>
    <row r="5" customFormat="false" ht="15" hidden="false" customHeight="false" outlineLevel="0" collapsed="false">
      <c r="A5" s="4" t="s">
        <v>11</v>
      </c>
      <c r="B5" s="5" t="n">
        <v>61.01</v>
      </c>
      <c r="C5" s="14" t="n">
        <v>653232</v>
      </c>
      <c r="D5" s="14" t="n">
        <v>17417312</v>
      </c>
      <c r="E5" s="14" t="n">
        <v>12525360</v>
      </c>
      <c r="F5" s="14" t="n">
        <v>4891952</v>
      </c>
      <c r="G5" s="15" t="n">
        <v>26.66</v>
      </c>
      <c r="H5" s="15" t="n">
        <v>19.2</v>
      </c>
    </row>
    <row r="6" customFormat="false" ht="15" hidden="false" customHeight="false" outlineLevel="0" collapsed="false">
      <c r="A6" s="4" t="s">
        <v>12</v>
      </c>
      <c r="B6" s="5" t="n">
        <v>33.57</v>
      </c>
      <c r="C6" s="14" t="n">
        <v>425298</v>
      </c>
      <c r="D6" s="14" t="n">
        <v>4456612</v>
      </c>
      <c r="E6" s="14" t="n">
        <v>3640155</v>
      </c>
      <c r="F6" s="14" t="n">
        <v>816457</v>
      </c>
      <c r="G6" s="15" t="n">
        <v>10.48</v>
      </c>
      <c r="H6" s="15" t="n">
        <v>8.6</v>
      </c>
    </row>
    <row r="7" customFormat="false" ht="15" hidden="false" customHeight="false" outlineLevel="0" collapsed="false">
      <c r="A7" s="4" t="s">
        <v>13</v>
      </c>
      <c r="B7" s="5" t="n">
        <v>26.77</v>
      </c>
      <c r="C7" s="14" t="n">
        <v>355017</v>
      </c>
      <c r="D7" s="14" t="n">
        <v>2953281</v>
      </c>
      <c r="E7" s="14" t="n">
        <v>2860400</v>
      </c>
      <c r="F7" s="14" t="n">
        <v>92881</v>
      </c>
      <c r="G7" s="15" t="n">
        <v>8.32</v>
      </c>
      <c r="H7" s="15" t="n">
        <v>8.1</v>
      </c>
    </row>
    <row r="8" customFormat="false" ht="15" hidden="false" customHeight="false" outlineLevel="0" collapsed="false">
      <c r="A8" s="4" t="s">
        <v>14</v>
      </c>
      <c r="B8" s="5" t="n">
        <v>54.02</v>
      </c>
      <c r="C8" s="14" t="n">
        <v>628063</v>
      </c>
      <c r="D8" s="14" t="n">
        <v>14880827</v>
      </c>
      <c r="E8" s="14" t="n">
        <v>11301298</v>
      </c>
      <c r="F8" s="14" t="n">
        <v>3579529</v>
      </c>
      <c r="G8" s="15" t="n">
        <v>23.69</v>
      </c>
      <c r="H8" s="15" t="n">
        <v>18</v>
      </c>
    </row>
    <row r="9" customFormat="false" ht="15" hidden="false" customHeight="false" outlineLevel="0" collapsed="false">
      <c r="A9" s="4" t="s">
        <v>15</v>
      </c>
      <c r="B9" s="5" t="n">
        <v>16.32</v>
      </c>
      <c r="C9" s="14" t="n">
        <v>101740</v>
      </c>
      <c r="D9" s="14" t="n">
        <v>3340302</v>
      </c>
      <c r="E9" s="14" t="n">
        <v>1706630</v>
      </c>
      <c r="F9" s="14" t="n">
        <v>1633672</v>
      </c>
      <c r="G9" s="15" t="n">
        <v>32.83</v>
      </c>
      <c r="H9" s="15" t="n">
        <v>16.8</v>
      </c>
    </row>
    <row r="10" customFormat="false" ht="15" hidden="false" customHeight="false" outlineLevel="0" collapsed="false">
      <c r="A10" s="4" t="s">
        <v>16</v>
      </c>
      <c r="B10" s="5" t="n">
        <v>32.49</v>
      </c>
      <c r="C10" s="14" t="n">
        <v>521348</v>
      </c>
      <c r="D10" s="14" t="n">
        <v>3662124</v>
      </c>
      <c r="E10" s="14" t="n">
        <v>3165789</v>
      </c>
      <c r="F10" s="14" t="n">
        <v>496335</v>
      </c>
      <c r="G10" s="15" t="n">
        <v>7.02</v>
      </c>
      <c r="H10" s="15" t="n">
        <v>6.1</v>
      </c>
    </row>
    <row r="11" customFormat="false" ht="15" hidden="false" customHeight="false" outlineLevel="0" collapsed="false">
      <c r="A11" s="4" t="s">
        <v>17</v>
      </c>
      <c r="B11" s="5" t="n">
        <v>75.26</v>
      </c>
      <c r="C11" s="14" t="n">
        <v>1143147</v>
      </c>
      <c r="D11" s="14" t="n">
        <v>9654424</v>
      </c>
      <c r="E11" s="14" t="n">
        <v>5660407</v>
      </c>
      <c r="F11" s="14" t="n">
        <v>3994017</v>
      </c>
      <c r="G11" s="15" t="n">
        <v>8.45</v>
      </c>
      <c r="H11" s="15" t="n">
        <v>5</v>
      </c>
    </row>
    <row r="12" customFormat="false" ht="15" hidden="false" customHeight="false" outlineLevel="0" collapsed="false">
      <c r="A12" s="4" t="s">
        <v>18</v>
      </c>
      <c r="B12" s="5" t="n">
        <v>23.08</v>
      </c>
      <c r="C12" s="14" t="n">
        <v>395025</v>
      </c>
      <c r="D12" s="14" t="n">
        <v>2885196</v>
      </c>
      <c r="E12" s="14" t="n">
        <v>1748992</v>
      </c>
      <c r="F12" s="14" t="n">
        <v>1136204</v>
      </c>
      <c r="G12" s="15" t="n">
        <v>7.3</v>
      </c>
      <c r="H12" s="15" t="n">
        <v>4.4</v>
      </c>
    </row>
    <row r="13" customFormat="false" ht="15" hidden="false" customHeight="false" outlineLevel="0" collapsed="false">
      <c r="A13" s="4" t="s">
        <v>19</v>
      </c>
      <c r="B13" s="5" t="n">
        <v>101.83</v>
      </c>
      <c r="C13" s="14" t="n">
        <v>1716898</v>
      </c>
      <c r="D13" s="14" t="n">
        <v>12236961</v>
      </c>
      <c r="E13" s="14" t="n">
        <v>5325832</v>
      </c>
      <c r="F13" s="14" t="n">
        <v>6911129</v>
      </c>
      <c r="G13" s="15" t="n">
        <v>7.13</v>
      </c>
      <c r="H13" s="15" t="n">
        <v>3.1</v>
      </c>
    </row>
    <row r="14" customFormat="false" ht="15" hidden="false" customHeight="false" outlineLevel="0" collapsed="false">
      <c r="A14" s="4" t="s">
        <v>20</v>
      </c>
      <c r="B14" s="5" t="n">
        <v>13.39</v>
      </c>
      <c r="C14" s="14" t="n">
        <v>177336</v>
      </c>
      <c r="D14" s="14" t="n">
        <v>2928436</v>
      </c>
      <c r="E14" s="14" t="n">
        <v>2439091</v>
      </c>
      <c r="F14" s="14" t="n">
        <v>489345</v>
      </c>
      <c r="G14" s="15" t="n">
        <v>16.51</v>
      </c>
      <c r="H14" s="15" t="n">
        <v>13.8</v>
      </c>
    </row>
    <row r="15" customFormat="false" ht="15" hidden="false" customHeight="false" outlineLevel="0" collapsed="false">
      <c r="A15" s="4" t="s">
        <v>21</v>
      </c>
      <c r="B15" s="5" t="n">
        <v>46.99</v>
      </c>
      <c r="C15" s="14" t="n">
        <v>353534</v>
      </c>
      <c r="D15" s="14" t="n">
        <v>14673613</v>
      </c>
      <c r="E15" s="14" t="n">
        <v>12439308</v>
      </c>
      <c r="F15" s="14" t="n">
        <v>2234305</v>
      </c>
      <c r="G15" s="15" t="n">
        <v>41.51</v>
      </c>
      <c r="H15" s="15" t="n">
        <v>35.2</v>
      </c>
    </row>
    <row r="16" customFormat="false" ht="15" hidden="false" customHeight="false" outlineLevel="0" collapsed="false">
      <c r="A16" s="4" t="s">
        <v>51</v>
      </c>
      <c r="B16" s="5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5" t="n">
        <v>0</v>
      </c>
      <c r="H16" s="15" t="n">
        <v>0</v>
      </c>
    </row>
    <row r="17" customFormat="false" ht="15" hidden="false" customHeight="false" outlineLevel="0" collapsed="false">
      <c r="A17" s="4" t="s">
        <v>22</v>
      </c>
      <c r="B17" s="5" t="n">
        <v>19.8</v>
      </c>
      <c r="C17" s="14" t="n">
        <v>244828</v>
      </c>
      <c r="D17" s="14" t="n">
        <v>1945778</v>
      </c>
      <c r="E17" s="14" t="n">
        <v>783932</v>
      </c>
      <c r="F17" s="14" t="n">
        <v>1161846</v>
      </c>
      <c r="G17" s="15" t="n">
        <v>7.95</v>
      </c>
      <c r="H17" s="15" t="n">
        <v>3.2</v>
      </c>
    </row>
    <row r="18" customFormat="false" ht="15" hidden="false" customHeight="false" outlineLevel="0" collapsed="false">
      <c r="A18" s="4" t="s">
        <v>23</v>
      </c>
      <c r="B18" s="5" t="n">
        <v>48.12</v>
      </c>
      <c r="C18" s="14" t="n">
        <v>472552</v>
      </c>
      <c r="D18" s="14" t="n">
        <v>11079734</v>
      </c>
      <c r="E18" s="14" t="n">
        <v>9038890</v>
      </c>
      <c r="F18" s="14" t="n">
        <v>2040844</v>
      </c>
      <c r="G18" s="15" t="n">
        <v>23.45</v>
      </c>
      <c r="H18" s="15" t="n">
        <v>19.1</v>
      </c>
    </row>
    <row r="19" customFormat="false" ht="15" hidden="false" customHeight="false" outlineLevel="0" collapsed="false">
      <c r="A19" s="4" t="s">
        <v>24</v>
      </c>
      <c r="B19" s="5" t="n">
        <v>33.89</v>
      </c>
      <c r="C19" s="14" t="n">
        <v>447459</v>
      </c>
      <c r="D19" s="14" t="n">
        <v>6044086</v>
      </c>
      <c r="E19" s="14" t="n">
        <v>2631040</v>
      </c>
      <c r="F19" s="14" t="n">
        <v>3413046</v>
      </c>
      <c r="G19" s="15" t="n">
        <v>13.51</v>
      </c>
      <c r="H19" s="15" t="n">
        <v>5.9</v>
      </c>
    </row>
    <row r="20" customFormat="false" ht="15" hidden="false" customHeight="false" outlineLevel="0" collapsed="false">
      <c r="A20" s="4" t="s">
        <v>25</v>
      </c>
      <c r="B20" s="5" t="n">
        <v>22.49</v>
      </c>
      <c r="C20" s="14" t="n">
        <v>201008</v>
      </c>
      <c r="D20" s="14" t="n">
        <v>4741031</v>
      </c>
      <c r="E20" s="14" t="n">
        <v>2790732</v>
      </c>
      <c r="F20" s="14" t="n">
        <v>1950299</v>
      </c>
      <c r="G20" s="15" t="n">
        <v>23.59</v>
      </c>
      <c r="H20" s="15" t="n">
        <v>13.9</v>
      </c>
    </row>
    <row r="21" customFormat="false" ht="15" hidden="false" customHeight="false" outlineLevel="0" collapsed="false">
      <c r="A21" s="16" t="s">
        <v>52</v>
      </c>
      <c r="B21" s="17" t="n">
        <f aca="false">SUM(B5:B20)</f>
        <v>609.03</v>
      </c>
      <c r="C21" s="18" t="n">
        <f aca="false">SUM(C5:C20)</f>
        <v>7836485</v>
      </c>
      <c r="D21" s="18" t="n">
        <f aca="false">SUM(D5:D20)</f>
        <v>112899717</v>
      </c>
      <c r="E21" s="18" t="n">
        <f aca="false">SUM(E5:E20)</f>
        <v>78057856</v>
      </c>
      <c r="F21" s="18" t="n">
        <f aca="false">SUM(F5:F20)</f>
        <v>34841861</v>
      </c>
      <c r="G21" s="19" t="n">
        <f aca="false">D21/C21</f>
        <v>14.4069333380974</v>
      </c>
      <c r="H21" s="19" t="n">
        <f aca="false">E21/C21</f>
        <v>9.96082503826652</v>
      </c>
    </row>
    <row r="23" customFormat="false" ht="15" hidden="false" customHeight="true" outlineLevel="0" collapsed="false">
      <c r="A23" s="12" t="s">
        <v>37</v>
      </c>
      <c r="B23" s="12"/>
      <c r="C23" s="12"/>
      <c r="D23" s="12"/>
      <c r="E23" s="12"/>
      <c r="F23" s="12"/>
      <c r="G23" s="12"/>
      <c r="H23" s="12"/>
    </row>
    <row r="24" customFormat="false" ht="27.75" hidden="false" customHeight="true" outlineLevel="0" collapsed="false">
      <c r="A24" s="13" t="s">
        <v>53</v>
      </c>
      <c r="B24" s="13"/>
      <c r="C24" s="13"/>
      <c r="D24" s="13"/>
      <c r="E24" s="13"/>
      <c r="F24" s="13"/>
      <c r="G24" s="13"/>
      <c r="H24" s="13"/>
    </row>
    <row r="25" customFormat="false" ht="27.75" hidden="false" customHeight="true" outlineLevel="0" collapsed="false">
      <c r="A25" s="13" t="s">
        <v>54</v>
      </c>
      <c r="B25" s="13"/>
      <c r="C25" s="13"/>
      <c r="D25" s="13"/>
      <c r="E25" s="13"/>
      <c r="F25" s="13"/>
      <c r="G25" s="13"/>
      <c r="H25" s="13"/>
    </row>
    <row r="26" customFormat="false" ht="27.75" hidden="false" customHeight="true" outlineLevel="0" collapsed="false">
      <c r="A26" s="13" t="s">
        <v>55</v>
      </c>
      <c r="B26" s="13"/>
      <c r="C26" s="13"/>
      <c r="D26" s="13"/>
      <c r="E26" s="13"/>
      <c r="F26" s="13"/>
      <c r="G26" s="13"/>
      <c r="H26" s="13"/>
    </row>
    <row r="27" customFormat="false" ht="27.75" hidden="false" customHeight="true" outlineLevel="0" collapsed="false">
      <c r="A27" s="13" t="s">
        <v>56</v>
      </c>
      <c r="B27" s="13"/>
      <c r="C27" s="13"/>
      <c r="D27" s="13"/>
      <c r="E27" s="13"/>
      <c r="F27" s="13"/>
      <c r="G27" s="13"/>
      <c r="H27" s="13"/>
    </row>
    <row r="28" customFormat="false" ht="27.75" hidden="false" customHeight="true" outlineLevel="0" collapsed="false">
      <c r="A28" s="13" t="s">
        <v>57</v>
      </c>
      <c r="B28" s="13"/>
      <c r="C28" s="13"/>
      <c r="D28" s="13"/>
      <c r="E28" s="13"/>
      <c r="F28" s="13"/>
      <c r="G28" s="13"/>
      <c r="H28" s="13"/>
    </row>
  </sheetData>
  <mergeCells count="8">
    <mergeCell ref="A1:H1"/>
    <mergeCell ref="A2:H2"/>
    <mergeCell ref="A23:H23"/>
    <mergeCell ref="A24:H24"/>
    <mergeCell ref="A25:H25"/>
    <mergeCell ref="A26:H26"/>
    <mergeCell ref="A27:H2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58</v>
      </c>
      <c r="B1" s="1"/>
      <c r="C1" s="1"/>
      <c r="D1" s="1"/>
      <c r="E1" s="1"/>
    </row>
    <row r="2" customFormat="false" ht="33.75" hidden="false" customHeight="true" outlineLevel="0" collapsed="false">
      <c r="A2" s="2" t="s">
        <v>59</v>
      </c>
      <c r="B2" s="2"/>
      <c r="C2" s="2"/>
      <c r="D2" s="2"/>
      <c r="E2" s="2"/>
    </row>
    <row r="4" customFormat="false" ht="42" hidden="false" customHeight="true" outlineLevel="0" collapsed="false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</row>
    <row r="5" customFormat="false" ht="15" hidden="false" customHeight="false" outlineLevel="0" collapsed="false">
      <c r="A5" s="4" t="s">
        <v>11</v>
      </c>
      <c r="B5" s="14" t="n">
        <v>749982</v>
      </c>
      <c r="C5" s="20" t="n">
        <v>4913463.7</v>
      </c>
      <c r="D5" s="5" t="n">
        <f aca="false">C5/10000</f>
        <v>491.34637</v>
      </c>
      <c r="E5" s="15" t="n">
        <f aca="false">C5/B5</f>
        <v>6.55144216794536</v>
      </c>
    </row>
    <row r="6" customFormat="false" ht="15" hidden="false" customHeight="false" outlineLevel="0" collapsed="false">
      <c r="A6" s="4" t="s">
        <v>12</v>
      </c>
      <c r="B6" s="14" t="n">
        <v>400161</v>
      </c>
      <c r="C6" s="20" t="n">
        <v>3980866.7</v>
      </c>
      <c r="D6" s="5" t="n">
        <f aca="false">C6/10000</f>
        <v>398.08667</v>
      </c>
      <c r="E6" s="15" t="n">
        <f aca="false">C6/B6</f>
        <v>9.94816261454765</v>
      </c>
    </row>
    <row r="7" customFormat="false" ht="15" hidden="false" customHeight="false" outlineLevel="0" collapsed="false">
      <c r="A7" s="4" t="s">
        <v>13</v>
      </c>
      <c r="B7" s="14" t="n">
        <v>417416</v>
      </c>
      <c r="C7" s="20" t="n">
        <v>929230.8</v>
      </c>
      <c r="D7" s="5" t="n">
        <f aca="false">C7/10000</f>
        <v>92.92308</v>
      </c>
      <c r="E7" s="15" t="n">
        <f aca="false">C7/B7</f>
        <v>2.22615041110068</v>
      </c>
    </row>
    <row r="8" customFormat="false" ht="15" hidden="false" customHeight="false" outlineLevel="0" collapsed="false">
      <c r="A8" s="4" t="s">
        <v>14</v>
      </c>
      <c r="B8" s="14" t="n">
        <v>608479</v>
      </c>
      <c r="C8" s="20" t="n">
        <v>9157547.7</v>
      </c>
      <c r="D8" s="5" t="n">
        <f aca="false">C8/10000</f>
        <v>915.75477</v>
      </c>
      <c r="E8" s="15" t="n">
        <f aca="false">C8/B8</f>
        <v>15.0498993391719</v>
      </c>
    </row>
    <row r="9" customFormat="false" ht="15" hidden="false" customHeight="false" outlineLevel="0" collapsed="false">
      <c r="A9" s="4" t="s">
        <v>15</v>
      </c>
      <c r="B9" s="14" t="n">
        <v>199224</v>
      </c>
      <c r="C9" s="20" t="n">
        <v>2048957.7</v>
      </c>
      <c r="D9" s="5" t="n">
        <f aca="false">C9/10000</f>
        <v>204.89577</v>
      </c>
      <c r="E9" s="15" t="n">
        <f aca="false">C9/B9</f>
        <v>10.2846931092639</v>
      </c>
    </row>
    <row r="10" customFormat="false" ht="15" hidden="false" customHeight="false" outlineLevel="0" collapsed="false">
      <c r="A10" s="4" t="s">
        <v>16</v>
      </c>
      <c r="B10" s="14" t="n">
        <v>532553</v>
      </c>
      <c r="C10" s="20" t="n">
        <v>1915961</v>
      </c>
      <c r="D10" s="5" t="n">
        <f aca="false">C10/10000</f>
        <v>191.5961</v>
      </c>
      <c r="E10" s="15" t="n">
        <f aca="false">C10/B10</f>
        <v>3.59769074627314</v>
      </c>
    </row>
    <row r="11" customFormat="false" ht="15" hidden="false" customHeight="false" outlineLevel="0" collapsed="false">
      <c r="A11" s="4" t="s">
        <v>17</v>
      </c>
      <c r="B11" s="14" t="n">
        <v>1164477</v>
      </c>
      <c r="C11" s="20" t="n">
        <v>7851619.6</v>
      </c>
      <c r="D11" s="5" t="n">
        <f aca="false">C11/10000</f>
        <v>785.16196</v>
      </c>
      <c r="E11" s="15" t="n">
        <f aca="false">C11/B11</f>
        <v>6.74261458148164</v>
      </c>
    </row>
    <row r="12" customFormat="false" ht="15" hidden="false" customHeight="false" outlineLevel="0" collapsed="false">
      <c r="A12" s="4" t="s">
        <v>18</v>
      </c>
      <c r="B12" s="14" t="n">
        <v>390348</v>
      </c>
      <c r="C12" s="20" t="n">
        <v>1944289</v>
      </c>
      <c r="D12" s="5" t="n">
        <f aca="false">C12/10000</f>
        <v>194.4289</v>
      </c>
      <c r="E12" s="15" t="n">
        <f aca="false">C12/B12</f>
        <v>4.98091190424954</v>
      </c>
    </row>
    <row r="13" customFormat="false" ht="15" hidden="false" customHeight="false" outlineLevel="0" collapsed="false">
      <c r="A13" s="4" t="s">
        <v>19</v>
      </c>
      <c r="B13" s="14" t="n">
        <v>1827868</v>
      </c>
      <c r="C13" s="20" t="n">
        <v>9834858.6</v>
      </c>
      <c r="D13" s="5" t="n">
        <f aca="false">C13/10000</f>
        <v>983.48586</v>
      </c>
      <c r="E13" s="15" t="n">
        <f aca="false">C13/B13</f>
        <v>5.38050811108898</v>
      </c>
    </row>
    <row r="14" customFormat="false" ht="15" hidden="false" customHeight="false" outlineLevel="0" collapsed="false">
      <c r="A14" s="4" t="s">
        <v>20</v>
      </c>
      <c r="B14" s="14" t="n">
        <v>243886</v>
      </c>
      <c r="C14" s="20" t="n">
        <v>1335114.4</v>
      </c>
      <c r="D14" s="5" t="n">
        <f aca="false">C14/10000</f>
        <v>133.51144</v>
      </c>
      <c r="E14" s="15" t="n">
        <f aca="false">C14/B14</f>
        <v>5.4743380103819</v>
      </c>
    </row>
    <row r="15" customFormat="false" ht="15" hidden="false" customHeight="false" outlineLevel="0" collapsed="false">
      <c r="A15" s="4" t="s">
        <v>21</v>
      </c>
      <c r="B15" s="14" t="n">
        <v>364439</v>
      </c>
      <c r="C15" s="20" t="n">
        <v>5607701.5</v>
      </c>
      <c r="D15" s="5" t="n">
        <f aca="false">C15/10000</f>
        <v>560.77015</v>
      </c>
      <c r="E15" s="15" t="n">
        <f aca="false">C15/B15</f>
        <v>15.3872156931613</v>
      </c>
    </row>
    <row r="16" customFormat="false" ht="15" hidden="false" customHeight="false" outlineLevel="0" collapsed="false">
      <c r="A16" s="4" t="s">
        <v>51</v>
      </c>
      <c r="B16" s="14" t="n">
        <v>137927</v>
      </c>
      <c r="C16" s="20" t="n">
        <v>309724</v>
      </c>
      <c r="D16" s="5" t="n">
        <f aca="false">C16/10000</f>
        <v>30.9724</v>
      </c>
      <c r="E16" s="15" t="n">
        <f aca="false">C16/B16</f>
        <v>2.24556468276697</v>
      </c>
    </row>
    <row r="17" customFormat="false" ht="15" hidden="false" customHeight="false" outlineLevel="0" collapsed="false">
      <c r="A17" s="4" t="s">
        <v>22</v>
      </c>
      <c r="B17" s="14" t="n">
        <v>361593</v>
      </c>
      <c r="C17" s="20" t="n">
        <v>3054084.7</v>
      </c>
      <c r="D17" s="5" t="n">
        <f aca="false">C17/10000</f>
        <v>305.40847</v>
      </c>
      <c r="E17" s="15" t="n">
        <f aca="false">C17/B17</f>
        <v>8.44619420176829</v>
      </c>
    </row>
    <row r="18" customFormat="false" ht="15" hidden="false" customHeight="false" outlineLevel="0" collapsed="false">
      <c r="A18" s="4" t="s">
        <v>23</v>
      </c>
      <c r="B18" s="14" t="n">
        <v>677104</v>
      </c>
      <c r="C18" s="20" t="n">
        <v>6530744.7</v>
      </c>
      <c r="D18" s="5" t="n">
        <f aca="false">C18/10000</f>
        <v>653.07447</v>
      </c>
      <c r="E18" s="15" t="n">
        <f aca="false">C18/B18</f>
        <v>9.64511315839221</v>
      </c>
    </row>
    <row r="19" customFormat="false" ht="15" hidden="false" customHeight="false" outlineLevel="0" collapsed="false">
      <c r="A19" s="4" t="s">
        <v>24</v>
      </c>
      <c r="B19" s="14" t="n">
        <v>427263</v>
      </c>
      <c r="C19" s="20" t="n">
        <v>5805150.1</v>
      </c>
      <c r="D19" s="5" t="n">
        <f aca="false">C19/10000</f>
        <v>580.51501</v>
      </c>
      <c r="E19" s="15" t="n">
        <f aca="false">C19/B19</f>
        <v>13.5868308278508</v>
      </c>
    </row>
    <row r="20" customFormat="false" ht="15" hidden="false" customHeight="false" outlineLevel="0" collapsed="false">
      <c r="A20" s="4" t="s">
        <v>25</v>
      </c>
      <c r="B20" s="14" t="n">
        <v>415933</v>
      </c>
      <c r="C20" s="20" t="n">
        <v>2092259.6</v>
      </c>
      <c r="D20" s="5" t="n">
        <f aca="false">C20/10000</f>
        <v>209.22596</v>
      </c>
      <c r="E20" s="15" t="n">
        <f aca="false">C20/B20</f>
        <v>5.03028035765376</v>
      </c>
    </row>
    <row r="21" customFormat="false" ht="15" hidden="false" customHeight="false" outlineLevel="0" collapsed="false">
      <c r="A21" s="16" t="s">
        <v>65</v>
      </c>
      <c r="B21" s="18" t="n">
        <f aca="false">SUM(B5:B20)</f>
        <v>8918653</v>
      </c>
      <c r="C21" s="21" t="n">
        <f aca="false">SUM(C5:C20)</f>
        <v>67311573.8</v>
      </c>
      <c r="D21" s="17" t="n">
        <f aca="false">C21/10000</f>
        <v>6731.15738</v>
      </c>
      <c r="E21" s="19" t="n">
        <f aca="false">C21/B21</f>
        <v>7.54728026754713</v>
      </c>
    </row>
    <row r="23" customFormat="false" ht="15" hidden="false" customHeight="true" outlineLevel="0" collapsed="false">
      <c r="A23" s="12" t="s">
        <v>37</v>
      </c>
      <c r="B23" s="12"/>
      <c r="C23" s="12"/>
      <c r="D23" s="12"/>
      <c r="E23" s="12"/>
    </row>
    <row r="24" customFormat="false" ht="27.75" hidden="false" customHeight="true" outlineLevel="0" collapsed="false">
      <c r="A24" s="13" t="s">
        <v>66</v>
      </c>
      <c r="B24" s="13"/>
      <c r="C24" s="13"/>
      <c r="D24" s="13"/>
      <c r="E24" s="13"/>
    </row>
    <row r="25" customFormat="false" ht="27.75" hidden="false" customHeight="true" outlineLevel="0" collapsed="false">
      <c r="A25" s="13" t="s">
        <v>67</v>
      </c>
      <c r="B25" s="13"/>
      <c r="C25" s="13"/>
      <c r="D25" s="13"/>
      <c r="E25" s="13"/>
    </row>
    <row r="26" customFormat="false" ht="27.75" hidden="false" customHeight="true" outlineLevel="0" collapsed="false">
      <c r="A26" s="13" t="s">
        <v>68</v>
      </c>
      <c r="B26" s="13"/>
      <c r="C26" s="13"/>
      <c r="D26" s="13"/>
      <c r="E26" s="13"/>
    </row>
    <row r="27" customFormat="false" ht="27.75" hidden="false" customHeight="true" outlineLevel="0" collapsed="false">
      <c r="A27" s="13" t="s">
        <v>69</v>
      </c>
      <c r="B27" s="13"/>
      <c r="C27" s="13"/>
      <c r="D27" s="13"/>
      <c r="E27" s="13"/>
    </row>
  </sheetData>
  <mergeCells count="7">
    <mergeCell ref="A1:E1"/>
    <mergeCell ref="A2:E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27.75" hidden="false" customHeight="true" outlineLevel="0" collapsed="false">
      <c r="A1" s="1" t="s">
        <v>70</v>
      </c>
      <c r="B1" s="1"/>
      <c r="C1" s="1"/>
      <c r="D1" s="1"/>
    </row>
    <row r="2" customFormat="false" ht="33.75" hidden="false" customHeight="true" outlineLevel="0" collapsed="false">
      <c r="A2" s="2" t="s">
        <v>71</v>
      </c>
      <c r="B2" s="2"/>
      <c r="C2" s="2"/>
      <c r="D2" s="2"/>
    </row>
    <row r="4" customFormat="false" ht="42" hidden="false" customHeight="true" outlineLevel="0" collapsed="false">
      <c r="A4" s="3" t="s">
        <v>60</v>
      </c>
      <c r="B4" s="3" t="s">
        <v>72</v>
      </c>
      <c r="C4" s="3" t="s">
        <v>73</v>
      </c>
      <c r="D4" s="3" t="s">
        <v>74</v>
      </c>
    </row>
    <row r="5" customFormat="false" ht="15" hidden="false" customHeight="false" outlineLevel="0" collapsed="false">
      <c r="A5" s="4" t="s">
        <v>11</v>
      </c>
      <c r="B5" s="15" t="n">
        <v>35.8</v>
      </c>
      <c r="C5" s="15" t="n">
        <v>26.66</v>
      </c>
      <c r="D5" s="15" t="n">
        <v>6.55</v>
      </c>
    </row>
    <row r="6" customFormat="false" ht="15" hidden="false" customHeight="false" outlineLevel="0" collapsed="false">
      <c r="A6" s="4" t="s">
        <v>12</v>
      </c>
      <c r="B6" s="15" t="n">
        <v>9.7</v>
      </c>
      <c r="C6" s="15" t="n">
        <v>10.48</v>
      </c>
      <c r="D6" s="15" t="n">
        <v>9.95</v>
      </c>
    </row>
    <row r="7" customFormat="false" ht="15" hidden="false" customHeight="false" outlineLevel="0" collapsed="false">
      <c r="A7" s="4" t="s">
        <v>13</v>
      </c>
      <c r="B7" s="15" t="n">
        <v>3.3</v>
      </c>
      <c r="C7" s="15" t="n">
        <v>8.32</v>
      </c>
      <c r="D7" s="15" t="n">
        <v>2.23</v>
      </c>
    </row>
    <row r="8" customFormat="false" ht="15" hidden="false" customHeight="false" outlineLevel="0" collapsed="false">
      <c r="A8" s="4" t="s">
        <v>14</v>
      </c>
      <c r="B8" s="15" t="n">
        <v>31.4</v>
      </c>
      <c r="C8" s="15" t="n">
        <v>23.69</v>
      </c>
      <c r="D8" s="15" t="n">
        <v>15.05</v>
      </c>
    </row>
    <row r="9" customFormat="false" ht="15" hidden="false" customHeight="false" outlineLevel="0" collapsed="false">
      <c r="A9" s="4" t="s">
        <v>15</v>
      </c>
      <c r="B9" s="15" t="n">
        <v>36.7</v>
      </c>
      <c r="C9" s="15" t="n">
        <v>32.83</v>
      </c>
      <c r="D9" s="15" t="n">
        <v>10.28</v>
      </c>
    </row>
    <row r="10" customFormat="false" ht="15" hidden="false" customHeight="false" outlineLevel="0" collapsed="false">
      <c r="A10" s="4" t="s">
        <v>16</v>
      </c>
      <c r="B10" s="15" t="n">
        <v>3.5</v>
      </c>
      <c r="C10" s="15" t="n">
        <v>7.02</v>
      </c>
      <c r="D10" s="15" t="n">
        <v>3.6</v>
      </c>
    </row>
    <row r="11" customFormat="false" ht="15" hidden="false" customHeight="false" outlineLevel="0" collapsed="false">
      <c r="A11" s="4" t="s">
        <v>17</v>
      </c>
      <c r="B11" s="15" t="n">
        <v>11.5</v>
      </c>
      <c r="C11" s="15" t="n">
        <v>8.45</v>
      </c>
      <c r="D11" s="15" t="n">
        <v>6.74</v>
      </c>
    </row>
    <row r="12" customFormat="false" ht="15" hidden="false" customHeight="false" outlineLevel="0" collapsed="false">
      <c r="A12" s="4" t="s">
        <v>18</v>
      </c>
      <c r="B12" s="15" t="n">
        <v>5.5</v>
      </c>
      <c r="C12" s="15" t="n">
        <v>7.3</v>
      </c>
      <c r="D12" s="15" t="n">
        <v>4.98</v>
      </c>
    </row>
    <row r="13" customFormat="false" ht="15" hidden="false" customHeight="false" outlineLevel="0" collapsed="false">
      <c r="A13" s="4" t="s">
        <v>19</v>
      </c>
      <c r="B13" s="15" t="n">
        <v>10.3</v>
      </c>
      <c r="C13" s="15" t="n">
        <v>7.13</v>
      </c>
      <c r="D13" s="15" t="n">
        <v>5.38</v>
      </c>
    </row>
    <row r="14" customFormat="false" ht="15" hidden="false" customHeight="false" outlineLevel="0" collapsed="false">
      <c r="A14" s="4" t="s">
        <v>20</v>
      </c>
      <c r="B14" s="15" t="n">
        <v>8.3</v>
      </c>
      <c r="C14" s="15" t="n">
        <v>16.51</v>
      </c>
      <c r="D14" s="15" t="n">
        <v>5.47</v>
      </c>
    </row>
    <row r="15" customFormat="false" ht="15" hidden="false" customHeight="false" outlineLevel="0" collapsed="false">
      <c r="A15" s="4" t="s">
        <v>21</v>
      </c>
      <c r="B15" s="15" t="n">
        <v>25.2</v>
      </c>
      <c r="C15" s="15" t="n">
        <v>41.51</v>
      </c>
      <c r="D15" s="15" t="n">
        <v>15.39</v>
      </c>
    </row>
    <row r="16" customFormat="false" ht="15" hidden="false" customHeight="false" outlineLevel="0" collapsed="false">
      <c r="A16" s="4" t="s">
        <v>51</v>
      </c>
      <c r="B16" s="4" t="s">
        <v>75</v>
      </c>
      <c r="C16" s="15" t="n">
        <v>0</v>
      </c>
      <c r="D16" s="15" t="n">
        <v>2.25</v>
      </c>
    </row>
    <row r="17" customFormat="false" ht="15" hidden="false" customHeight="false" outlineLevel="0" collapsed="false">
      <c r="A17" s="4" t="s">
        <v>22</v>
      </c>
      <c r="B17" s="15" t="n">
        <v>7.5</v>
      </c>
      <c r="C17" s="15" t="n">
        <v>7.95</v>
      </c>
      <c r="D17" s="15" t="n">
        <v>8.45</v>
      </c>
    </row>
    <row r="18" customFormat="false" ht="15" hidden="false" customHeight="false" outlineLevel="0" collapsed="false">
      <c r="A18" s="4" t="s">
        <v>23</v>
      </c>
      <c r="B18" s="15" t="n">
        <v>20.3</v>
      </c>
      <c r="C18" s="15" t="n">
        <v>23.45</v>
      </c>
      <c r="D18" s="15" t="n">
        <v>9.65</v>
      </c>
    </row>
    <row r="19" customFormat="false" ht="15" hidden="false" customHeight="false" outlineLevel="0" collapsed="false">
      <c r="A19" s="4" t="s">
        <v>24</v>
      </c>
      <c r="B19" s="15" t="n">
        <v>11.3</v>
      </c>
      <c r="C19" s="15" t="n">
        <v>13.51</v>
      </c>
      <c r="D19" s="15" t="n">
        <v>13.59</v>
      </c>
    </row>
    <row r="20" customFormat="false" ht="15" hidden="false" customHeight="false" outlineLevel="0" collapsed="false">
      <c r="A20" s="4" t="s">
        <v>25</v>
      </c>
      <c r="B20" s="15" t="n">
        <v>15.9</v>
      </c>
      <c r="C20" s="15" t="n">
        <v>23.59</v>
      </c>
      <c r="D20" s="15" t="n">
        <v>5.03</v>
      </c>
    </row>
    <row r="21" customFormat="false" ht="15" hidden="false" customHeight="false" outlineLevel="0" collapsed="false">
      <c r="A21" s="16" t="s">
        <v>76</v>
      </c>
      <c r="B21" s="19" t="n">
        <v>15.1</v>
      </c>
      <c r="C21" s="19" t="n">
        <v>14.41</v>
      </c>
      <c r="D21" s="19" t="n">
        <v>7.54</v>
      </c>
    </row>
    <row r="23" customFormat="false" ht="15" hidden="false" customHeight="true" outlineLevel="0" collapsed="false">
      <c r="A23" s="12" t="s">
        <v>77</v>
      </c>
      <c r="B23" s="12"/>
      <c r="C23" s="12"/>
      <c r="D23" s="12"/>
    </row>
    <row r="24" customFormat="false" ht="30" hidden="false" customHeight="true" outlineLevel="0" collapsed="false">
      <c r="A24" s="13" t="s">
        <v>78</v>
      </c>
      <c r="B24" s="13"/>
      <c r="C24" s="13"/>
      <c r="D24" s="13"/>
    </row>
    <row r="25" customFormat="false" ht="30" hidden="false" customHeight="true" outlineLevel="0" collapsed="false">
      <c r="A25" s="13" t="s">
        <v>79</v>
      </c>
      <c r="B25" s="13"/>
      <c r="C25" s="13"/>
      <c r="D25" s="13"/>
    </row>
    <row r="26" customFormat="false" ht="30" hidden="false" customHeight="true" outlineLevel="0" collapsed="false">
      <c r="A26" s="13" t="s">
        <v>80</v>
      </c>
      <c r="B26" s="13"/>
      <c r="C26" s="13"/>
      <c r="D26" s="13"/>
    </row>
    <row r="27" customFormat="false" ht="30" hidden="false" customHeight="true" outlineLevel="0" collapsed="false">
      <c r="A27" s="13" t="s">
        <v>81</v>
      </c>
      <c r="B27" s="13"/>
      <c r="C27" s="13"/>
      <c r="D27" s="13"/>
    </row>
    <row r="28" customFormat="false" ht="30" hidden="false" customHeight="true" outlineLevel="0" collapsed="false">
      <c r="A28" s="13" t="s">
        <v>82</v>
      </c>
      <c r="B28" s="13"/>
      <c r="C28" s="13"/>
      <c r="D28" s="13"/>
    </row>
  </sheetData>
  <mergeCells count="8">
    <mergeCell ref="A1:D1"/>
    <mergeCell ref="A2:D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36"/>
  </cols>
  <sheetData>
    <row r="1" customFormat="false" ht="27.75" hidden="false" customHeight="true" outlineLevel="0" collapsed="false">
      <c r="A1" s="1" t="s">
        <v>83</v>
      </c>
      <c r="B1" s="1"/>
      <c r="C1" s="1"/>
      <c r="D1" s="1"/>
    </row>
    <row r="2" customFormat="false" ht="33.75" hidden="false" customHeight="true" outlineLevel="0" collapsed="false">
      <c r="A2" s="2" t="s">
        <v>84</v>
      </c>
      <c r="B2" s="2"/>
      <c r="C2" s="2"/>
      <c r="D2" s="2"/>
    </row>
    <row r="4" customFormat="false" ht="42" hidden="false" customHeight="true" outlineLevel="0" collapsed="false">
      <c r="A4" s="3" t="s">
        <v>85</v>
      </c>
      <c r="B4" s="3" t="s">
        <v>86</v>
      </c>
      <c r="C4" s="3" t="s">
        <v>87</v>
      </c>
      <c r="D4" s="3" t="s">
        <v>88</v>
      </c>
    </row>
    <row r="5" customFormat="false" ht="30" hidden="false" customHeight="true" outlineLevel="0" collapsed="false">
      <c r="A5" s="22" t="s">
        <v>89</v>
      </c>
      <c r="B5" s="22" t="s">
        <v>90</v>
      </c>
      <c r="C5" s="22" t="s">
        <v>91</v>
      </c>
      <c r="D5" s="23" t="s">
        <v>92</v>
      </c>
    </row>
    <row r="6" customFormat="false" ht="30" hidden="false" customHeight="true" outlineLevel="0" collapsed="false">
      <c r="A6" s="22" t="s">
        <v>93</v>
      </c>
      <c r="B6" s="22" t="s">
        <v>94</v>
      </c>
      <c r="C6" s="22" t="s">
        <v>95</v>
      </c>
      <c r="D6" s="23" t="s">
        <v>92</v>
      </c>
    </row>
    <row r="7" customFormat="false" ht="30" hidden="false" customHeight="true" outlineLevel="0" collapsed="false">
      <c r="A7" s="22" t="s">
        <v>96</v>
      </c>
      <c r="B7" s="22" t="s">
        <v>97</v>
      </c>
      <c r="C7" s="22" t="s">
        <v>98</v>
      </c>
      <c r="D7" s="23" t="s">
        <v>99</v>
      </c>
    </row>
    <row r="8" customFormat="false" ht="30" hidden="false" customHeight="true" outlineLevel="0" collapsed="false">
      <c r="A8" s="22" t="s">
        <v>100</v>
      </c>
      <c r="B8" s="22" t="s">
        <v>101</v>
      </c>
      <c r="C8" s="22" t="s">
        <v>98</v>
      </c>
      <c r="D8" s="23" t="s">
        <v>102</v>
      </c>
    </row>
    <row r="9" customFormat="false" ht="30" hidden="false" customHeight="true" outlineLevel="0" collapsed="false">
      <c r="A9" s="22" t="s">
        <v>103</v>
      </c>
      <c r="B9" s="22" t="s">
        <v>104</v>
      </c>
      <c r="C9" s="22" t="s">
        <v>105</v>
      </c>
      <c r="D9" s="23" t="s">
        <v>106</v>
      </c>
    </row>
    <row r="10" customFormat="false" ht="30" hidden="false" customHeight="true" outlineLevel="0" collapsed="false">
      <c r="A10" s="22" t="s">
        <v>107</v>
      </c>
      <c r="B10" s="22" t="s">
        <v>108</v>
      </c>
      <c r="C10" s="22" t="s">
        <v>34</v>
      </c>
      <c r="D10" s="23" t="s">
        <v>109</v>
      </c>
    </row>
    <row r="11" customFormat="false" ht="30" hidden="false" customHeight="true" outlineLevel="0" collapsed="false">
      <c r="A11" s="22" t="s">
        <v>107</v>
      </c>
      <c r="B11" s="22" t="s">
        <v>110</v>
      </c>
      <c r="C11" s="22" t="s">
        <v>31</v>
      </c>
      <c r="D11" s="23" t="s">
        <v>109</v>
      </c>
    </row>
    <row r="12" customFormat="false" ht="30" hidden="false" customHeight="true" outlineLevel="0" collapsed="false">
      <c r="A12" s="22" t="s">
        <v>111</v>
      </c>
      <c r="B12" s="22" t="s">
        <v>112</v>
      </c>
      <c r="C12" s="22" t="s">
        <v>113</v>
      </c>
      <c r="D12" s="23" t="s">
        <v>114</v>
      </c>
    </row>
    <row r="13" customFormat="false" ht="30" hidden="false" customHeight="true" outlineLevel="0" collapsed="false">
      <c r="A13" s="22" t="s">
        <v>111</v>
      </c>
      <c r="B13" s="22" t="s">
        <v>110</v>
      </c>
      <c r="C13" s="22" t="s">
        <v>115</v>
      </c>
      <c r="D13" s="23" t="s">
        <v>114</v>
      </c>
    </row>
    <row r="14" customFormat="false" ht="30" hidden="false" customHeight="true" outlineLevel="0" collapsed="false">
      <c r="A14" s="22" t="s">
        <v>116</v>
      </c>
      <c r="B14" s="22" t="s">
        <v>117</v>
      </c>
      <c r="C14" s="22" t="s">
        <v>118</v>
      </c>
      <c r="D14" s="23" t="s">
        <v>119</v>
      </c>
    </row>
    <row r="15" customFormat="false" ht="30" hidden="false" customHeight="true" outlineLevel="0" collapsed="false">
      <c r="A15" s="22" t="s">
        <v>120</v>
      </c>
      <c r="B15" s="22" t="s">
        <v>121</v>
      </c>
      <c r="C15" s="22" t="s">
        <v>122</v>
      </c>
      <c r="D15" s="23" t="s">
        <v>123</v>
      </c>
    </row>
    <row r="16" customFormat="false" ht="30" hidden="false" customHeight="true" outlineLevel="0" collapsed="false">
      <c r="A16" s="22" t="s">
        <v>124</v>
      </c>
      <c r="B16" s="22" t="s">
        <v>125</v>
      </c>
      <c r="C16" s="22" t="s">
        <v>126</v>
      </c>
      <c r="D16" s="23" t="s">
        <v>127</v>
      </c>
    </row>
    <row r="18" customFormat="false" ht="15" hidden="false" customHeight="true" outlineLevel="0" collapsed="false">
      <c r="A18" s="12" t="s">
        <v>128</v>
      </c>
      <c r="B18" s="12"/>
      <c r="C18" s="12"/>
      <c r="D18" s="12"/>
    </row>
    <row r="19" customFormat="false" ht="36" hidden="false" customHeight="true" outlineLevel="0" collapsed="false">
      <c r="A19" s="13" t="s">
        <v>129</v>
      </c>
      <c r="B19" s="13"/>
      <c r="C19" s="13"/>
      <c r="D19" s="13"/>
    </row>
    <row r="20" customFormat="false" ht="36" hidden="false" customHeight="true" outlineLevel="0" collapsed="false">
      <c r="A20" s="13" t="s">
        <v>130</v>
      </c>
      <c r="B20" s="13"/>
      <c r="C20" s="13"/>
      <c r="D20" s="13"/>
    </row>
    <row r="21" customFormat="false" ht="36" hidden="false" customHeight="true" outlineLevel="0" collapsed="false">
      <c r="A21" s="13" t="s">
        <v>131</v>
      </c>
      <c r="B21" s="13"/>
      <c r="C21" s="13"/>
      <c r="D21" s="13"/>
    </row>
    <row r="22" customFormat="false" ht="15" hidden="false" customHeight="true" outlineLevel="0" collapsed="false">
      <c r="A22" s="12" t="s">
        <v>132</v>
      </c>
      <c r="B22" s="12"/>
      <c r="C22" s="12"/>
      <c r="D22" s="12"/>
    </row>
    <row r="23" customFormat="false" ht="36" hidden="false" customHeight="true" outlineLevel="0" collapsed="false">
      <c r="A23" s="13" t="s">
        <v>133</v>
      </c>
      <c r="B23" s="13"/>
      <c r="C23" s="13"/>
      <c r="D23" s="13"/>
    </row>
    <row r="24" customFormat="false" ht="36" hidden="false" customHeight="true" outlineLevel="0" collapsed="false">
      <c r="A24" s="13" t="s">
        <v>134</v>
      </c>
      <c r="B24" s="13"/>
      <c r="C24" s="13"/>
      <c r="D24" s="13"/>
    </row>
  </sheetData>
  <mergeCells count="9">
    <mergeCell ref="A1:D1"/>
    <mergeCell ref="A2:D2"/>
    <mergeCell ref="A18:D18"/>
    <mergeCell ref="A19:D19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2026-05-25T19:50:47Z</dcterms:created>
  <dc:creator>openpyxl</dc:creator>
  <dc:description/>
  <dc:language>en-US</dc:language>
  <cp:lastModifiedBy/>
  <dcterms:modified xsi:type="dcterms:W3CDTF">2026-05-25T19:50:47Z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